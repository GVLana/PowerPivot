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2\Desktop\ALL\PowerPivot\"/>
    </mc:Choice>
  </mc:AlternateContent>
  <bookViews>
    <workbookView xWindow="600" yWindow="636" windowWidth="14652" windowHeight="6852" activeTab="4"/>
  </bookViews>
  <sheets>
    <sheet name="Альфа" sheetId="5" r:id="rId1"/>
    <sheet name="Бета" sheetId="8" r:id="rId2"/>
    <sheet name="Гамма" sheetId="6" r:id="rId3"/>
    <sheet name="Дельта" sheetId="7" r:id="rId4"/>
    <sheet name="Сводная" sheetId="9" r:id="rId5"/>
  </sheets>
  <definedNames>
    <definedName name="Группы">#REF!</definedName>
    <definedName name="конец">#REF!</definedName>
    <definedName name="начало">#REF!</definedName>
  </definedNames>
  <calcPr calcId="162913"/>
  <pivotCaches>
    <pivotCache cacheId="22" r:id="rId6"/>
  </pivotCaches>
</workbook>
</file>

<file path=xl/calcChain.xml><?xml version="1.0" encoding="utf-8"?>
<calcChain xmlns="http://schemas.openxmlformats.org/spreadsheetml/2006/main">
  <c r="K1244" i="5" l="1"/>
  <c r="J1244" i="5"/>
  <c r="E1244" i="5"/>
  <c r="D1244" i="5"/>
  <c r="C1244" i="5"/>
  <c r="K1243" i="5"/>
  <c r="J1243" i="5"/>
  <c r="E1243" i="5"/>
  <c r="D1243" i="5"/>
  <c r="C1243" i="5"/>
  <c r="K1242" i="5"/>
  <c r="J1242" i="5"/>
  <c r="E1242" i="5"/>
  <c r="D1242" i="5"/>
  <c r="C1242" i="5"/>
  <c r="K1241" i="5"/>
  <c r="J1241" i="5"/>
  <c r="E1241" i="5"/>
  <c r="D1241" i="5"/>
  <c r="C1241" i="5"/>
  <c r="K1240" i="5"/>
  <c r="J1240" i="5"/>
  <c r="E1240" i="5"/>
  <c r="D1240" i="5"/>
  <c r="C1240" i="5"/>
  <c r="K1239" i="5"/>
  <c r="J1239" i="5"/>
  <c r="E1239" i="5"/>
  <c r="D1239" i="5"/>
  <c r="C1239" i="5"/>
  <c r="K1238" i="5"/>
  <c r="J1238" i="5"/>
  <c r="E1238" i="5"/>
  <c r="D1238" i="5"/>
  <c r="C1238" i="5"/>
  <c r="K1237" i="5"/>
  <c r="J1237" i="5"/>
  <c r="E1237" i="5"/>
  <c r="D1237" i="5"/>
  <c r="C1237" i="5"/>
  <c r="K1236" i="5"/>
  <c r="J1236" i="5"/>
  <c r="E1236" i="5"/>
  <c r="D1236" i="5"/>
  <c r="C1236" i="5"/>
  <c r="K1235" i="5"/>
  <c r="J1235" i="5"/>
  <c r="E1235" i="5"/>
  <c r="D1235" i="5"/>
  <c r="C1235" i="5"/>
  <c r="K1234" i="5"/>
  <c r="J1234" i="5"/>
  <c r="E1234" i="5"/>
  <c r="D1234" i="5"/>
  <c r="C1234" i="5"/>
  <c r="K1233" i="5"/>
  <c r="J1233" i="5"/>
  <c r="E1233" i="5"/>
  <c r="D1233" i="5"/>
  <c r="C1233" i="5"/>
  <c r="K1232" i="5"/>
  <c r="J1232" i="5"/>
  <c r="E1232" i="5"/>
  <c r="D1232" i="5"/>
  <c r="C1232" i="5"/>
  <c r="K1231" i="5"/>
  <c r="J1231" i="5"/>
  <c r="E1231" i="5"/>
  <c r="D1231" i="5"/>
  <c r="C1231" i="5"/>
  <c r="K1230" i="5"/>
  <c r="J1230" i="5"/>
  <c r="E1230" i="5"/>
  <c r="D1230" i="5"/>
  <c r="C1230" i="5"/>
  <c r="K1229" i="5"/>
  <c r="J1229" i="5"/>
  <c r="E1229" i="5"/>
  <c r="D1229" i="5"/>
  <c r="C1229" i="5"/>
  <c r="K1228" i="5"/>
  <c r="J1228" i="5"/>
  <c r="E1228" i="5"/>
  <c r="D1228" i="5"/>
  <c r="C1228" i="5"/>
  <c r="K1227" i="5"/>
  <c r="J1227" i="5"/>
  <c r="E1227" i="5"/>
  <c r="D1227" i="5"/>
  <c r="C1227" i="5"/>
  <c r="K1226" i="5"/>
  <c r="J1226" i="5"/>
  <c r="E1226" i="5"/>
  <c r="D1226" i="5"/>
  <c r="C1226" i="5"/>
  <c r="K1225" i="5"/>
  <c r="J1225" i="5"/>
  <c r="E1225" i="5"/>
  <c r="D1225" i="5"/>
  <c r="C1225" i="5"/>
  <c r="K1224" i="5"/>
  <c r="J1224" i="5"/>
  <c r="E1224" i="5"/>
  <c r="D1224" i="5"/>
  <c r="C1224" i="5"/>
  <c r="K1223" i="5"/>
  <c r="J1223" i="5"/>
  <c r="E1223" i="5"/>
  <c r="D1223" i="5"/>
  <c r="C1223" i="5"/>
  <c r="K1222" i="5"/>
  <c r="J1222" i="5"/>
  <c r="E1222" i="5"/>
  <c r="D1222" i="5"/>
  <c r="C1222" i="5"/>
  <c r="K1221" i="5"/>
  <c r="J1221" i="5"/>
  <c r="E1221" i="5"/>
  <c r="D1221" i="5"/>
  <c r="C1221" i="5"/>
  <c r="K1220" i="5"/>
  <c r="J1220" i="5"/>
  <c r="E1220" i="5"/>
  <c r="D1220" i="5"/>
  <c r="C1220" i="5"/>
  <c r="K1219" i="5"/>
  <c r="J1219" i="5"/>
  <c r="E1219" i="5"/>
  <c r="D1219" i="5"/>
  <c r="C1219" i="5"/>
  <c r="K1218" i="5"/>
  <c r="J1218" i="5"/>
  <c r="E1218" i="5"/>
  <c r="D1218" i="5"/>
  <c r="C1218" i="5"/>
  <c r="K1217" i="5"/>
  <c r="J1217" i="5"/>
  <c r="E1217" i="5"/>
  <c r="D1217" i="5"/>
  <c r="C1217" i="5"/>
  <c r="K1216" i="5"/>
  <c r="J1216" i="5"/>
  <c r="E1216" i="5"/>
  <c r="D1216" i="5"/>
  <c r="C1216" i="5"/>
  <c r="K1215" i="5"/>
  <c r="J1215" i="5"/>
  <c r="E1215" i="5"/>
  <c r="D1215" i="5"/>
  <c r="C1215" i="5"/>
  <c r="K1214" i="5"/>
  <c r="J1214" i="5"/>
  <c r="E1214" i="5"/>
  <c r="D1214" i="5"/>
  <c r="C1214" i="5"/>
  <c r="K1213" i="5"/>
  <c r="J1213" i="5"/>
  <c r="E1213" i="5"/>
  <c r="D1213" i="5"/>
  <c r="C1213" i="5"/>
  <c r="K1212" i="5"/>
  <c r="J1212" i="5"/>
  <c r="E1212" i="5"/>
  <c r="D1212" i="5"/>
  <c r="C1212" i="5"/>
  <c r="K1211" i="5"/>
  <c r="J1211" i="5"/>
  <c r="E1211" i="5"/>
  <c r="D1211" i="5"/>
  <c r="C1211" i="5"/>
  <c r="K1210" i="5"/>
  <c r="J1210" i="5"/>
  <c r="E1210" i="5"/>
  <c r="D1210" i="5"/>
  <c r="C1210" i="5"/>
  <c r="K1209" i="5"/>
  <c r="J1209" i="5"/>
  <c r="E1209" i="5"/>
  <c r="D1209" i="5"/>
  <c r="C1209" i="5"/>
  <c r="K1208" i="5"/>
  <c r="J1208" i="5"/>
  <c r="E1208" i="5"/>
  <c r="D1208" i="5"/>
  <c r="C1208" i="5"/>
  <c r="K1207" i="5"/>
  <c r="J1207" i="5"/>
  <c r="E1207" i="5"/>
  <c r="D1207" i="5"/>
  <c r="C1207" i="5"/>
  <c r="K1206" i="5"/>
  <c r="J1206" i="5"/>
  <c r="E1206" i="5"/>
  <c r="D1206" i="5"/>
  <c r="C1206" i="5"/>
  <c r="K1205" i="5"/>
  <c r="J1205" i="5"/>
  <c r="E1205" i="5"/>
  <c r="D1205" i="5"/>
  <c r="C1205" i="5"/>
  <c r="K1204" i="5"/>
  <c r="J1204" i="5"/>
  <c r="E1204" i="5"/>
  <c r="D1204" i="5"/>
  <c r="C1204" i="5"/>
  <c r="K1203" i="5"/>
  <c r="J1203" i="5"/>
  <c r="E1203" i="5"/>
  <c r="D1203" i="5"/>
  <c r="C1203" i="5"/>
  <c r="K1202" i="5"/>
  <c r="J1202" i="5"/>
  <c r="E1202" i="5"/>
  <c r="D1202" i="5"/>
  <c r="C1202" i="5"/>
  <c r="K1201" i="5"/>
  <c r="J1201" i="5"/>
  <c r="E1201" i="5"/>
  <c r="D1201" i="5"/>
  <c r="C1201" i="5"/>
  <c r="K1200" i="5"/>
  <c r="J1200" i="5"/>
  <c r="E1200" i="5"/>
  <c r="D1200" i="5"/>
  <c r="C1200" i="5"/>
  <c r="K1199" i="5"/>
  <c r="J1199" i="5"/>
  <c r="E1199" i="5"/>
  <c r="D1199" i="5"/>
  <c r="C1199" i="5"/>
  <c r="K1198" i="5"/>
  <c r="J1198" i="5"/>
  <c r="E1198" i="5"/>
  <c r="D1198" i="5"/>
  <c r="C1198" i="5"/>
  <c r="K1197" i="5"/>
  <c r="J1197" i="5"/>
  <c r="E1197" i="5"/>
  <c r="D1197" i="5"/>
  <c r="C1197" i="5"/>
  <c r="K1196" i="5"/>
  <c r="J1196" i="5"/>
  <c r="E1196" i="5"/>
  <c r="D1196" i="5"/>
  <c r="C1196" i="5"/>
  <c r="K1195" i="5"/>
  <c r="J1195" i="5"/>
  <c r="E1195" i="5"/>
  <c r="D1195" i="5"/>
  <c r="C1195" i="5"/>
  <c r="K1194" i="5"/>
  <c r="J1194" i="5"/>
  <c r="E1194" i="5"/>
  <c r="D1194" i="5"/>
  <c r="C1194" i="5"/>
  <c r="K1193" i="5"/>
  <c r="J1193" i="5"/>
  <c r="E1193" i="5"/>
  <c r="D1193" i="5"/>
  <c r="C1193" i="5"/>
  <c r="K1192" i="5"/>
  <c r="J1192" i="5"/>
  <c r="E1192" i="5"/>
  <c r="D1192" i="5"/>
  <c r="C1192" i="5"/>
  <c r="K1191" i="5"/>
  <c r="J1191" i="5"/>
  <c r="E1191" i="5"/>
  <c r="D1191" i="5"/>
  <c r="C1191" i="5"/>
  <c r="K1190" i="5"/>
  <c r="J1190" i="5"/>
  <c r="E1190" i="5"/>
  <c r="D1190" i="5"/>
  <c r="C1190" i="5"/>
  <c r="K1189" i="5"/>
  <c r="J1189" i="5"/>
  <c r="E1189" i="5"/>
  <c r="D1189" i="5"/>
  <c r="C1189" i="5"/>
  <c r="K1188" i="5"/>
  <c r="J1188" i="5"/>
  <c r="E1188" i="5"/>
  <c r="D1188" i="5"/>
  <c r="C1188" i="5"/>
  <c r="K1187" i="5"/>
  <c r="J1187" i="5"/>
  <c r="E1187" i="5"/>
  <c r="D1187" i="5"/>
  <c r="C1187" i="5"/>
  <c r="K1186" i="5"/>
  <c r="J1186" i="5"/>
  <c r="E1186" i="5"/>
  <c r="D1186" i="5"/>
  <c r="C1186" i="5"/>
  <c r="K1185" i="5"/>
  <c r="J1185" i="5"/>
  <c r="E1185" i="5"/>
  <c r="D1185" i="5"/>
  <c r="C1185" i="5"/>
  <c r="K1184" i="5"/>
  <c r="J1184" i="5"/>
  <c r="E1184" i="5"/>
  <c r="D1184" i="5"/>
  <c r="C1184" i="5"/>
  <c r="K1183" i="5"/>
  <c r="J1183" i="5"/>
  <c r="E1183" i="5"/>
  <c r="D1183" i="5"/>
  <c r="C1183" i="5"/>
  <c r="K1182" i="5"/>
  <c r="J1182" i="5"/>
  <c r="E1182" i="5"/>
  <c r="D1182" i="5"/>
  <c r="C1182" i="5"/>
  <c r="K1181" i="5"/>
  <c r="J1181" i="5"/>
  <c r="E1181" i="5"/>
  <c r="D1181" i="5"/>
  <c r="C1181" i="5"/>
  <c r="K1180" i="5"/>
  <c r="J1180" i="5"/>
  <c r="E1180" i="5"/>
  <c r="D1180" i="5"/>
  <c r="C1180" i="5"/>
  <c r="K1179" i="5"/>
  <c r="J1179" i="5"/>
  <c r="E1179" i="5"/>
  <c r="D1179" i="5"/>
  <c r="C1179" i="5"/>
  <c r="K1178" i="5"/>
  <c r="J1178" i="5"/>
  <c r="E1178" i="5"/>
  <c r="D1178" i="5"/>
  <c r="C1178" i="5"/>
  <c r="K1177" i="5"/>
  <c r="J1177" i="5"/>
  <c r="E1177" i="5"/>
  <c r="D1177" i="5"/>
  <c r="C1177" i="5"/>
  <c r="K1176" i="5"/>
  <c r="J1176" i="5"/>
  <c r="E1176" i="5"/>
  <c r="D1176" i="5"/>
  <c r="C1176" i="5"/>
  <c r="K1175" i="5"/>
  <c r="J1175" i="5"/>
  <c r="E1175" i="5"/>
  <c r="D1175" i="5"/>
  <c r="C1175" i="5"/>
  <c r="K1174" i="5"/>
  <c r="J1174" i="5"/>
  <c r="E1174" i="5"/>
  <c r="D1174" i="5"/>
  <c r="C1174" i="5"/>
  <c r="K1173" i="5"/>
  <c r="J1173" i="5"/>
  <c r="E1173" i="5"/>
  <c r="D1173" i="5"/>
  <c r="C1173" i="5"/>
  <c r="K1172" i="5"/>
  <c r="J1172" i="5"/>
  <c r="E1172" i="5"/>
  <c r="D1172" i="5"/>
  <c r="C1172" i="5"/>
  <c r="K1171" i="5"/>
  <c r="J1171" i="5"/>
  <c r="E1171" i="5"/>
  <c r="D1171" i="5"/>
  <c r="C1171" i="5"/>
  <c r="K1170" i="5"/>
  <c r="J1170" i="5"/>
  <c r="E1170" i="5"/>
  <c r="D1170" i="5"/>
  <c r="C1170" i="5"/>
  <c r="K1169" i="5"/>
  <c r="J1169" i="5"/>
  <c r="E1169" i="5"/>
  <c r="D1169" i="5"/>
  <c r="C1169" i="5"/>
  <c r="K1168" i="5"/>
  <c r="J1168" i="5"/>
  <c r="E1168" i="5"/>
  <c r="D1168" i="5"/>
  <c r="C1168" i="5"/>
  <c r="K1167" i="5"/>
  <c r="J1167" i="5"/>
  <c r="E1167" i="5"/>
  <c r="D1167" i="5"/>
  <c r="C1167" i="5"/>
  <c r="K1166" i="5"/>
  <c r="J1166" i="5"/>
  <c r="E1166" i="5"/>
  <c r="D1166" i="5"/>
  <c r="C1166" i="5"/>
  <c r="K1165" i="5"/>
  <c r="J1165" i="5"/>
  <c r="E1165" i="5"/>
  <c r="D1165" i="5"/>
  <c r="C1165" i="5"/>
  <c r="K1164" i="5"/>
  <c r="J1164" i="5"/>
  <c r="E1164" i="5"/>
  <c r="D1164" i="5"/>
  <c r="C1164" i="5"/>
  <c r="K1163" i="5"/>
  <c r="J1163" i="5"/>
  <c r="E1163" i="5"/>
  <c r="D1163" i="5"/>
  <c r="C1163" i="5"/>
  <c r="K1162" i="5"/>
  <c r="J1162" i="5"/>
  <c r="E1162" i="5"/>
  <c r="D1162" i="5"/>
  <c r="C1162" i="5"/>
  <c r="K1161" i="5"/>
  <c r="J1161" i="5"/>
  <c r="E1161" i="5"/>
  <c r="D1161" i="5"/>
  <c r="C1161" i="5"/>
  <c r="K1160" i="5"/>
  <c r="J1160" i="5"/>
  <c r="E1160" i="5"/>
  <c r="D1160" i="5"/>
  <c r="C1160" i="5"/>
  <c r="K1159" i="5"/>
  <c r="J1159" i="5"/>
  <c r="E1159" i="5"/>
  <c r="D1159" i="5"/>
  <c r="C1159" i="5"/>
  <c r="K1158" i="5"/>
  <c r="J1158" i="5"/>
  <c r="E1158" i="5"/>
  <c r="D1158" i="5"/>
  <c r="C1158" i="5"/>
  <c r="K1157" i="5"/>
  <c r="J1157" i="5"/>
  <c r="E1157" i="5"/>
  <c r="D1157" i="5"/>
  <c r="C1157" i="5"/>
  <c r="K1156" i="5"/>
  <c r="J1156" i="5"/>
  <c r="E1156" i="5"/>
  <c r="D1156" i="5"/>
  <c r="C1156" i="5"/>
  <c r="K1155" i="5"/>
  <c r="J1155" i="5"/>
  <c r="E1155" i="5"/>
  <c r="D1155" i="5"/>
  <c r="C1155" i="5"/>
  <c r="K1154" i="5"/>
  <c r="J1154" i="5"/>
  <c r="E1154" i="5"/>
  <c r="D1154" i="5"/>
  <c r="C1154" i="5"/>
  <c r="K1153" i="5"/>
  <c r="J1153" i="5"/>
  <c r="E1153" i="5"/>
  <c r="D1153" i="5"/>
  <c r="C1153" i="5"/>
  <c r="K1152" i="5"/>
  <c r="J1152" i="5"/>
  <c r="E1152" i="5"/>
  <c r="D1152" i="5"/>
  <c r="C1152" i="5"/>
  <c r="K1151" i="5"/>
  <c r="J1151" i="5"/>
  <c r="E1151" i="5"/>
  <c r="D1151" i="5"/>
  <c r="C1151" i="5"/>
  <c r="K1150" i="5"/>
  <c r="J1150" i="5"/>
  <c r="E1150" i="5"/>
  <c r="D1150" i="5"/>
  <c r="C1150" i="5"/>
  <c r="K1149" i="5"/>
  <c r="J1149" i="5"/>
  <c r="E1149" i="5"/>
  <c r="D1149" i="5"/>
  <c r="C1149" i="5"/>
  <c r="K1148" i="5"/>
  <c r="J1148" i="5"/>
  <c r="E1148" i="5"/>
  <c r="D1148" i="5"/>
  <c r="C1148" i="5"/>
  <c r="K1147" i="5"/>
  <c r="J1147" i="5"/>
  <c r="E1147" i="5"/>
  <c r="D1147" i="5"/>
  <c r="C1147" i="5"/>
  <c r="K1146" i="5"/>
  <c r="J1146" i="5"/>
  <c r="E1146" i="5"/>
  <c r="D1146" i="5"/>
  <c r="C1146" i="5"/>
  <c r="K1145" i="5"/>
  <c r="J1145" i="5"/>
  <c r="E1145" i="5"/>
  <c r="D1145" i="5"/>
  <c r="C1145" i="5"/>
  <c r="K1144" i="5"/>
  <c r="J1144" i="5"/>
  <c r="E1144" i="5"/>
  <c r="D1144" i="5"/>
  <c r="C1144" i="5"/>
  <c r="K1143" i="5"/>
  <c r="J1143" i="5"/>
  <c r="E1143" i="5"/>
  <c r="D1143" i="5"/>
  <c r="C1143" i="5"/>
  <c r="K1142" i="5"/>
  <c r="J1142" i="5"/>
  <c r="E1142" i="5"/>
  <c r="D1142" i="5"/>
  <c r="C1142" i="5"/>
  <c r="K1141" i="5"/>
  <c r="J1141" i="5"/>
  <c r="E1141" i="5"/>
  <c r="D1141" i="5"/>
  <c r="C1141" i="5"/>
  <c r="K1140" i="5"/>
  <c r="J1140" i="5"/>
  <c r="E1140" i="5"/>
  <c r="D1140" i="5"/>
  <c r="C1140" i="5"/>
  <c r="K1139" i="5"/>
  <c r="J1139" i="5"/>
  <c r="E1139" i="5"/>
  <c r="D1139" i="5"/>
  <c r="C1139" i="5"/>
  <c r="K1138" i="5"/>
  <c r="J1138" i="5"/>
  <c r="E1138" i="5"/>
  <c r="D1138" i="5"/>
  <c r="C1138" i="5"/>
  <c r="K1137" i="5"/>
  <c r="J1137" i="5"/>
  <c r="E1137" i="5"/>
  <c r="D1137" i="5"/>
  <c r="C1137" i="5"/>
  <c r="K1136" i="5"/>
  <c r="J1136" i="5"/>
  <c r="E1136" i="5"/>
  <c r="D1136" i="5"/>
  <c r="C1136" i="5"/>
  <c r="K1135" i="5"/>
  <c r="J1135" i="5"/>
  <c r="E1135" i="5"/>
  <c r="D1135" i="5"/>
  <c r="C1135" i="5"/>
  <c r="K1134" i="5"/>
  <c r="J1134" i="5"/>
  <c r="E1134" i="5"/>
  <c r="D1134" i="5"/>
  <c r="C1134" i="5"/>
  <c r="K1133" i="5"/>
  <c r="J1133" i="5"/>
  <c r="E1133" i="5"/>
  <c r="D1133" i="5"/>
  <c r="C1133" i="5"/>
  <c r="K1132" i="5"/>
  <c r="J1132" i="5"/>
  <c r="E1132" i="5"/>
  <c r="D1132" i="5"/>
  <c r="C1132" i="5"/>
  <c r="K1131" i="5"/>
  <c r="J1131" i="5"/>
  <c r="E1131" i="5"/>
  <c r="D1131" i="5"/>
  <c r="C1131" i="5"/>
  <c r="K1130" i="5"/>
  <c r="J1130" i="5"/>
  <c r="E1130" i="5"/>
  <c r="D1130" i="5"/>
  <c r="C1130" i="5"/>
  <c r="K1129" i="5"/>
  <c r="J1129" i="5"/>
  <c r="E1129" i="5"/>
  <c r="D1129" i="5"/>
  <c r="C1129" i="5"/>
  <c r="K1128" i="5"/>
  <c r="J1128" i="5"/>
  <c r="E1128" i="5"/>
  <c r="D1128" i="5"/>
  <c r="C1128" i="5"/>
  <c r="K1127" i="5"/>
  <c r="J1127" i="5"/>
  <c r="E1127" i="5"/>
  <c r="D1127" i="5"/>
  <c r="C1127" i="5"/>
  <c r="K1126" i="5"/>
  <c r="J1126" i="5"/>
  <c r="E1126" i="5"/>
  <c r="D1126" i="5"/>
  <c r="C1126" i="5"/>
  <c r="K1125" i="5"/>
  <c r="J1125" i="5"/>
  <c r="E1125" i="5"/>
  <c r="D1125" i="5"/>
  <c r="C1125" i="5"/>
  <c r="K1124" i="5"/>
  <c r="J1124" i="5"/>
  <c r="E1124" i="5"/>
  <c r="D1124" i="5"/>
  <c r="C1124" i="5"/>
  <c r="K1123" i="5"/>
  <c r="J1123" i="5"/>
  <c r="E1123" i="5"/>
  <c r="D1123" i="5"/>
  <c r="C1123" i="5"/>
  <c r="K1122" i="5"/>
  <c r="J1122" i="5"/>
  <c r="E1122" i="5"/>
  <c r="D1122" i="5"/>
  <c r="C1122" i="5"/>
  <c r="K1121" i="5"/>
  <c r="J1121" i="5"/>
  <c r="E1121" i="5"/>
  <c r="D1121" i="5"/>
  <c r="C1121" i="5"/>
  <c r="K1120" i="5"/>
  <c r="J1120" i="5"/>
  <c r="E1120" i="5"/>
  <c r="D1120" i="5"/>
  <c r="C1120" i="5"/>
  <c r="K1119" i="5"/>
  <c r="J1119" i="5"/>
  <c r="E1119" i="5"/>
  <c r="D1119" i="5"/>
  <c r="C1119" i="5"/>
  <c r="K1118" i="5"/>
  <c r="J1118" i="5"/>
  <c r="E1118" i="5"/>
  <c r="D1118" i="5"/>
  <c r="C1118" i="5"/>
  <c r="K1117" i="5"/>
  <c r="J1117" i="5"/>
  <c r="E1117" i="5"/>
  <c r="D1117" i="5"/>
  <c r="C1117" i="5"/>
  <c r="K1116" i="5"/>
  <c r="J1116" i="5"/>
  <c r="E1116" i="5"/>
  <c r="D1116" i="5"/>
  <c r="C1116" i="5"/>
  <c r="K1115" i="5"/>
  <c r="J1115" i="5"/>
  <c r="E1115" i="5"/>
  <c r="D1115" i="5"/>
  <c r="C1115" i="5"/>
  <c r="K1114" i="5"/>
  <c r="J1114" i="5"/>
  <c r="E1114" i="5"/>
  <c r="D1114" i="5"/>
  <c r="C1114" i="5"/>
  <c r="K1113" i="5"/>
  <c r="J1113" i="5"/>
  <c r="E1113" i="5"/>
  <c r="D1113" i="5"/>
  <c r="C1113" i="5"/>
  <c r="K1112" i="5"/>
  <c r="J1112" i="5"/>
  <c r="E1112" i="5"/>
  <c r="D1112" i="5"/>
  <c r="C1112" i="5"/>
  <c r="K1111" i="5"/>
  <c r="J1111" i="5"/>
  <c r="E1111" i="5"/>
  <c r="D1111" i="5"/>
  <c r="C1111" i="5"/>
  <c r="K1110" i="5"/>
  <c r="J1110" i="5"/>
  <c r="E1110" i="5"/>
  <c r="D1110" i="5"/>
  <c r="C1110" i="5"/>
  <c r="K1109" i="5"/>
  <c r="J1109" i="5"/>
  <c r="E1109" i="5"/>
  <c r="D1109" i="5"/>
  <c r="C1109" i="5"/>
  <c r="K1108" i="5"/>
  <c r="J1108" i="5"/>
  <c r="E1108" i="5"/>
  <c r="D1108" i="5"/>
  <c r="C1108" i="5"/>
  <c r="K1107" i="5"/>
  <c r="J1107" i="5"/>
  <c r="E1107" i="5"/>
  <c r="D1107" i="5"/>
  <c r="C1107" i="5"/>
  <c r="K1106" i="5"/>
  <c r="J1106" i="5"/>
  <c r="E1106" i="5"/>
  <c r="D1106" i="5"/>
  <c r="C1106" i="5"/>
  <c r="K1105" i="5"/>
  <c r="J1105" i="5"/>
  <c r="E1105" i="5"/>
  <c r="D1105" i="5"/>
  <c r="C1105" i="5"/>
  <c r="K1104" i="5"/>
  <c r="J1104" i="5"/>
  <c r="E1104" i="5"/>
  <c r="D1104" i="5"/>
  <c r="C1104" i="5"/>
  <c r="K1103" i="5"/>
  <c r="J1103" i="5"/>
  <c r="E1103" i="5"/>
  <c r="D1103" i="5"/>
  <c r="C1103" i="5"/>
  <c r="K1102" i="5"/>
  <c r="J1102" i="5"/>
  <c r="E1102" i="5"/>
  <c r="D1102" i="5"/>
  <c r="C1102" i="5"/>
  <c r="K1101" i="5"/>
  <c r="J1101" i="5"/>
  <c r="E1101" i="5"/>
  <c r="D1101" i="5"/>
  <c r="C1101" i="5"/>
  <c r="K1100" i="5"/>
  <c r="J1100" i="5"/>
  <c r="E1100" i="5"/>
  <c r="D1100" i="5"/>
  <c r="C1100" i="5"/>
  <c r="K1099" i="5"/>
  <c r="J1099" i="5"/>
  <c r="E1099" i="5"/>
  <c r="D1099" i="5"/>
  <c r="C1099" i="5"/>
  <c r="K1098" i="5"/>
  <c r="J1098" i="5"/>
  <c r="E1098" i="5"/>
  <c r="D1098" i="5"/>
  <c r="C1098" i="5"/>
  <c r="K1097" i="5"/>
  <c r="J1097" i="5"/>
  <c r="E1097" i="5"/>
  <c r="D1097" i="5"/>
  <c r="C1097" i="5"/>
  <c r="K1096" i="5"/>
  <c r="J1096" i="5"/>
  <c r="E1096" i="5"/>
  <c r="D1096" i="5"/>
  <c r="C1096" i="5"/>
  <c r="K1095" i="5"/>
  <c r="J1095" i="5"/>
  <c r="E1095" i="5"/>
  <c r="D1095" i="5"/>
  <c r="C1095" i="5"/>
  <c r="K1094" i="5"/>
  <c r="J1094" i="5"/>
  <c r="E1094" i="5"/>
  <c r="D1094" i="5"/>
  <c r="C1094" i="5"/>
  <c r="K1093" i="5"/>
  <c r="J1093" i="5"/>
  <c r="E1093" i="5"/>
  <c r="D1093" i="5"/>
  <c r="C1093" i="5"/>
  <c r="K1092" i="5"/>
  <c r="J1092" i="5"/>
  <c r="E1092" i="5"/>
  <c r="D1092" i="5"/>
  <c r="C1092" i="5"/>
  <c r="K1091" i="5"/>
  <c r="J1091" i="5"/>
  <c r="E1091" i="5"/>
  <c r="D1091" i="5"/>
  <c r="C1091" i="5"/>
  <c r="K1090" i="5"/>
  <c r="J1090" i="5"/>
  <c r="E1090" i="5"/>
  <c r="D1090" i="5"/>
  <c r="C1090" i="5"/>
  <c r="K1089" i="5"/>
  <c r="J1089" i="5"/>
  <c r="E1089" i="5"/>
  <c r="D1089" i="5"/>
  <c r="C1089" i="5"/>
  <c r="K1088" i="5"/>
  <c r="J1088" i="5"/>
  <c r="E1088" i="5"/>
  <c r="D1088" i="5"/>
  <c r="C1088" i="5"/>
  <c r="K1087" i="5"/>
  <c r="J1087" i="5"/>
  <c r="E1087" i="5"/>
  <c r="D1087" i="5"/>
  <c r="C1087" i="5"/>
  <c r="K1086" i="5"/>
  <c r="J1086" i="5"/>
  <c r="E1086" i="5"/>
  <c r="D1086" i="5"/>
  <c r="C1086" i="5"/>
  <c r="K1085" i="5"/>
  <c r="J1085" i="5"/>
  <c r="E1085" i="5"/>
  <c r="D1085" i="5"/>
  <c r="C1085" i="5"/>
  <c r="K1084" i="5"/>
  <c r="J1084" i="5"/>
  <c r="E1084" i="5"/>
  <c r="D1084" i="5"/>
  <c r="C1084" i="5"/>
  <c r="K1083" i="5"/>
  <c r="J1083" i="5"/>
  <c r="E1083" i="5"/>
  <c r="D1083" i="5"/>
  <c r="C1083" i="5"/>
  <c r="K1082" i="5"/>
  <c r="J1082" i="5"/>
  <c r="E1082" i="5"/>
  <c r="D1082" i="5"/>
  <c r="C1082" i="5"/>
  <c r="K1081" i="5"/>
  <c r="J1081" i="5"/>
  <c r="E1081" i="5"/>
  <c r="D1081" i="5"/>
  <c r="C1081" i="5"/>
  <c r="K1080" i="5"/>
  <c r="J1080" i="5"/>
  <c r="E1080" i="5"/>
  <c r="D1080" i="5"/>
  <c r="C1080" i="5"/>
  <c r="K1079" i="5"/>
  <c r="J1079" i="5"/>
  <c r="E1079" i="5"/>
  <c r="D1079" i="5"/>
  <c r="C1079" i="5"/>
  <c r="K1078" i="5"/>
  <c r="J1078" i="5"/>
  <c r="E1078" i="5"/>
  <c r="D1078" i="5"/>
  <c r="C1078" i="5"/>
  <c r="K1077" i="5"/>
  <c r="J1077" i="5"/>
  <c r="E1077" i="5"/>
  <c r="D1077" i="5"/>
  <c r="C1077" i="5"/>
  <c r="K1076" i="5"/>
  <c r="J1076" i="5"/>
  <c r="E1076" i="5"/>
  <c r="D1076" i="5"/>
  <c r="C1076" i="5"/>
  <c r="K1075" i="5"/>
  <c r="J1075" i="5"/>
  <c r="E1075" i="5"/>
  <c r="D1075" i="5"/>
  <c r="C1075" i="5"/>
  <c r="K1074" i="5"/>
  <c r="J1074" i="5"/>
  <c r="E1074" i="5"/>
  <c r="D1074" i="5"/>
  <c r="C1074" i="5"/>
  <c r="K1073" i="5"/>
  <c r="J1073" i="5"/>
  <c r="E1073" i="5"/>
  <c r="D1073" i="5"/>
  <c r="C1073" i="5"/>
  <c r="K1072" i="5"/>
  <c r="J1072" i="5"/>
  <c r="E1072" i="5"/>
  <c r="D1072" i="5"/>
  <c r="C1072" i="5"/>
  <c r="K1071" i="5"/>
  <c r="J1071" i="5"/>
  <c r="E1071" i="5"/>
  <c r="D1071" i="5"/>
  <c r="C1071" i="5"/>
  <c r="K1070" i="5"/>
  <c r="J1070" i="5"/>
  <c r="E1070" i="5"/>
  <c r="D1070" i="5"/>
  <c r="C1070" i="5"/>
  <c r="K1069" i="5"/>
  <c r="J1069" i="5"/>
  <c r="E1069" i="5"/>
  <c r="D1069" i="5"/>
  <c r="C1069" i="5"/>
  <c r="K1068" i="5"/>
  <c r="J1068" i="5"/>
  <c r="E1068" i="5"/>
  <c r="D1068" i="5"/>
  <c r="C1068" i="5"/>
  <c r="K1067" i="5"/>
  <c r="J1067" i="5"/>
  <c r="E1067" i="5"/>
  <c r="D1067" i="5"/>
  <c r="C1067" i="5"/>
  <c r="K1066" i="5"/>
  <c r="J1066" i="5"/>
  <c r="E1066" i="5"/>
  <c r="D1066" i="5"/>
  <c r="C1066" i="5"/>
  <c r="K1065" i="5"/>
  <c r="J1065" i="5"/>
  <c r="E1065" i="5"/>
  <c r="D1065" i="5"/>
  <c r="C1065" i="5"/>
  <c r="K1064" i="5"/>
  <c r="J1064" i="5"/>
  <c r="E1064" i="5"/>
  <c r="D1064" i="5"/>
  <c r="C1064" i="5"/>
  <c r="K1063" i="5"/>
  <c r="J1063" i="5"/>
  <c r="E1063" i="5"/>
  <c r="D1063" i="5"/>
  <c r="C1063" i="5"/>
  <c r="K1062" i="5"/>
  <c r="J1062" i="5"/>
  <c r="E1062" i="5"/>
  <c r="D1062" i="5"/>
  <c r="C1062" i="5"/>
  <c r="K1061" i="5"/>
  <c r="J1061" i="5"/>
  <c r="E1061" i="5"/>
  <c r="D1061" i="5"/>
  <c r="C1061" i="5"/>
  <c r="K1060" i="5"/>
  <c r="J1060" i="5"/>
  <c r="E1060" i="5"/>
  <c r="D1060" i="5"/>
  <c r="C1060" i="5"/>
  <c r="K1059" i="5"/>
  <c r="J1059" i="5"/>
  <c r="E1059" i="5"/>
  <c r="D1059" i="5"/>
  <c r="C1059" i="5"/>
  <c r="K1058" i="5"/>
  <c r="J1058" i="5"/>
  <c r="E1058" i="5"/>
  <c r="D1058" i="5"/>
  <c r="C1058" i="5"/>
  <c r="K1057" i="5"/>
  <c r="J1057" i="5"/>
  <c r="E1057" i="5"/>
  <c r="D1057" i="5"/>
  <c r="C1057" i="5"/>
  <c r="K1056" i="5"/>
  <c r="J1056" i="5"/>
  <c r="E1056" i="5"/>
  <c r="D1056" i="5"/>
  <c r="C1056" i="5"/>
  <c r="K1055" i="5"/>
  <c r="J1055" i="5"/>
  <c r="E1055" i="5"/>
  <c r="D1055" i="5"/>
  <c r="C1055" i="5"/>
  <c r="K1054" i="5"/>
  <c r="J1054" i="5"/>
  <c r="E1054" i="5"/>
  <c r="D1054" i="5"/>
  <c r="C1054" i="5"/>
  <c r="K1053" i="5"/>
  <c r="J1053" i="5"/>
  <c r="E1053" i="5"/>
  <c r="D1053" i="5"/>
  <c r="C1053" i="5"/>
  <c r="K1052" i="5"/>
  <c r="J1052" i="5"/>
  <c r="E1052" i="5"/>
  <c r="D1052" i="5"/>
  <c r="C1052" i="5"/>
  <c r="K1051" i="5"/>
  <c r="J1051" i="5"/>
  <c r="E1051" i="5"/>
  <c r="D1051" i="5"/>
  <c r="C1051" i="5"/>
  <c r="K1050" i="5"/>
  <c r="J1050" i="5"/>
  <c r="E1050" i="5"/>
  <c r="D1050" i="5"/>
  <c r="C1050" i="5"/>
  <c r="K1049" i="5"/>
  <c r="J1049" i="5"/>
  <c r="E1049" i="5"/>
  <c r="D1049" i="5"/>
  <c r="C1049" i="5"/>
  <c r="K1048" i="5"/>
  <c r="J1048" i="5"/>
  <c r="E1048" i="5"/>
  <c r="D1048" i="5"/>
  <c r="C1048" i="5"/>
  <c r="K1047" i="5"/>
  <c r="J1047" i="5"/>
  <c r="E1047" i="5"/>
  <c r="D1047" i="5"/>
  <c r="C1047" i="5"/>
  <c r="K1046" i="5"/>
  <c r="J1046" i="5"/>
  <c r="E1046" i="5"/>
  <c r="D1046" i="5"/>
  <c r="C1046" i="5"/>
  <c r="K1045" i="5"/>
  <c r="J1045" i="5"/>
  <c r="E1045" i="5"/>
  <c r="D1045" i="5"/>
  <c r="C1045" i="5"/>
  <c r="K1044" i="5"/>
  <c r="J1044" i="5"/>
  <c r="E1044" i="5"/>
  <c r="D1044" i="5"/>
  <c r="C1044" i="5"/>
  <c r="K1043" i="5"/>
  <c r="J1043" i="5"/>
  <c r="E1043" i="5"/>
  <c r="D1043" i="5"/>
  <c r="C1043" i="5"/>
  <c r="K1042" i="5"/>
  <c r="J1042" i="5"/>
  <c r="E1042" i="5"/>
  <c r="D1042" i="5"/>
  <c r="C1042" i="5"/>
  <c r="K1041" i="5"/>
  <c r="J1041" i="5"/>
  <c r="E1041" i="5"/>
  <c r="D1041" i="5"/>
  <c r="C1041" i="5"/>
  <c r="K1040" i="5"/>
  <c r="J1040" i="5"/>
  <c r="E1040" i="5"/>
  <c r="D1040" i="5"/>
  <c r="C1040" i="5"/>
  <c r="K1039" i="5"/>
  <c r="J1039" i="5"/>
  <c r="E1039" i="5"/>
  <c r="D1039" i="5"/>
  <c r="C1039" i="5"/>
  <c r="K1038" i="5"/>
  <c r="J1038" i="5"/>
  <c r="E1038" i="5"/>
  <c r="D1038" i="5"/>
  <c r="C1038" i="5"/>
  <c r="K1037" i="5"/>
  <c r="J1037" i="5"/>
  <c r="E1037" i="5"/>
  <c r="D1037" i="5"/>
  <c r="C1037" i="5"/>
  <c r="K1036" i="5"/>
  <c r="J1036" i="5"/>
  <c r="E1036" i="5"/>
  <c r="D1036" i="5"/>
  <c r="C1036" i="5"/>
  <c r="K1035" i="5"/>
  <c r="J1035" i="5"/>
  <c r="E1035" i="5"/>
  <c r="D1035" i="5"/>
  <c r="C1035" i="5"/>
  <c r="K1034" i="5"/>
  <c r="J1034" i="5"/>
  <c r="E1034" i="5"/>
  <c r="D1034" i="5"/>
  <c r="C1034" i="5"/>
  <c r="K1033" i="5"/>
  <c r="J1033" i="5"/>
  <c r="E1033" i="5"/>
  <c r="D1033" i="5"/>
  <c r="C1033" i="5"/>
  <c r="K1032" i="5"/>
  <c r="J1032" i="5"/>
  <c r="E1032" i="5"/>
  <c r="D1032" i="5"/>
  <c r="C1032" i="5"/>
  <c r="K1031" i="5"/>
  <c r="J1031" i="5"/>
  <c r="E1031" i="5"/>
  <c r="D1031" i="5"/>
  <c r="C1031" i="5"/>
  <c r="K1030" i="5"/>
  <c r="J1030" i="5"/>
  <c r="E1030" i="5"/>
  <c r="D1030" i="5"/>
  <c r="C1030" i="5"/>
  <c r="K1029" i="5"/>
  <c r="J1029" i="5"/>
  <c r="E1029" i="5"/>
  <c r="D1029" i="5"/>
  <c r="C1029" i="5"/>
  <c r="K1028" i="5"/>
  <c r="J1028" i="5"/>
  <c r="E1028" i="5"/>
  <c r="D1028" i="5"/>
  <c r="C1028" i="5"/>
  <c r="K1027" i="5"/>
  <c r="J1027" i="5"/>
  <c r="E1027" i="5"/>
  <c r="D1027" i="5"/>
  <c r="C1027" i="5"/>
  <c r="K1026" i="5"/>
  <c r="J1026" i="5"/>
  <c r="E1026" i="5"/>
  <c r="D1026" i="5"/>
  <c r="C1026" i="5"/>
  <c r="K1025" i="5"/>
  <c r="J1025" i="5"/>
  <c r="E1025" i="5"/>
  <c r="D1025" i="5"/>
  <c r="C1025" i="5"/>
  <c r="K1024" i="5"/>
  <c r="J1024" i="5"/>
  <c r="E1024" i="5"/>
  <c r="D1024" i="5"/>
  <c r="C1024" i="5"/>
  <c r="K1023" i="5"/>
  <c r="J1023" i="5"/>
  <c r="E1023" i="5"/>
  <c r="D1023" i="5"/>
  <c r="C1023" i="5"/>
  <c r="K1022" i="5"/>
  <c r="J1022" i="5"/>
  <c r="E1022" i="5"/>
  <c r="D1022" i="5"/>
  <c r="C1022" i="5"/>
  <c r="K1021" i="5"/>
  <c r="J1021" i="5"/>
  <c r="E1021" i="5"/>
  <c r="D1021" i="5"/>
  <c r="C1021" i="5"/>
  <c r="K1020" i="5"/>
  <c r="J1020" i="5"/>
  <c r="E1020" i="5"/>
  <c r="D1020" i="5"/>
  <c r="C1020" i="5"/>
  <c r="K1019" i="5"/>
  <c r="J1019" i="5"/>
  <c r="E1019" i="5"/>
  <c r="D1019" i="5"/>
  <c r="C1019" i="5"/>
  <c r="K1018" i="5"/>
  <c r="J1018" i="5"/>
  <c r="E1018" i="5"/>
  <c r="D1018" i="5"/>
  <c r="C1018" i="5"/>
  <c r="K1017" i="5"/>
  <c r="J1017" i="5"/>
  <c r="E1017" i="5"/>
  <c r="D1017" i="5"/>
  <c r="C1017" i="5"/>
  <c r="K1016" i="5"/>
  <c r="J1016" i="5"/>
  <c r="E1016" i="5"/>
  <c r="D1016" i="5"/>
  <c r="C1016" i="5"/>
  <c r="K1015" i="5"/>
  <c r="J1015" i="5"/>
  <c r="E1015" i="5"/>
  <c r="D1015" i="5"/>
  <c r="C1015" i="5"/>
  <c r="K1014" i="5"/>
  <c r="J1014" i="5"/>
  <c r="E1014" i="5"/>
  <c r="D1014" i="5"/>
  <c r="C1014" i="5"/>
  <c r="K1013" i="5"/>
  <c r="J1013" i="5"/>
  <c r="E1013" i="5"/>
  <c r="D1013" i="5"/>
  <c r="C1013" i="5"/>
  <c r="K1012" i="5"/>
  <c r="J1012" i="5"/>
  <c r="E1012" i="5"/>
  <c r="D1012" i="5"/>
  <c r="C1012" i="5"/>
  <c r="K1011" i="5"/>
  <c r="J1011" i="5"/>
  <c r="E1011" i="5"/>
  <c r="D1011" i="5"/>
  <c r="C1011" i="5"/>
  <c r="K1010" i="5"/>
  <c r="J1010" i="5"/>
  <c r="E1010" i="5"/>
  <c r="D1010" i="5"/>
  <c r="C1010" i="5"/>
  <c r="K1009" i="5"/>
  <c r="J1009" i="5"/>
  <c r="E1009" i="5"/>
  <c r="D1009" i="5"/>
  <c r="C1009" i="5"/>
  <c r="K1008" i="5"/>
  <c r="J1008" i="5"/>
  <c r="E1008" i="5"/>
  <c r="D1008" i="5"/>
  <c r="C1008" i="5"/>
  <c r="K1007" i="5"/>
  <c r="J1007" i="5"/>
  <c r="E1007" i="5"/>
  <c r="D1007" i="5"/>
  <c r="C1007" i="5"/>
  <c r="K1006" i="5"/>
  <c r="J1006" i="5"/>
  <c r="E1006" i="5"/>
  <c r="D1006" i="5"/>
  <c r="C1006" i="5"/>
  <c r="K1005" i="5"/>
  <c r="J1005" i="5"/>
  <c r="E1005" i="5"/>
  <c r="D1005" i="5"/>
  <c r="C1005" i="5"/>
  <c r="K1004" i="5"/>
  <c r="J1004" i="5"/>
  <c r="E1004" i="5"/>
  <c r="D1004" i="5"/>
  <c r="C1004" i="5"/>
  <c r="K1003" i="5"/>
  <c r="J1003" i="5"/>
  <c r="E1003" i="5"/>
  <c r="D1003" i="5"/>
  <c r="C1003" i="5"/>
  <c r="K1002" i="5"/>
  <c r="J1002" i="5"/>
  <c r="E1002" i="5"/>
  <c r="D1002" i="5"/>
  <c r="C1002" i="5"/>
  <c r="K1001" i="5"/>
  <c r="J1001" i="5"/>
  <c r="E1001" i="5"/>
  <c r="D1001" i="5"/>
  <c r="C1001" i="5"/>
  <c r="K1000" i="5"/>
  <c r="J1000" i="5"/>
  <c r="E1000" i="5"/>
  <c r="D1000" i="5"/>
  <c r="C1000" i="5"/>
  <c r="K999" i="5"/>
  <c r="J999" i="5"/>
  <c r="E999" i="5"/>
  <c r="D999" i="5"/>
  <c r="C999" i="5"/>
  <c r="K998" i="5"/>
  <c r="J998" i="5"/>
  <c r="E998" i="5"/>
  <c r="D998" i="5"/>
  <c r="C998" i="5"/>
  <c r="K997" i="5"/>
  <c r="J997" i="5"/>
  <c r="E997" i="5"/>
  <c r="D997" i="5"/>
  <c r="C997" i="5"/>
  <c r="K996" i="5"/>
  <c r="J996" i="5"/>
  <c r="E996" i="5"/>
  <c r="D996" i="5"/>
  <c r="C996" i="5"/>
  <c r="K995" i="5"/>
  <c r="J995" i="5"/>
  <c r="E995" i="5"/>
  <c r="D995" i="5"/>
  <c r="C995" i="5"/>
  <c r="K994" i="5"/>
  <c r="J994" i="5"/>
  <c r="E994" i="5"/>
  <c r="D994" i="5"/>
  <c r="C994" i="5"/>
  <c r="K993" i="5"/>
  <c r="J993" i="5"/>
  <c r="E993" i="5"/>
  <c r="D993" i="5"/>
  <c r="C993" i="5"/>
  <c r="K992" i="5"/>
  <c r="J992" i="5"/>
  <c r="E992" i="5"/>
  <c r="D992" i="5"/>
  <c r="C992" i="5"/>
  <c r="K991" i="5"/>
  <c r="J991" i="5"/>
  <c r="E991" i="5"/>
  <c r="D991" i="5"/>
  <c r="C991" i="5"/>
  <c r="K990" i="5"/>
  <c r="J990" i="5"/>
  <c r="E990" i="5"/>
  <c r="D990" i="5"/>
  <c r="C990" i="5"/>
  <c r="K989" i="5"/>
  <c r="J989" i="5"/>
  <c r="E989" i="5"/>
  <c r="D989" i="5"/>
  <c r="C989" i="5"/>
  <c r="K988" i="5"/>
  <c r="J988" i="5"/>
  <c r="E988" i="5"/>
  <c r="D988" i="5"/>
  <c r="C988" i="5"/>
  <c r="K987" i="5"/>
  <c r="J987" i="5"/>
  <c r="E987" i="5"/>
  <c r="D987" i="5"/>
  <c r="C987" i="5"/>
  <c r="K986" i="5"/>
  <c r="J986" i="5"/>
  <c r="E986" i="5"/>
  <c r="D986" i="5"/>
  <c r="C986" i="5"/>
  <c r="K985" i="5"/>
  <c r="J985" i="5"/>
  <c r="E985" i="5"/>
  <c r="D985" i="5"/>
  <c r="C985" i="5"/>
  <c r="K984" i="5"/>
  <c r="J984" i="5"/>
  <c r="E984" i="5"/>
  <c r="D984" i="5"/>
  <c r="C984" i="5"/>
  <c r="K983" i="5"/>
  <c r="J983" i="5"/>
  <c r="E983" i="5"/>
  <c r="D983" i="5"/>
  <c r="C983" i="5"/>
  <c r="K982" i="5"/>
  <c r="J982" i="5"/>
  <c r="E982" i="5"/>
  <c r="D982" i="5"/>
  <c r="C982" i="5"/>
  <c r="K981" i="5"/>
  <c r="J981" i="5"/>
  <c r="E981" i="5"/>
  <c r="D981" i="5"/>
  <c r="C981" i="5"/>
  <c r="K980" i="5"/>
  <c r="J980" i="5"/>
  <c r="E980" i="5"/>
  <c r="D980" i="5"/>
  <c r="C980" i="5"/>
  <c r="K979" i="5"/>
  <c r="J979" i="5"/>
  <c r="E979" i="5"/>
  <c r="D979" i="5"/>
  <c r="C979" i="5"/>
  <c r="K978" i="5"/>
  <c r="J978" i="5"/>
  <c r="E978" i="5"/>
  <c r="D978" i="5"/>
  <c r="C978" i="5"/>
  <c r="K977" i="5"/>
  <c r="J977" i="5"/>
  <c r="E977" i="5"/>
  <c r="D977" i="5"/>
  <c r="C977" i="5"/>
  <c r="K976" i="5"/>
  <c r="J976" i="5"/>
  <c r="E976" i="5"/>
  <c r="D976" i="5"/>
  <c r="C976" i="5"/>
  <c r="K975" i="5"/>
  <c r="J975" i="5"/>
  <c r="E975" i="5"/>
  <c r="D975" i="5"/>
  <c r="C975" i="5"/>
  <c r="K974" i="5"/>
  <c r="J974" i="5"/>
  <c r="E974" i="5"/>
  <c r="D974" i="5"/>
  <c r="C974" i="5"/>
  <c r="K973" i="5"/>
  <c r="J973" i="5"/>
  <c r="E973" i="5"/>
  <c r="D973" i="5"/>
  <c r="C973" i="5"/>
  <c r="K972" i="5"/>
  <c r="J972" i="5"/>
  <c r="E972" i="5"/>
  <c r="D972" i="5"/>
  <c r="C972" i="5"/>
  <c r="K971" i="5"/>
  <c r="J971" i="5"/>
  <c r="E971" i="5"/>
  <c r="D971" i="5"/>
  <c r="C971" i="5"/>
  <c r="K970" i="5"/>
  <c r="J970" i="5"/>
  <c r="E970" i="5"/>
  <c r="D970" i="5"/>
  <c r="C970" i="5"/>
  <c r="K969" i="5"/>
  <c r="J969" i="5"/>
  <c r="E969" i="5"/>
  <c r="D969" i="5"/>
  <c r="C969" i="5"/>
  <c r="K968" i="5"/>
  <c r="J968" i="5"/>
  <c r="E968" i="5"/>
  <c r="D968" i="5"/>
  <c r="C968" i="5"/>
  <c r="K967" i="5"/>
  <c r="J967" i="5"/>
  <c r="E967" i="5"/>
  <c r="D967" i="5"/>
  <c r="C967" i="5"/>
  <c r="K966" i="5"/>
  <c r="J966" i="5"/>
  <c r="E966" i="5"/>
  <c r="D966" i="5"/>
  <c r="C966" i="5"/>
  <c r="K965" i="5"/>
  <c r="J965" i="5"/>
  <c r="E965" i="5"/>
  <c r="D965" i="5"/>
  <c r="C965" i="5"/>
  <c r="K964" i="5"/>
  <c r="J964" i="5"/>
  <c r="E964" i="5"/>
  <c r="D964" i="5"/>
  <c r="C964" i="5"/>
  <c r="K963" i="5"/>
  <c r="J963" i="5"/>
  <c r="E963" i="5"/>
  <c r="D963" i="5"/>
  <c r="C963" i="5"/>
  <c r="K962" i="5"/>
  <c r="J962" i="5"/>
  <c r="E962" i="5"/>
  <c r="D962" i="5"/>
  <c r="C962" i="5"/>
  <c r="K961" i="5"/>
  <c r="J961" i="5"/>
  <c r="E961" i="5"/>
  <c r="D961" i="5"/>
  <c r="C961" i="5"/>
  <c r="K960" i="5"/>
  <c r="J960" i="5"/>
  <c r="E960" i="5"/>
  <c r="D960" i="5"/>
  <c r="C960" i="5"/>
  <c r="K959" i="5"/>
  <c r="J959" i="5"/>
  <c r="E959" i="5"/>
  <c r="D959" i="5"/>
  <c r="C959" i="5"/>
  <c r="K958" i="5"/>
  <c r="J958" i="5"/>
  <c r="E958" i="5"/>
  <c r="D958" i="5"/>
  <c r="C958" i="5"/>
  <c r="K957" i="5"/>
  <c r="J957" i="5"/>
  <c r="E957" i="5"/>
  <c r="D957" i="5"/>
  <c r="C957" i="5"/>
  <c r="K956" i="5"/>
  <c r="J956" i="5"/>
  <c r="E956" i="5"/>
  <c r="D956" i="5"/>
  <c r="C956" i="5"/>
  <c r="K955" i="5"/>
  <c r="J955" i="5"/>
  <c r="E955" i="5"/>
  <c r="D955" i="5"/>
  <c r="C955" i="5"/>
  <c r="K954" i="5"/>
  <c r="J954" i="5"/>
  <c r="E954" i="5"/>
  <c r="D954" i="5"/>
  <c r="C954" i="5"/>
  <c r="K953" i="5"/>
  <c r="J953" i="5"/>
  <c r="E953" i="5"/>
  <c r="D953" i="5"/>
  <c r="C953" i="5"/>
  <c r="K952" i="5"/>
  <c r="J952" i="5"/>
  <c r="E952" i="5"/>
  <c r="D952" i="5"/>
  <c r="C952" i="5"/>
  <c r="K951" i="5"/>
  <c r="J951" i="5"/>
  <c r="E951" i="5"/>
  <c r="D951" i="5"/>
  <c r="C951" i="5"/>
  <c r="K950" i="5"/>
  <c r="J950" i="5"/>
  <c r="E950" i="5"/>
  <c r="D950" i="5"/>
  <c r="C950" i="5"/>
  <c r="K949" i="5"/>
  <c r="J949" i="5"/>
  <c r="E949" i="5"/>
  <c r="D949" i="5"/>
  <c r="C949" i="5"/>
  <c r="K948" i="5"/>
  <c r="J948" i="5"/>
  <c r="E948" i="5"/>
  <c r="D948" i="5"/>
  <c r="C948" i="5"/>
  <c r="K947" i="5"/>
  <c r="J947" i="5"/>
  <c r="E947" i="5"/>
  <c r="D947" i="5"/>
  <c r="C947" i="5"/>
  <c r="K946" i="5"/>
  <c r="J946" i="5"/>
  <c r="E946" i="5"/>
  <c r="D946" i="5"/>
  <c r="C946" i="5"/>
  <c r="K945" i="5"/>
  <c r="J945" i="5"/>
  <c r="E945" i="5"/>
  <c r="D945" i="5"/>
  <c r="C945" i="5"/>
  <c r="K944" i="5"/>
  <c r="J944" i="5"/>
  <c r="E944" i="5"/>
  <c r="D944" i="5"/>
  <c r="C944" i="5"/>
  <c r="K943" i="5"/>
  <c r="J943" i="5"/>
  <c r="E943" i="5"/>
  <c r="D943" i="5"/>
  <c r="C943" i="5"/>
  <c r="K942" i="5"/>
  <c r="J942" i="5"/>
  <c r="E942" i="5"/>
  <c r="D942" i="5"/>
  <c r="C942" i="5"/>
  <c r="K941" i="5"/>
  <c r="J941" i="5"/>
  <c r="E941" i="5"/>
  <c r="D941" i="5"/>
  <c r="C941" i="5"/>
  <c r="K940" i="5"/>
  <c r="J940" i="5"/>
  <c r="E940" i="5"/>
  <c r="D940" i="5"/>
  <c r="C940" i="5"/>
  <c r="K939" i="5"/>
  <c r="J939" i="5"/>
  <c r="E939" i="5"/>
  <c r="D939" i="5"/>
  <c r="C939" i="5"/>
  <c r="K938" i="5"/>
  <c r="J938" i="5"/>
  <c r="E938" i="5"/>
  <c r="D938" i="5"/>
  <c r="C938" i="5"/>
  <c r="K937" i="5"/>
  <c r="J937" i="5"/>
  <c r="E937" i="5"/>
  <c r="D937" i="5"/>
  <c r="C937" i="5"/>
  <c r="K936" i="5"/>
  <c r="J936" i="5"/>
  <c r="E936" i="5"/>
  <c r="D936" i="5"/>
  <c r="C936" i="5"/>
  <c r="K935" i="5"/>
  <c r="J935" i="5"/>
  <c r="E935" i="5"/>
  <c r="D935" i="5"/>
  <c r="C935" i="5"/>
  <c r="K934" i="5"/>
  <c r="J934" i="5"/>
  <c r="E934" i="5"/>
  <c r="D934" i="5"/>
  <c r="C934" i="5"/>
  <c r="K933" i="5"/>
  <c r="J933" i="5"/>
  <c r="E933" i="5"/>
  <c r="D933" i="5"/>
  <c r="C933" i="5"/>
  <c r="K932" i="5"/>
  <c r="J932" i="5"/>
  <c r="E932" i="5"/>
  <c r="D932" i="5"/>
  <c r="C932" i="5"/>
  <c r="K931" i="5"/>
  <c r="J931" i="5"/>
  <c r="E931" i="5"/>
  <c r="D931" i="5"/>
  <c r="C931" i="5"/>
  <c r="K930" i="5"/>
  <c r="J930" i="5"/>
  <c r="E930" i="5"/>
  <c r="D930" i="5"/>
  <c r="C930" i="5"/>
  <c r="K929" i="5"/>
  <c r="J929" i="5"/>
  <c r="E929" i="5"/>
  <c r="D929" i="5"/>
  <c r="C929" i="5"/>
  <c r="K928" i="5"/>
  <c r="J928" i="5"/>
  <c r="E928" i="5"/>
  <c r="D928" i="5"/>
  <c r="C928" i="5"/>
  <c r="K927" i="5"/>
  <c r="J927" i="5"/>
  <c r="E927" i="5"/>
  <c r="D927" i="5"/>
  <c r="C927" i="5"/>
  <c r="K926" i="5"/>
  <c r="J926" i="5"/>
  <c r="E926" i="5"/>
  <c r="D926" i="5"/>
  <c r="C926" i="5"/>
  <c r="K925" i="5"/>
  <c r="J925" i="5"/>
  <c r="E925" i="5"/>
  <c r="D925" i="5"/>
  <c r="C925" i="5"/>
  <c r="K924" i="5"/>
  <c r="J924" i="5"/>
  <c r="E924" i="5"/>
  <c r="D924" i="5"/>
  <c r="C924" i="5"/>
  <c r="K923" i="5"/>
  <c r="J923" i="5"/>
  <c r="E923" i="5"/>
  <c r="D923" i="5"/>
  <c r="C923" i="5"/>
  <c r="K922" i="5"/>
  <c r="J922" i="5"/>
  <c r="E922" i="5"/>
  <c r="D922" i="5"/>
  <c r="C922" i="5"/>
  <c r="K921" i="5"/>
  <c r="J921" i="5"/>
  <c r="E921" i="5"/>
  <c r="D921" i="5"/>
  <c r="C921" i="5"/>
  <c r="K920" i="5"/>
  <c r="J920" i="5"/>
  <c r="E920" i="5"/>
  <c r="D920" i="5"/>
  <c r="C920" i="5"/>
  <c r="K919" i="5"/>
  <c r="J919" i="5"/>
  <c r="E919" i="5"/>
  <c r="D919" i="5"/>
  <c r="C919" i="5"/>
  <c r="K918" i="5"/>
  <c r="J918" i="5"/>
  <c r="E918" i="5"/>
  <c r="D918" i="5"/>
  <c r="C918" i="5"/>
  <c r="K917" i="5"/>
  <c r="J917" i="5"/>
  <c r="E917" i="5"/>
  <c r="D917" i="5"/>
  <c r="C917" i="5"/>
  <c r="K916" i="5"/>
  <c r="J916" i="5"/>
  <c r="E916" i="5"/>
  <c r="D916" i="5"/>
  <c r="C916" i="5"/>
  <c r="K915" i="5"/>
  <c r="J915" i="5"/>
  <c r="E915" i="5"/>
  <c r="D915" i="5"/>
  <c r="C915" i="5"/>
  <c r="K914" i="5"/>
  <c r="J914" i="5"/>
  <c r="E914" i="5"/>
  <c r="D914" i="5"/>
  <c r="C914" i="5"/>
  <c r="K913" i="5"/>
  <c r="J913" i="5"/>
  <c r="E913" i="5"/>
  <c r="D913" i="5"/>
  <c r="C913" i="5"/>
  <c r="K912" i="5"/>
  <c r="J912" i="5"/>
  <c r="E912" i="5"/>
  <c r="D912" i="5"/>
  <c r="C912" i="5"/>
  <c r="K911" i="5"/>
  <c r="J911" i="5"/>
  <c r="E911" i="5"/>
  <c r="D911" i="5"/>
  <c r="C911" i="5"/>
  <c r="K910" i="5"/>
  <c r="J910" i="5"/>
  <c r="E910" i="5"/>
  <c r="D910" i="5"/>
  <c r="C910" i="5"/>
  <c r="K909" i="5"/>
  <c r="J909" i="5"/>
  <c r="E909" i="5"/>
  <c r="D909" i="5"/>
  <c r="C909" i="5"/>
  <c r="K908" i="5"/>
  <c r="J908" i="5"/>
  <c r="E908" i="5"/>
  <c r="D908" i="5"/>
  <c r="C908" i="5"/>
  <c r="K907" i="5"/>
  <c r="J907" i="5"/>
  <c r="E907" i="5"/>
  <c r="D907" i="5"/>
  <c r="C907" i="5"/>
  <c r="K906" i="5"/>
  <c r="J906" i="5"/>
  <c r="E906" i="5"/>
  <c r="D906" i="5"/>
  <c r="C906" i="5"/>
  <c r="K905" i="5"/>
  <c r="J905" i="5"/>
  <c r="E905" i="5"/>
  <c r="D905" i="5"/>
  <c r="C905" i="5"/>
  <c r="K904" i="5"/>
  <c r="J904" i="5"/>
  <c r="E904" i="5"/>
  <c r="D904" i="5"/>
  <c r="C904" i="5"/>
  <c r="K903" i="5"/>
  <c r="J903" i="5"/>
  <c r="E903" i="5"/>
  <c r="D903" i="5"/>
  <c r="C903" i="5"/>
  <c r="K902" i="5"/>
  <c r="J902" i="5"/>
  <c r="E902" i="5"/>
  <c r="D902" i="5"/>
  <c r="C902" i="5"/>
  <c r="K901" i="5"/>
  <c r="J901" i="5"/>
  <c r="E901" i="5"/>
  <c r="D901" i="5"/>
  <c r="C901" i="5"/>
  <c r="K900" i="5"/>
  <c r="J900" i="5"/>
  <c r="E900" i="5"/>
  <c r="D900" i="5"/>
  <c r="C900" i="5"/>
  <c r="K899" i="5"/>
  <c r="J899" i="5"/>
  <c r="E899" i="5"/>
  <c r="D899" i="5"/>
  <c r="C899" i="5"/>
  <c r="K898" i="5"/>
  <c r="J898" i="5"/>
  <c r="E898" i="5"/>
  <c r="D898" i="5"/>
  <c r="C898" i="5"/>
  <c r="K897" i="5"/>
  <c r="J897" i="5"/>
  <c r="E897" i="5"/>
  <c r="D897" i="5"/>
  <c r="C897" i="5"/>
  <c r="K896" i="5"/>
  <c r="J896" i="5"/>
  <c r="E896" i="5"/>
  <c r="D896" i="5"/>
  <c r="C896" i="5"/>
  <c r="K895" i="5"/>
  <c r="J895" i="5"/>
  <c r="E895" i="5"/>
  <c r="D895" i="5"/>
  <c r="C895" i="5"/>
  <c r="K894" i="5"/>
  <c r="J894" i="5"/>
  <c r="E894" i="5"/>
  <c r="D894" i="5"/>
  <c r="C894" i="5"/>
  <c r="K893" i="5"/>
  <c r="J893" i="5"/>
  <c r="E893" i="5"/>
  <c r="D893" i="5"/>
  <c r="C893" i="5"/>
  <c r="K892" i="5"/>
  <c r="J892" i="5"/>
  <c r="E892" i="5"/>
  <c r="D892" i="5"/>
  <c r="C892" i="5"/>
  <c r="K891" i="5"/>
  <c r="J891" i="5"/>
  <c r="E891" i="5"/>
  <c r="D891" i="5"/>
  <c r="C891" i="5"/>
  <c r="K890" i="5"/>
  <c r="J890" i="5"/>
  <c r="E890" i="5"/>
  <c r="D890" i="5"/>
  <c r="C890" i="5"/>
  <c r="K889" i="5"/>
  <c r="J889" i="5"/>
  <c r="E889" i="5"/>
  <c r="D889" i="5"/>
  <c r="C889" i="5"/>
  <c r="K888" i="5"/>
  <c r="J888" i="5"/>
  <c r="E888" i="5"/>
  <c r="D888" i="5"/>
  <c r="C888" i="5"/>
  <c r="K887" i="5"/>
  <c r="J887" i="5"/>
  <c r="E887" i="5"/>
  <c r="D887" i="5"/>
  <c r="C887" i="5"/>
  <c r="K886" i="5"/>
  <c r="J886" i="5"/>
  <c r="E886" i="5"/>
  <c r="D886" i="5"/>
  <c r="C886" i="5"/>
  <c r="K885" i="5"/>
  <c r="J885" i="5"/>
  <c r="E885" i="5"/>
  <c r="D885" i="5"/>
  <c r="C885" i="5"/>
  <c r="K884" i="5"/>
  <c r="J884" i="5"/>
  <c r="E884" i="5"/>
  <c r="D884" i="5"/>
  <c r="C884" i="5"/>
  <c r="K883" i="5"/>
  <c r="J883" i="5"/>
  <c r="E883" i="5"/>
  <c r="D883" i="5"/>
  <c r="C883" i="5"/>
  <c r="K882" i="5"/>
  <c r="J882" i="5"/>
  <c r="E882" i="5"/>
  <c r="D882" i="5"/>
  <c r="C882" i="5"/>
  <c r="K881" i="5"/>
  <c r="J881" i="5"/>
  <c r="E881" i="5"/>
  <c r="D881" i="5"/>
  <c r="C881" i="5"/>
  <c r="K880" i="5"/>
  <c r="J880" i="5"/>
  <c r="E880" i="5"/>
  <c r="D880" i="5"/>
  <c r="C880" i="5"/>
  <c r="K879" i="5"/>
  <c r="J879" i="5"/>
  <c r="E879" i="5"/>
  <c r="D879" i="5"/>
  <c r="C879" i="5"/>
  <c r="K878" i="5"/>
  <c r="J878" i="5"/>
  <c r="E878" i="5"/>
  <c r="D878" i="5"/>
  <c r="C878" i="5"/>
  <c r="K877" i="5"/>
  <c r="J877" i="5"/>
  <c r="E877" i="5"/>
  <c r="D877" i="5"/>
  <c r="C877" i="5"/>
  <c r="K876" i="5"/>
  <c r="J876" i="5"/>
  <c r="E876" i="5"/>
  <c r="D876" i="5"/>
  <c r="C876" i="5"/>
  <c r="K875" i="5"/>
  <c r="J875" i="5"/>
  <c r="E875" i="5"/>
  <c r="D875" i="5"/>
  <c r="C875" i="5"/>
  <c r="K874" i="5"/>
  <c r="J874" i="5"/>
  <c r="E874" i="5"/>
  <c r="D874" i="5"/>
  <c r="C874" i="5"/>
  <c r="K873" i="5"/>
  <c r="J873" i="5"/>
  <c r="E873" i="5"/>
  <c r="D873" i="5"/>
  <c r="C873" i="5"/>
  <c r="K872" i="5"/>
  <c r="J872" i="5"/>
  <c r="E872" i="5"/>
  <c r="D872" i="5"/>
  <c r="C872" i="5"/>
  <c r="K871" i="5"/>
  <c r="J871" i="5"/>
  <c r="E871" i="5"/>
  <c r="D871" i="5"/>
  <c r="C871" i="5"/>
  <c r="K870" i="5"/>
  <c r="J870" i="5"/>
  <c r="E870" i="5"/>
  <c r="D870" i="5"/>
  <c r="C870" i="5"/>
  <c r="K869" i="5"/>
  <c r="J869" i="5"/>
  <c r="E869" i="5"/>
  <c r="D869" i="5"/>
  <c r="C869" i="5"/>
  <c r="K868" i="5"/>
  <c r="J868" i="5"/>
  <c r="E868" i="5"/>
  <c r="D868" i="5"/>
  <c r="C868" i="5"/>
  <c r="K867" i="5"/>
  <c r="J867" i="5"/>
  <c r="E867" i="5"/>
  <c r="D867" i="5"/>
  <c r="C867" i="5"/>
  <c r="K866" i="5"/>
  <c r="J866" i="5"/>
  <c r="E866" i="5"/>
  <c r="D866" i="5"/>
  <c r="C866" i="5"/>
  <c r="K865" i="5"/>
  <c r="J865" i="5"/>
  <c r="E865" i="5"/>
  <c r="D865" i="5"/>
  <c r="C865" i="5"/>
  <c r="K864" i="5"/>
  <c r="J864" i="5"/>
  <c r="E864" i="5"/>
  <c r="D864" i="5"/>
  <c r="C864" i="5"/>
  <c r="K863" i="5"/>
  <c r="J863" i="5"/>
  <c r="E863" i="5"/>
  <c r="D863" i="5"/>
  <c r="C863" i="5"/>
  <c r="K862" i="5"/>
  <c r="J862" i="5"/>
  <c r="E862" i="5"/>
  <c r="D862" i="5"/>
  <c r="C862" i="5"/>
  <c r="K861" i="5"/>
  <c r="J861" i="5"/>
  <c r="E861" i="5"/>
  <c r="D861" i="5"/>
  <c r="C861" i="5"/>
  <c r="K860" i="5"/>
  <c r="J860" i="5"/>
  <c r="E860" i="5"/>
  <c r="D860" i="5"/>
  <c r="C860" i="5"/>
  <c r="K859" i="5"/>
  <c r="J859" i="5"/>
  <c r="E859" i="5"/>
  <c r="D859" i="5"/>
  <c r="C859" i="5"/>
  <c r="K858" i="5"/>
  <c r="J858" i="5"/>
  <c r="E858" i="5"/>
  <c r="D858" i="5"/>
  <c r="C858" i="5"/>
  <c r="K857" i="5"/>
  <c r="J857" i="5"/>
  <c r="E857" i="5"/>
  <c r="D857" i="5"/>
  <c r="C857" i="5"/>
  <c r="K856" i="5"/>
  <c r="J856" i="5"/>
  <c r="E856" i="5"/>
  <c r="D856" i="5"/>
  <c r="C856" i="5"/>
  <c r="K855" i="5"/>
  <c r="J855" i="5"/>
  <c r="E855" i="5"/>
  <c r="D855" i="5"/>
  <c r="C855" i="5"/>
  <c r="K854" i="5"/>
  <c r="J854" i="5"/>
  <c r="E854" i="5"/>
  <c r="D854" i="5"/>
  <c r="C854" i="5"/>
  <c r="K853" i="5"/>
  <c r="J853" i="5"/>
  <c r="E853" i="5"/>
  <c r="D853" i="5"/>
  <c r="C853" i="5"/>
  <c r="K852" i="5"/>
  <c r="J852" i="5"/>
  <c r="E852" i="5"/>
  <c r="D852" i="5"/>
  <c r="C852" i="5"/>
  <c r="K851" i="5"/>
  <c r="J851" i="5"/>
  <c r="E851" i="5"/>
  <c r="D851" i="5"/>
  <c r="C851" i="5"/>
  <c r="K850" i="5"/>
  <c r="J850" i="5"/>
  <c r="E850" i="5"/>
  <c r="D850" i="5"/>
  <c r="C850" i="5"/>
  <c r="K849" i="5"/>
  <c r="J849" i="5"/>
  <c r="E849" i="5"/>
  <c r="D849" i="5"/>
  <c r="C849" i="5"/>
  <c r="K848" i="5"/>
  <c r="J848" i="5"/>
  <c r="E848" i="5"/>
  <c r="D848" i="5"/>
  <c r="C848" i="5"/>
  <c r="K847" i="5"/>
  <c r="J847" i="5"/>
  <c r="E847" i="5"/>
  <c r="D847" i="5"/>
  <c r="C847" i="5"/>
  <c r="K846" i="5"/>
  <c r="J846" i="5"/>
  <c r="E846" i="5"/>
  <c r="D846" i="5"/>
  <c r="C846" i="5"/>
  <c r="K845" i="5"/>
  <c r="J845" i="5"/>
  <c r="E845" i="5"/>
  <c r="D845" i="5"/>
  <c r="C845" i="5"/>
  <c r="K844" i="5"/>
  <c r="J844" i="5"/>
  <c r="E844" i="5"/>
  <c r="D844" i="5"/>
  <c r="C844" i="5"/>
  <c r="K843" i="5"/>
  <c r="J843" i="5"/>
  <c r="E843" i="5"/>
  <c r="D843" i="5"/>
  <c r="C843" i="5"/>
  <c r="K842" i="5"/>
  <c r="J842" i="5"/>
  <c r="E842" i="5"/>
  <c r="D842" i="5"/>
  <c r="C842" i="5"/>
  <c r="K841" i="5"/>
  <c r="J841" i="5"/>
  <c r="E841" i="5"/>
  <c r="D841" i="5"/>
  <c r="C841" i="5"/>
  <c r="K840" i="5"/>
  <c r="J840" i="5"/>
  <c r="E840" i="5"/>
  <c r="D840" i="5"/>
  <c r="C840" i="5"/>
  <c r="K839" i="5"/>
  <c r="J839" i="5"/>
  <c r="E839" i="5"/>
  <c r="D839" i="5"/>
  <c r="C839" i="5"/>
  <c r="K838" i="5"/>
  <c r="J838" i="5"/>
  <c r="E838" i="5"/>
  <c r="D838" i="5"/>
  <c r="C838" i="5"/>
  <c r="K837" i="5"/>
  <c r="J837" i="5"/>
  <c r="E837" i="5"/>
  <c r="D837" i="5"/>
  <c r="C837" i="5"/>
  <c r="K836" i="5"/>
  <c r="J836" i="5"/>
  <c r="E836" i="5"/>
  <c r="D836" i="5"/>
  <c r="C836" i="5"/>
  <c r="K835" i="5"/>
  <c r="J835" i="5"/>
  <c r="E835" i="5"/>
  <c r="D835" i="5"/>
  <c r="C835" i="5"/>
  <c r="K834" i="5"/>
  <c r="J834" i="5"/>
  <c r="E834" i="5"/>
  <c r="D834" i="5"/>
  <c r="C834" i="5"/>
  <c r="K833" i="5"/>
  <c r="J833" i="5"/>
  <c r="E833" i="5"/>
  <c r="D833" i="5"/>
  <c r="C833" i="5"/>
  <c r="K832" i="5"/>
  <c r="J832" i="5"/>
  <c r="E832" i="5"/>
  <c r="D832" i="5"/>
  <c r="C832" i="5"/>
  <c r="K831" i="5"/>
  <c r="J831" i="5"/>
  <c r="E831" i="5"/>
  <c r="D831" i="5"/>
  <c r="C831" i="5"/>
  <c r="K830" i="5"/>
  <c r="J830" i="5"/>
  <c r="E830" i="5"/>
  <c r="D830" i="5"/>
  <c r="C830" i="5"/>
  <c r="K829" i="5"/>
  <c r="J829" i="5"/>
  <c r="E829" i="5"/>
  <c r="D829" i="5"/>
  <c r="C829" i="5"/>
  <c r="K828" i="5"/>
  <c r="J828" i="5"/>
  <c r="E828" i="5"/>
  <c r="D828" i="5"/>
  <c r="C828" i="5"/>
  <c r="K827" i="5"/>
  <c r="J827" i="5"/>
  <c r="E827" i="5"/>
  <c r="D827" i="5"/>
  <c r="C827" i="5"/>
  <c r="K826" i="5"/>
  <c r="J826" i="5"/>
  <c r="E826" i="5"/>
  <c r="D826" i="5"/>
  <c r="C826" i="5"/>
  <c r="K825" i="5"/>
  <c r="J825" i="5"/>
  <c r="E825" i="5"/>
  <c r="D825" i="5"/>
  <c r="C825" i="5"/>
  <c r="K824" i="5"/>
  <c r="J824" i="5"/>
  <c r="E824" i="5"/>
  <c r="D824" i="5"/>
  <c r="C824" i="5"/>
  <c r="K823" i="5"/>
  <c r="J823" i="5"/>
  <c r="E823" i="5"/>
  <c r="D823" i="5"/>
  <c r="C823" i="5"/>
  <c r="K822" i="5"/>
  <c r="J822" i="5"/>
  <c r="E822" i="5"/>
  <c r="D822" i="5"/>
  <c r="C822" i="5"/>
  <c r="K821" i="5"/>
  <c r="J821" i="5"/>
  <c r="E821" i="5"/>
  <c r="D821" i="5"/>
  <c r="C821" i="5"/>
  <c r="K820" i="5"/>
  <c r="J820" i="5"/>
  <c r="E820" i="5"/>
  <c r="D820" i="5"/>
  <c r="C820" i="5"/>
  <c r="K819" i="5"/>
  <c r="J819" i="5"/>
  <c r="E819" i="5"/>
  <c r="D819" i="5"/>
  <c r="C819" i="5"/>
  <c r="K818" i="5"/>
  <c r="J818" i="5"/>
  <c r="E818" i="5"/>
  <c r="D818" i="5"/>
  <c r="C818" i="5"/>
  <c r="K817" i="5"/>
  <c r="J817" i="5"/>
  <c r="E817" i="5"/>
  <c r="D817" i="5"/>
  <c r="C817" i="5"/>
  <c r="K816" i="5"/>
  <c r="J816" i="5"/>
  <c r="E816" i="5"/>
  <c r="D816" i="5"/>
  <c r="C816" i="5"/>
  <c r="K815" i="5"/>
  <c r="J815" i="5"/>
  <c r="E815" i="5"/>
  <c r="D815" i="5"/>
  <c r="C815" i="5"/>
  <c r="K814" i="5"/>
  <c r="J814" i="5"/>
  <c r="E814" i="5"/>
  <c r="D814" i="5"/>
  <c r="C814" i="5"/>
  <c r="K813" i="5"/>
  <c r="J813" i="5"/>
  <c r="E813" i="5"/>
  <c r="D813" i="5"/>
  <c r="C813" i="5"/>
  <c r="K812" i="5"/>
  <c r="J812" i="5"/>
  <c r="E812" i="5"/>
  <c r="D812" i="5"/>
  <c r="C812" i="5"/>
  <c r="K811" i="5"/>
  <c r="J811" i="5"/>
  <c r="E811" i="5"/>
  <c r="D811" i="5"/>
  <c r="C811" i="5"/>
  <c r="K810" i="5"/>
  <c r="J810" i="5"/>
  <c r="E810" i="5"/>
  <c r="D810" i="5"/>
  <c r="C810" i="5"/>
  <c r="K809" i="5"/>
  <c r="J809" i="5"/>
  <c r="E809" i="5"/>
  <c r="D809" i="5"/>
  <c r="C809" i="5"/>
  <c r="K808" i="5"/>
  <c r="J808" i="5"/>
  <c r="E808" i="5"/>
  <c r="D808" i="5"/>
  <c r="C808" i="5"/>
  <c r="K807" i="5"/>
  <c r="J807" i="5"/>
  <c r="E807" i="5"/>
  <c r="D807" i="5"/>
  <c r="C807" i="5"/>
  <c r="K806" i="5"/>
  <c r="J806" i="5"/>
  <c r="E806" i="5"/>
  <c r="D806" i="5"/>
  <c r="C806" i="5"/>
  <c r="K805" i="5"/>
  <c r="J805" i="5"/>
  <c r="E805" i="5"/>
  <c r="D805" i="5"/>
  <c r="C805" i="5"/>
  <c r="K804" i="5"/>
  <c r="J804" i="5"/>
  <c r="E804" i="5"/>
  <c r="D804" i="5"/>
  <c r="C804" i="5"/>
  <c r="K803" i="5"/>
  <c r="J803" i="5"/>
  <c r="E803" i="5"/>
  <c r="D803" i="5"/>
  <c r="C803" i="5"/>
  <c r="K802" i="5"/>
  <c r="J802" i="5"/>
  <c r="E802" i="5"/>
  <c r="D802" i="5"/>
  <c r="C802" i="5"/>
  <c r="K801" i="5"/>
  <c r="J801" i="5"/>
  <c r="E801" i="5"/>
  <c r="D801" i="5"/>
  <c r="C801" i="5"/>
  <c r="K800" i="5"/>
  <c r="J800" i="5"/>
  <c r="E800" i="5"/>
  <c r="D800" i="5"/>
  <c r="C800" i="5"/>
  <c r="K799" i="5"/>
  <c r="J799" i="5"/>
  <c r="E799" i="5"/>
  <c r="D799" i="5"/>
  <c r="C799" i="5"/>
  <c r="K798" i="5"/>
  <c r="J798" i="5"/>
  <c r="E798" i="5"/>
  <c r="D798" i="5"/>
  <c r="C798" i="5"/>
  <c r="K797" i="5"/>
  <c r="J797" i="5"/>
  <c r="E797" i="5"/>
  <c r="D797" i="5"/>
  <c r="C797" i="5"/>
  <c r="K796" i="5"/>
  <c r="J796" i="5"/>
  <c r="E796" i="5"/>
  <c r="D796" i="5"/>
  <c r="C796" i="5"/>
  <c r="K795" i="5"/>
  <c r="J795" i="5"/>
  <c r="E795" i="5"/>
  <c r="D795" i="5"/>
  <c r="C795" i="5"/>
  <c r="K794" i="5"/>
  <c r="J794" i="5"/>
  <c r="E794" i="5"/>
  <c r="D794" i="5"/>
  <c r="C794" i="5"/>
  <c r="K793" i="5"/>
  <c r="J793" i="5"/>
  <c r="E793" i="5"/>
  <c r="D793" i="5"/>
  <c r="C793" i="5"/>
  <c r="K792" i="5"/>
  <c r="J792" i="5"/>
  <c r="E792" i="5"/>
  <c r="D792" i="5"/>
  <c r="C792" i="5"/>
  <c r="K791" i="5"/>
  <c r="J791" i="5"/>
  <c r="E791" i="5"/>
  <c r="D791" i="5"/>
  <c r="C791" i="5"/>
  <c r="K790" i="5"/>
  <c r="J790" i="5"/>
  <c r="E790" i="5"/>
  <c r="D790" i="5"/>
  <c r="C790" i="5"/>
  <c r="K789" i="5"/>
  <c r="J789" i="5"/>
  <c r="E789" i="5"/>
  <c r="D789" i="5"/>
  <c r="C789" i="5"/>
  <c r="K788" i="5"/>
  <c r="J788" i="5"/>
  <c r="E788" i="5"/>
  <c r="D788" i="5"/>
  <c r="C788" i="5"/>
  <c r="K787" i="5"/>
  <c r="J787" i="5"/>
  <c r="E787" i="5"/>
  <c r="D787" i="5"/>
  <c r="C787" i="5"/>
  <c r="K786" i="5"/>
  <c r="J786" i="5"/>
  <c r="E786" i="5"/>
  <c r="D786" i="5"/>
  <c r="C786" i="5"/>
  <c r="K785" i="5"/>
  <c r="J785" i="5"/>
  <c r="E785" i="5"/>
  <c r="D785" i="5"/>
  <c r="C785" i="5"/>
  <c r="K784" i="5"/>
  <c r="J784" i="5"/>
  <c r="E784" i="5"/>
  <c r="D784" i="5"/>
  <c r="C784" i="5"/>
  <c r="K783" i="5"/>
  <c r="J783" i="5"/>
  <c r="E783" i="5"/>
  <c r="D783" i="5"/>
  <c r="C783" i="5"/>
  <c r="K782" i="5"/>
  <c r="J782" i="5"/>
  <c r="E782" i="5"/>
  <c r="D782" i="5"/>
  <c r="C782" i="5"/>
  <c r="K781" i="5"/>
  <c r="J781" i="5"/>
  <c r="E781" i="5"/>
  <c r="D781" i="5"/>
  <c r="C781" i="5"/>
  <c r="K780" i="5"/>
  <c r="J780" i="5"/>
  <c r="E780" i="5"/>
  <c r="D780" i="5"/>
  <c r="C780" i="5"/>
  <c r="K779" i="5"/>
  <c r="J779" i="5"/>
  <c r="E779" i="5"/>
  <c r="D779" i="5"/>
  <c r="C779" i="5"/>
  <c r="K778" i="5"/>
  <c r="J778" i="5"/>
  <c r="E778" i="5"/>
  <c r="D778" i="5"/>
  <c r="C778" i="5"/>
  <c r="K777" i="5"/>
  <c r="J777" i="5"/>
  <c r="E777" i="5"/>
  <c r="D777" i="5"/>
  <c r="C777" i="5"/>
  <c r="K776" i="5"/>
  <c r="J776" i="5"/>
  <c r="E776" i="5"/>
  <c r="D776" i="5"/>
  <c r="C776" i="5"/>
  <c r="K775" i="5"/>
  <c r="J775" i="5"/>
  <c r="E775" i="5"/>
  <c r="D775" i="5"/>
  <c r="C775" i="5"/>
  <c r="K774" i="5"/>
  <c r="J774" i="5"/>
  <c r="E774" i="5"/>
  <c r="D774" i="5"/>
  <c r="C774" i="5"/>
  <c r="K773" i="5"/>
  <c r="J773" i="5"/>
  <c r="E773" i="5"/>
  <c r="D773" i="5"/>
  <c r="C773" i="5"/>
  <c r="K772" i="5"/>
  <c r="J772" i="5"/>
  <c r="E772" i="5"/>
  <c r="D772" i="5"/>
  <c r="C772" i="5"/>
  <c r="K771" i="5"/>
  <c r="J771" i="5"/>
  <c r="E771" i="5"/>
  <c r="D771" i="5"/>
  <c r="C771" i="5"/>
  <c r="K770" i="5"/>
  <c r="J770" i="5"/>
  <c r="E770" i="5"/>
  <c r="D770" i="5"/>
  <c r="C770" i="5"/>
  <c r="K769" i="5"/>
  <c r="J769" i="5"/>
  <c r="E769" i="5"/>
  <c r="D769" i="5"/>
  <c r="C769" i="5"/>
  <c r="K768" i="5"/>
  <c r="J768" i="5"/>
  <c r="E768" i="5"/>
  <c r="D768" i="5"/>
  <c r="C768" i="5"/>
  <c r="K767" i="5"/>
  <c r="J767" i="5"/>
  <c r="E767" i="5"/>
  <c r="D767" i="5"/>
  <c r="C767" i="5"/>
  <c r="K766" i="5"/>
  <c r="J766" i="5"/>
  <c r="E766" i="5"/>
  <c r="D766" i="5"/>
  <c r="C766" i="5"/>
  <c r="K765" i="5"/>
  <c r="J765" i="5"/>
  <c r="E765" i="5"/>
  <c r="D765" i="5"/>
  <c r="C765" i="5"/>
  <c r="K764" i="5"/>
  <c r="J764" i="5"/>
  <c r="E764" i="5"/>
  <c r="D764" i="5"/>
  <c r="C764" i="5"/>
  <c r="K763" i="5"/>
  <c r="J763" i="5"/>
  <c r="E763" i="5"/>
  <c r="D763" i="5"/>
  <c r="C763" i="5"/>
  <c r="K762" i="5"/>
  <c r="J762" i="5"/>
  <c r="E762" i="5"/>
  <c r="D762" i="5"/>
  <c r="C762" i="5"/>
  <c r="K761" i="5"/>
  <c r="J761" i="5"/>
  <c r="E761" i="5"/>
  <c r="D761" i="5"/>
  <c r="C761" i="5"/>
  <c r="K760" i="5"/>
  <c r="J760" i="5"/>
  <c r="E760" i="5"/>
  <c r="D760" i="5"/>
  <c r="C760" i="5"/>
  <c r="K759" i="5"/>
  <c r="J759" i="5"/>
  <c r="E759" i="5"/>
  <c r="D759" i="5"/>
  <c r="C759" i="5"/>
  <c r="K758" i="5"/>
  <c r="J758" i="5"/>
  <c r="E758" i="5"/>
  <c r="D758" i="5"/>
  <c r="C758" i="5"/>
  <c r="K757" i="5"/>
  <c r="J757" i="5"/>
  <c r="E757" i="5"/>
  <c r="D757" i="5"/>
  <c r="C757" i="5"/>
  <c r="K756" i="5"/>
  <c r="J756" i="5"/>
  <c r="E756" i="5"/>
  <c r="D756" i="5"/>
  <c r="C756" i="5"/>
  <c r="K755" i="5"/>
  <c r="J755" i="5"/>
  <c r="E755" i="5"/>
  <c r="D755" i="5"/>
  <c r="C755" i="5"/>
  <c r="K754" i="5"/>
  <c r="J754" i="5"/>
  <c r="E754" i="5"/>
  <c r="D754" i="5"/>
  <c r="C754" i="5"/>
  <c r="K753" i="5"/>
  <c r="J753" i="5"/>
  <c r="E753" i="5"/>
  <c r="D753" i="5"/>
  <c r="C753" i="5"/>
  <c r="K752" i="5"/>
  <c r="J752" i="5"/>
  <c r="E752" i="5"/>
  <c r="D752" i="5"/>
  <c r="C752" i="5"/>
  <c r="K751" i="5"/>
  <c r="J751" i="5"/>
  <c r="E751" i="5"/>
  <c r="D751" i="5"/>
  <c r="C751" i="5"/>
  <c r="K750" i="5"/>
  <c r="J750" i="5"/>
  <c r="E750" i="5"/>
  <c r="D750" i="5"/>
  <c r="C750" i="5"/>
  <c r="K749" i="5"/>
  <c r="J749" i="5"/>
  <c r="E749" i="5"/>
  <c r="D749" i="5"/>
  <c r="C749" i="5"/>
  <c r="K748" i="5"/>
  <c r="J748" i="5"/>
  <c r="E748" i="5"/>
  <c r="D748" i="5"/>
  <c r="C748" i="5"/>
  <c r="K747" i="5"/>
  <c r="J747" i="5"/>
  <c r="E747" i="5"/>
  <c r="D747" i="5"/>
  <c r="C747" i="5"/>
  <c r="K746" i="5"/>
  <c r="J746" i="5"/>
  <c r="E746" i="5"/>
  <c r="D746" i="5"/>
  <c r="C746" i="5"/>
  <c r="K745" i="5"/>
  <c r="J745" i="5"/>
  <c r="E745" i="5"/>
  <c r="D745" i="5"/>
  <c r="C745" i="5"/>
  <c r="K744" i="5"/>
  <c r="J744" i="5"/>
  <c r="E744" i="5"/>
  <c r="D744" i="5"/>
  <c r="C744" i="5"/>
  <c r="K743" i="5"/>
  <c r="J743" i="5"/>
  <c r="E743" i="5"/>
  <c r="D743" i="5"/>
  <c r="C743" i="5"/>
  <c r="K742" i="5"/>
  <c r="J742" i="5"/>
  <c r="E742" i="5"/>
  <c r="D742" i="5"/>
  <c r="C742" i="5"/>
  <c r="K741" i="5"/>
  <c r="J741" i="5"/>
  <c r="E741" i="5"/>
  <c r="D741" i="5"/>
  <c r="C741" i="5"/>
  <c r="K740" i="5"/>
  <c r="J740" i="5"/>
  <c r="E740" i="5"/>
  <c r="D740" i="5"/>
  <c r="C740" i="5"/>
  <c r="K739" i="5"/>
  <c r="J739" i="5"/>
  <c r="E739" i="5"/>
  <c r="D739" i="5"/>
  <c r="C739" i="5"/>
  <c r="K738" i="5"/>
  <c r="J738" i="5"/>
  <c r="E738" i="5"/>
  <c r="D738" i="5"/>
  <c r="C738" i="5"/>
  <c r="K737" i="5"/>
  <c r="J737" i="5"/>
  <c r="E737" i="5"/>
  <c r="D737" i="5"/>
  <c r="C737" i="5"/>
  <c r="K736" i="5"/>
  <c r="J736" i="5"/>
  <c r="E736" i="5"/>
  <c r="D736" i="5"/>
  <c r="C736" i="5"/>
  <c r="K735" i="5"/>
  <c r="J735" i="5"/>
  <c r="E735" i="5"/>
  <c r="D735" i="5"/>
  <c r="C735" i="5"/>
  <c r="K734" i="5"/>
  <c r="J734" i="5"/>
  <c r="E734" i="5"/>
  <c r="D734" i="5"/>
  <c r="C734" i="5"/>
  <c r="K733" i="5"/>
  <c r="J733" i="5"/>
  <c r="E733" i="5"/>
  <c r="D733" i="5"/>
  <c r="C733" i="5"/>
  <c r="K732" i="5"/>
  <c r="J732" i="5"/>
  <c r="E732" i="5"/>
  <c r="D732" i="5"/>
  <c r="C732" i="5"/>
  <c r="K731" i="5"/>
  <c r="J731" i="5"/>
  <c r="E731" i="5"/>
  <c r="D731" i="5"/>
  <c r="C731" i="5"/>
  <c r="K730" i="5"/>
  <c r="J730" i="5"/>
  <c r="E730" i="5"/>
  <c r="D730" i="5"/>
  <c r="C730" i="5"/>
  <c r="K729" i="5"/>
  <c r="J729" i="5"/>
  <c r="E729" i="5"/>
  <c r="D729" i="5"/>
  <c r="C729" i="5"/>
  <c r="K728" i="5"/>
  <c r="J728" i="5"/>
  <c r="E728" i="5"/>
  <c r="D728" i="5"/>
  <c r="C728" i="5"/>
  <c r="K727" i="5"/>
  <c r="J727" i="5"/>
  <c r="E727" i="5"/>
  <c r="D727" i="5"/>
  <c r="C727" i="5"/>
  <c r="K726" i="5"/>
  <c r="J726" i="5"/>
  <c r="E726" i="5"/>
  <c r="D726" i="5"/>
  <c r="C726" i="5"/>
  <c r="K725" i="5"/>
  <c r="J725" i="5"/>
  <c r="E725" i="5"/>
  <c r="D725" i="5"/>
  <c r="C725" i="5"/>
  <c r="K724" i="5"/>
  <c r="J724" i="5"/>
  <c r="E724" i="5"/>
  <c r="D724" i="5"/>
  <c r="C724" i="5"/>
  <c r="K723" i="5"/>
  <c r="J723" i="5"/>
  <c r="E723" i="5"/>
  <c r="D723" i="5"/>
  <c r="C723" i="5"/>
  <c r="K722" i="5"/>
  <c r="J722" i="5"/>
  <c r="E722" i="5"/>
  <c r="D722" i="5"/>
  <c r="C722" i="5"/>
  <c r="K721" i="5"/>
  <c r="J721" i="5"/>
  <c r="E721" i="5"/>
  <c r="D721" i="5"/>
  <c r="C721" i="5"/>
  <c r="K720" i="5"/>
  <c r="J720" i="5"/>
  <c r="E720" i="5"/>
  <c r="D720" i="5"/>
  <c r="C720" i="5"/>
  <c r="K719" i="5"/>
  <c r="J719" i="5"/>
  <c r="E719" i="5"/>
  <c r="D719" i="5"/>
  <c r="C719" i="5"/>
  <c r="K718" i="5"/>
  <c r="J718" i="5"/>
  <c r="E718" i="5"/>
  <c r="D718" i="5"/>
  <c r="C718" i="5"/>
  <c r="K717" i="5"/>
  <c r="J717" i="5"/>
  <c r="E717" i="5"/>
  <c r="D717" i="5"/>
  <c r="C717" i="5"/>
  <c r="K716" i="5"/>
  <c r="J716" i="5"/>
  <c r="E716" i="5"/>
  <c r="D716" i="5"/>
  <c r="C716" i="5"/>
  <c r="K715" i="5"/>
  <c r="J715" i="5"/>
  <c r="E715" i="5"/>
  <c r="D715" i="5"/>
  <c r="C715" i="5"/>
  <c r="K714" i="5"/>
  <c r="J714" i="5"/>
  <c r="E714" i="5"/>
  <c r="D714" i="5"/>
  <c r="C714" i="5"/>
  <c r="K713" i="5"/>
  <c r="J713" i="5"/>
  <c r="E713" i="5"/>
  <c r="D713" i="5"/>
  <c r="C713" i="5"/>
  <c r="K712" i="5"/>
  <c r="J712" i="5"/>
  <c r="E712" i="5"/>
  <c r="D712" i="5"/>
  <c r="C712" i="5"/>
  <c r="K711" i="5"/>
  <c r="J711" i="5"/>
  <c r="E711" i="5"/>
  <c r="D711" i="5"/>
  <c r="C711" i="5"/>
  <c r="K710" i="5"/>
  <c r="J710" i="5"/>
  <c r="E710" i="5"/>
  <c r="D710" i="5"/>
  <c r="C710" i="5"/>
  <c r="K709" i="5"/>
  <c r="J709" i="5"/>
  <c r="E709" i="5"/>
  <c r="D709" i="5"/>
  <c r="C709" i="5"/>
  <c r="K708" i="5"/>
  <c r="J708" i="5"/>
  <c r="E708" i="5"/>
  <c r="D708" i="5"/>
  <c r="C708" i="5"/>
  <c r="K707" i="5"/>
  <c r="J707" i="5"/>
  <c r="E707" i="5"/>
  <c r="D707" i="5"/>
  <c r="C707" i="5"/>
  <c r="K706" i="5"/>
  <c r="J706" i="5"/>
  <c r="E706" i="5"/>
  <c r="D706" i="5"/>
  <c r="C706" i="5"/>
  <c r="K705" i="5"/>
  <c r="J705" i="5"/>
  <c r="E705" i="5"/>
  <c r="D705" i="5"/>
  <c r="C705" i="5"/>
  <c r="K704" i="5"/>
  <c r="J704" i="5"/>
  <c r="E704" i="5"/>
  <c r="D704" i="5"/>
  <c r="C704" i="5"/>
  <c r="K703" i="5"/>
  <c r="J703" i="5"/>
  <c r="E703" i="5"/>
  <c r="D703" i="5"/>
  <c r="C703" i="5"/>
  <c r="K702" i="5"/>
  <c r="J702" i="5"/>
  <c r="E702" i="5"/>
  <c r="D702" i="5"/>
  <c r="C702" i="5"/>
  <c r="K701" i="5"/>
  <c r="J701" i="5"/>
  <c r="E701" i="5"/>
  <c r="D701" i="5"/>
  <c r="C701" i="5"/>
  <c r="K700" i="5"/>
  <c r="J700" i="5"/>
  <c r="E700" i="5"/>
  <c r="D700" i="5"/>
  <c r="C700" i="5"/>
  <c r="K699" i="5"/>
  <c r="J699" i="5"/>
  <c r="E699" i="5"/>
  <c r="D699" i="5"/>
  <c r="C699" i="5"/>
  <c r="K698" i="5"/>
  <c r="J698" i="5"/>
  <c r="E698" i="5"/>
  <c r="D698" i="5"/>
  <c r="C698" i="5"/>
  <c r="K697" i="5"/>
  <c r="J697" i="5"/>
  <c r="E697" i="5"/>
  <c r="D697" i="5"/>
  <c r="C697" i="5"/>
  <c r="K696" i="5"/>
  <c r="J696" i="5"/>
  <c r="E696" i="5"/>
  <c r="D696" i="5"/>
  <c r="C696" i="5"/>
  <c r="K695" i="5"/>
  <c r="J695" i="5"/>
  <c r="E695" i="5"/>
  <c r="D695" i="5"/>
  <c r="C695" i="5"/>
  <c r="K694" i="5"/>
  <c r="J694" i="5"/>
  <c r="E694" i="5"/>
  <c r="D694" i="5"/>
  <c r="C694" i="5"/>
  <c r="K693" i="5"/>
  <c r="J693" i="5"/>
  <c r="E693" i="5"/>
  <c r="D693" i="5"/>
  <c r="C693" i="5"/>
  <c r="K692" i="5"/>
  <c r="J692" i="5"/>
  <c r="E692" i="5"/>
  <c r="D692" i="5"/>
  <c r="C692" i="5"/>
  <c r="K691" i="5"/>
  <c r="J691" i="5"/>
  <c r="E691" i="5"/>
  <c r="D691" i="5"/>
  <c r="C691" i="5"/>
  <c r="K690" i="5"/>
  <c r="J690" i="5"/>
  <c r="E690" i="5"/>
  <c r="D690" i="5"/>
  <c r="C690" i="5"/>
  <c r="K689" i="5"/>
  <c r="J689" i="5"/>
  <c r="E689" i="5"/>
  <c r="D689" i="5"/>
  <c r="C689" i="5"/>
  <c r="K688" i="5"/>
  <c r="J688" i="5"/>
  <c r="E688" i="5"/>
  <c r="D688" i="5"/>
  <c r="C688" i="5"/>
  <c r="K687" i="5"/>
  <c r="J687" i="5"/>
  <c r="E687" i="5"/>
  <c r="D687" i="5"/>
  <c r="C687" i="5"/>
  <c r="K686" i="5"/>
  <c r="J686" i="5"/>
  <c r="E686" i="5"/>
  <c r="D686" i="5"/>
  <c r="C686" i="5"/>
  <c r="K685" i="5"/>
  <c r="J685" i="5"/>
  <c r="E685" i="5"/>
  <c r="D685" i="5"/>
  <c r="C685" i="5"/>
  <c r="K684" i="5"/>
  <c r="J684" i="5"/>
  <c r="E684" i="5"/>
  <c r="D684" i="5"/>
  <c r="C684" i="5"/>
  <c r="K683" i="5"/>
  <c r="J683" i="5"/>
  <c r="E683" i="5"/>
  <c r="D683" i="5"/>
  <c r="C683" i="5"/>
  <c r="K682" i="5"/>
  <c r="J682" i="5"/>
  <c r="E682" i="5"/>
  <c r="D682" i="5"/>
  <c r="C682" i="5"/>
  <c r="K681" i="5"/>
  <c r="J681" i="5"/>
  <c r="E681" i="5"/>
  <c r="D681" i="5"/>
  <c r="C681" i="5"/>
  <c r="K680" i="5"/>
  <c r="J680" i="5"/>
  <c r="E680" i="5"/>
  <c r="D680" i="5"/>
  <c r="C680" i="5"/>
  <c r="K679" i="5"/>
  <c r="J679" i="5"/>
  <c r="E679" i="5"/>
  <c r="D679" i="5"/>
  <c r="C679" i="5"/>
  <c r="K678" i="5"/>
  <c r="J678" i="5"/>
  <c r="E678" i="5"/>
  <c r="D678" i="5"/>
  <c r="C678" i="5"/>
  <c r="K677" i="5"/>
  <c r="J677" i="5"/>
  <c r="E677" i="5"/>
  <c r="D677" i="5"/>
  <c r="C677" i="5"/>
  <c r="K676" i="5"/>
  <c r="J676" i="5"/>
  <c r="E676" i="5"/>
  <c r="D676" i="5"/>
  <c r="C676" i="5"/>
  <c r="K675" i="5"/>
  <c r="J675" i="5"/>
  <c r="E675" i="5"/>
  <c r="D675" i="5"/>
  <c r="C675" i="5"/>
  <c r="K674" i="5"/>
  <c r="J674" i="5"/>
  <c r="E674" i="5"/>
  <c r="D674" i="5"/>
  <c r="C674" i="5"/>
  <c r="K673" i="5"/>
  <c r="J673" i="5"/>
  <c r="E673" i="5"/>
  <c r="D673" i="5"/>
  <c r="C673" i="5"/>
  <c r="K672" i="5"/>
  <c r="J672" i="5"/>
  <c r="E672" i="5"/>
  <c r="D672" i="5"/>
  <c r="C672" i="5"/>
  <c r="K671" i="5"/>
  <c r="J671" i="5"/>
  <c r="E671" i="5"/>
  <c r="D671" i="5"/>
  <c r="C671" i="5"/>
  <c r="K670" i="5"/>
  <c r="J670" i="5"/>
  <c r="E670" i="5"/>
  <c r="D670" i="5"/>
  <c r="C670" i="5"/>
  <c r="K669" i="5"/>
  <c r="J669" i="5"/>
  <c r="E669" i="5"/>
  <c r="D669" i="5"/>
  <c r="C669" i="5"/>
  <c r="K668" i="5"/>
  <c r="J668" i="5"/>
  <c r="E668" i="5"/>
  <c r="D668" i="5"/>
  <c r="C668" i="5"/>
  <c r="K667" i="5"/>
  <c r="J667" i="5"/>
  <c r="E667" i="5"/>
  <c r="D667" i="5"/>
  <c r="C667" i="5"/>
  <c r="K666" i="5"/>
  <c r="J666" i="5"/>
  <c r="E666" i="5"/>
  <c r="D666" i="5"/>
  <c r="C666" i="5"/>
  <c r="K665" i="5"/>
  <c r="J665" i="5"/>
  <c r="E665" i="5"/>
  <c r="D665" i="5"/>
  <c r="C665" i="5"/>
  <c r="K664" i="5"/>
  <c r="J664" i="5"/>
  <c r="E664" i="5"/>
  <c r="D664" i="5"/>
  <c r="C664" i="5"/>
  <c r="K663" i="5"/>
  <c r="J663" i="5"/>
  <c r="E663" i="5"/>
  <c r="D663" i="5"/>
  <c r="C663" i="5"/>
  <c r="K662" i="5"/>
  <c r="J662" i="5"/>
  <c r="E662" i="5"/>
  <c r="D662" i="5"/>
  <c r="C662" i="5"/>
  <c r="K661" i="5"/>
  <c r="J661" i="5"/>
  <c r="E661" i="5"/>
  <c r="D661" i="5"/>
  <c r="C661" i="5"/>
  <c r="K660" i="5"/>
  <c r="J660" i="5"/>
  <c r="E660" i="5"/>
  <c r="D660" i="5"/>
  <c r="C660" i="5"/>
  <c r="K659" i="5"/>
  <c r="J659" i="5"/>
  <c r="E659" i="5"/>
  <c r="D659" i="5"/>
  <c r="C659" i="5"/>
  <c r="K658" i="5"/>
  <c r="J658" i="5"/>
  <c r="E658" i="5"/>
  <c r="D658" i="5"/>
  <c r="C658" i="5"/>
  <c r="K657" i="5"/>
  <c r="J657" i="5"/>
  <c r="E657" i="5"/>
  <c r="D657" i="5"/>
  <c r="C657" i="5"/>
  <c r="K656" i="5"/>
  <c r="J656" i="5"/>
  <c r="E656" i="5"/>
  <c r="D656" i="5"/>
  <c r="C656" i="5"/>
  <c r="K655" i="5"/>
  <c r="J655" i="5"/>
  <c r="E655" i="5"/>
  <c r="D655" i="5"/>
  <c r="C655" i="5"/>
  <c r="K654" i="5"/>
  <c r="J654" i="5"/>
  <c r="E654" i="5"/>
  <c r="D654" i="5"/>
  <c r="C654" i="5"/>
  <c r="K653" i="5"/>
  <c r="J653" i="5"/>
  <c r="E653" i="5"/>
  <c r="D653" i="5"/>
  <c r="C653" i="5"/>
  <c r="K652" i="5"/>
  <c r="J652" i="5"/>
  <c r="E652" i="5"/>
  <c r="D652" i="5"/>
  <c r="C652" i="5"/>
  <c r="K651" i="5"/>
  <c r="J651" i="5"/>
  <c r="E651" i="5"/>
  <c r="D651" i="5"/>
  <c r="C651" i="5"/>
  <c r="K650" i="5"/>
  <c r="J650" i="5"/>
  <c r="E650" i="5"/>
  <c r="D650" i="5"/>
  <c r="C650" i="5"/>
  <c r="K649" i="5"/>
  <c r="J649" i="5"/>
  <c r="E649" i="5"/>
  <c r="D649" i="5"/>
  <c r="C649" i="5"/>
  <c r="K648" i="5"/>
  <c r="J648" i="5"/>
  <c r="E648" i="5"/>
  <c r="D648" i="5"/>
  <c r="C648" i="5"/>
  <c r="K647" i="5"/>
  <c r="J647" i="5"/>
  <c r="E647" i="5"/>
  <c r="D647" i="5"/>
  <c r="C647" i="5"/>
  <c r="K646" i="5"/>
  <c r="J646" i="5"/>
  <c r="E646" i="5"/>
  <c r="D646" i="5"/>
  <c r="C646" i="5"/>
  <c r="K645" i="5"/>
  <c r="J645" i="5"/>
  <c r="E645" i="5"/>
  <c r="D645" i="5"/>
  <c r="C645" i="5"/>
  <c r="K644" i="5"/>
  <c r="J644" i="5"/>
  <c r="E644" i="5"/>
  <c r="D644" i="5"/>
  <c r="C644" i="5"/>
  <c r="K643" i="5"/>
  <c r="J643" i="5"/>
  <c r="E643" i="5"/>
  <c r="D643" i="5"/>
  <c r="C643" i="5"/>
  <c r="K642" i="5"/>
  <c r="J642" i="5"/>
  <c r="E642" i="5"/>
  <c r="D642" i="5"/>
  <c r="C642" i="5"/>
  <c r="K641" i="5"/>
  <c r="J641" i="5"/>
  <c r="E641" i="5"/>
  <c r="D641" i="5"/>
  <c r="C641" i="5"/>
  <c r="K640" i="5"/>
  <c r="J640" i="5"/>
  <c r="E640" i="5"/>
  <c r="D640" i="5"/>
  <c r="C640" i="5"/>
  <c r="K639" i="5"/>
  <c r="J639" i="5"/>
  <c r="E639" i="5"/>
  <c r="D639" i="5"/>
  <c r="C639" i="5"/>
  <c r="K638" i="5"/>
  <c r="J638" i="5"/>
  <c r="E638" i="5"/>
  <c r="D638" i="5"/>
  <c r="C638" i="5"/>
  <c r="K637" i="5"/>
  <c r="J637" i="5"/>
  <c r="E637" i="5"/>
  <c r="D637" i="5"/>
  <c r="C637" i="5"/>
  <c r="K636" i="5"/>
  <c r="J636" i="5"/>
  <c r="E636" i="5"/>
  <c r="D636" i="5"/>
  <c r="C636" i="5"/>
  <c r="K635" i="5"/>
  <c r="J635" i="5"/>
  <c r="E635" i="5"/>
  <c r="D635" i="5"/>
  <c r="C635" i="5"/>
  <c r="K634" i="5"/>
  <c r="J634" i="5"/>
  <c r="E634" i="5"/>
  <c r="D634" i="5"/>
  <c r="C634" i="5"/>
  <c r="K633" i="5"/>
  <c r="J633" i="5"/>
  <c r="E633" i="5"/>
  <c r="D633" i="5"/>
  <c r="C633" i="5"/>
  <c r="K632" i="5"/>
  <c r="J632" i="5"/>
  <c r="E632" i="5"/>
  <c r="D632" i="5"/>
  <c r="C632" i="5"/>
  <c r="K631" i="5"/>
  <c r="J631" i="5"/>
  <c r="E631" i="5"/>
  <c r="D631" i="5"/>
  <c r="C631" i="5"/>
  <c r="K630" i="5"/>
  <c r="J630" i="5"/>
  <c r="E630" i="5"/>
  <c r="D630" i="5"/>
  <c r="C630" i="5"/>
  <c r="K629" i="5"/>
  <c r="J629" i="5"/>
  <c r="E629" i="5"/>
  <c r="D629" i="5"/>
  <c r="C629" i="5"/>
  <c r="K628" i="5"/>
  <c r="J628" i="5"/>
  <c r="E628" i="5"/>
  <c r="D628" i="5"/>
  <c r="C628" i="5"/>
  <c r="K627" i="5"/>
  <c r="J627" i="5"/>
  <c r="E627" i="5"/>
  <c r="D627" i="5"/>
  <c r="C627" i="5"/>
  <c r="K626" i="5"/>
  <c r="J626" i="5"/>
  <c r="E626" i="5"/>
  <c r="D626" i="5"/>
  <c r="C626" i="5"/>
  <c r="K625" i="5"/>
  <c r="J625" i="5"/>
  <c r="E625" i="5"/>
  <c r="D625" i="5"/>
  <c r="C625" i="5"/>
  <c r="K624" i="5"/>
  <c r="J624" i="5"/>
  <c r="E624" i="5"/>
  <c r="D624" i="5"/>
  <c r="C624" i="5"/>
  <c r="K623" i="5"/>
  <c r="J623" i="5"/>
  <c r="E623" i="5"/>
  <c r="D623" i="5"/>
  <c r="C623" i="5"/>
  <c r="K622" i="5"/>
  <c r="J622" i="5"/>
  <c r="E622" i="5"/>
  <c r="D622" i="5"/>
  <c r="C622" i="5"/>
  <c r="K621" i="5"/>
  <c r="J621" i="5"/>
  <c r="E621" i="5"/>
  <c r="D621" i="5"/>
  <c r="C621" i="5"/>
  <c r="K620" i="5"/>
  <c r="J620" i="5"/>
  <c r="E620" i="5"/>
  <c r="D620" i="5"/>
  <c r="C620" i="5"/>
  <c r="K619" i="5"/>
  <c r="J619" i="5"/>
  <c r="E619" i="5"/>
  <c r="D619" i="5"/>
  <c r="C619" i="5"/>
  <c r="K618" i="5"/>
  <c r="J618" i="5"/>
  <c r="E618" i="5"/>
  <c r="D618" i="5"/>
  <c r="C618" i="5"/>
  <c r="K617" i="5"/>
  <c r="J617" i="5"/>
  <c r="E617" i="5"/>
  <c r="D617" i="5"/>
  <c r="C617" i="5"/>
  <c r="K616" i="5"/>
  <c r="J616" i="5"/>
  <c r="E616" i="5"/>
  <c r="D616" i="5"/>
  <c r="C616" i="5"/>
  <c r="K615" i="5"/>
  <c r="J615" i="5"/>
  <c r="E615" i="5"/>
  <c r="D615" i="5"/>
  <c r="C615" i="5"/>
  <c r="K614" i="5"/>
  <c r="J614" i="5"/>
  <c r="E614" i="5"/>
  <c r="D614" i="5"/>
  <c r="C614" i="5"/>
  <c r="K613" i="5"/>
  <c r="J613" i="5"/>
  <c r="E613" i="5"/>
  <c r="D613" i="5"/>
  <c r="C613" i="5"/>
  <c r="K612" i="5"/>
  <c r="J612" i="5"/>
  <c r="E612" i="5"/>
  <c r="D612" i="5"/>
  <c r="C612" i="5"/>
  <c r="K611" i="5"/>
  <c r="J611" i="5"/>
  <c r="E611" i="5"/>
  <c r="D611" i="5"/>
  <c r="C611" i="5"/>
  <c r="K610" i="5"/>
  <c r="J610" i="5"/>
  <c r="E610" i="5"/>
  <c r="D610" i="5"/>
  <c r="C610" i="5"/>
  <c r="K609" i="5"/>
  <c r="J609" i="5"/>
  <c r="E609" i="5"/>
  <c r="D609" i="5"/>
  <c r="C609" i="5"/>
  <c r="K608" i="5"/>
  <c r="J608" i="5"/>
  <c r="E608" i="5"/>
  <c r="D608" i="5"/>
  <c r="C608" i="5"/>
  <c r="K607" i="5"/>
  <c r="J607" i="5"/>
  <c r="E607" i="5"/>
  <c r="D607" i="5"/>
  <c r="C607" i="5"/>
  <c r="K606" i="5"/>
  <c r="J606" i="5"/>
  <c r="E606" i="5"/>
  <c r="D606" i="5"/>
  <c r="C606" i="5"/>
  <c r="K605" i="5"/>
  <c r="J605" i="5"/>
  <c r="E605" i="5"/>
  <c r="D605" i="5"/>
  <c r="C605" i="5"/>
  <c r="K604" i="5"/>
  <c r="J604" i="5"/>
  <c r="E604" i="5"/>
  <c r="D604" i="5"/>
  <c r="C604" i="5"/>
  <c r="K603" i="5"/>
  <c r="J603" i="5"/>
  <c r="E603" i="5"/>
  <c r="D603" i="5"/>
  <c r="C603" i="5"/>
  <c r="K602" i="5"/>
  <c r="J602" i="5"/>
  <c r="E602" i="5"/>
  <c r="D602" i="5"/>
  <c r="C602" i="5"/>
  <c r="K601" i="5"/>
  <c r="J601" i="5"/>
  <c r="E601" i="5"/>
  <c r="D601" i="5"/>
  <c r="C601" i="5"/>
  <c r="K600" i="5"/>
  <c r="J600" i="5"/>
  <c r="E600" i="5"/>
  <c r="D600" i="5"/>
  <c r="C600" i="5"/>
  <c r="K599" i="5"/>
  <c r="J599" i="5"/>
  <c r="E599" i="5"/>
  <c r="D599" i="5"/>
  <c r="C599" i="5"/>
  <c r="K598" i="5"/>
  <c r="J598" i="5"/>
  <c r="E598" i="5"/>
  <c r="D598" i="5"/>
  <c r="C598" i="5"/>
  <c r="K597" i="5"/>
  <c r="J597" i="5"/>
  <c r="E597" i="5"/>
  <c r="D597" i="5"/>
  <c r="C597" i="5"/>
  <c r="K596" i="5"/>
  <c r="J596" i="5"/>
  <c r="E596" i="5"/>
  <c r="D596" i="5"/>
  <c r="C596" i="5"/>
  <c r="K595" i="5"/>
  <c r="J595" i="5"/>
  <c r="E595" i="5"/>
  <c r="D595" i="5"/>
  <c r="C595" i="5"/>
  <c r="K594" i="5"/>
  <c r="J594" i="5"/>
  <c r="E594" i="5"/>
  <c r="D594" i="5"/>
  <c r="C594" i="5"/>
  <c r="K593" i="5"/>
  <c r="J593" i="5"/>
  <c r="E593" i="5"/>
  <c r="D593" i="5"/>
  <c r="C593" i="5"/>
  <c r="K592" i="5"/>
  <c r="J592" i="5"/>
  <c r="E592" i="5"/>
  <c r="D592" i="5"/>
  <c r="C592" i="5"/>
  <c r="K591" i="5"/>
  <c r="J591" i="5"/>
  <c r="E591" i="5"/>
  <c r="D591" i="5"/>
  <c r="C591" i="5"/>
  <c r="K590" i="5"/>
  <c r="J590" i="5"/>
  <c r="E590" i="5"/>
  <c r="D590" i="5"/>
  <c r="C590" i="5"/>
  <c r="K589" i="5"/>
  <c r="J589" i="5"/>
  <c r="E589" i="5"/>
  <c r="D589" i="5"/>
  <c r="C589" i="5"/>
  <c r="K588" i="5"/>
  <c r="J588" i="5"/>
  <c r="E588" i="5"/>
  <c r="D588" i="5"/>
  <c r="C588" i="5"/>
  <c r="K587" i="5"/>
  <c r="J587" i="5"/>
  <c r="E587" i="5"/>
  <c r="D587" i="5"/>
  <c r="C587" i="5"/>
  <c r="K586" i="5"/>
  <c r="J586" i="5"/>
  <c r="E586" i="5"/>
  <c r="D586" i="5"/>
  <c r="C586" i="5"/>
  <c r="K585" i="5"/>
  <c r="J585" i="5"/>
  <c r="E585" i="5"/>
  <c r="D585" i="5"/>
  <c r="C585" i="5"/>
  <c r="K584" i="5"/>
  <c r="J584" i="5"/>
  <c r="E584" i="5"/>
  <c r="D584" i="5"/>
  <c r="C584" i="5"/>
  <c r="K583" i="5"/>
  <c r="J583" i="5"/>
  <c r="E583" i="5"/>
  <c r="D583" i="5"/>
  <c r="C583" i="5"/>
  <c r="K582" i="5"/>
  <c r="J582" i="5"/>
  <c r="E582" i="5"/>
  <c r="D582" i="5"/>
  <c r="C582" i="5"/>
  <c r="K581" i="5"/>
  <c r="J581" i="5"/>
  <c r="E581" i="5"/>
  <c r="D581" i="5"/>
  <c r="C581" i="5"/>
  <c r="K580" i="5"/>
  <c r="J580" i="5"/>
  <c r="E580" i="5"/>
  <c r="D580" i="5"/>
  <c r="C580" i="5"/>
  <c r="K579" i="5"/>
  <c r="J579" i="5"/>
  <c r="E579" i="5"/>
  <c r="D579" i="5"/>
  <c r="C579" i="5"/>
  <c r="K578" i="5"/>
  <c r="J578" i="5"/>
  <c r="E578" i="5"/>
  <c r="D578" i="5"/>
  <c r="C578" i="5"/>
  <c r="K577" i="5"/>
  <c r="J577" i="5"/>
  <c r="E577" i="5"/>
  <c r="D577" i="5"/>
  <c r="C577" i="5"/>
  <c r="K576" i="5"/>
  <c r="J576" i="5"/>
  <c r="E576" i="5"/>
  <c r="D576" i="5"/>
  <c r="C576" i="5"/>
  <c r="K575" i="5"/>
  <c r="J575" i="5"/>
  <c r="E575" i="5"/>
  <c r="D575" i="5"/>
  <c r="C575" i="5"/>
  <c r="K574" i="5"/>
  <c r="J574" i="5"/>
  <c r="E574" i="5"/>
  <c r="D574" i="5"/>
  <c r="C574" i="5"/>
  <c r="K573" i="5"/>
  <c r="J573" i="5"/>
  <c r="E573" i="5"/>
  <c r="D573" i="5"/>
  <c r="C573" i="5"/>
  <c r="K572" i="5"/>
  <c r="J572" i="5"/>
  <c r="E572" i="5"/>
  <c r="D572" i="5"/>
  <c r="C572" i="5"/>
  <c r="K571" i="5"/>
  <c r="J571" i="5"/>
  <c r="E571" i="5"/>
  <c r="D571" i="5"/>
  <c r="C571" i="5"/>
  <c r="K570" i="5"/>
  <c r="J570" i="5"/>
  <c r="E570" i="5"/>
  <c r="D570" i="5"/>
  <c r="C570" i="5"/>
  <c r="K569" i="5"/>
  <c r="J569" i="5"/>
  <c r="E569" i="5"/>
  <c r="D569" i="5"/>
  <c r="C569" i="5"/>
  <c r="K568" i="5"/>
  <c r="J568" i="5"/>
  <c r="E568" i="5"/>
  <c r="D568" i="5"/>
  <c r="C568" i="5"/>
  <c r="K567" i="5"/>
  <c r="J567" i="5"/>
  <c r="E567" i="5"/>
  <c r="D567" i="5"/>
  <c r="C567" i="5"/>
  <c r="K566" i="5"/>
  <c r="J566" i="5"/>
  <c r="E566" i="5"/>
  <c r="D566" i="5"/>
  <c r="C566" i="5"/>
  <c r="K565" i="5"/>
  <c r="J565" i="5"/>
  <c r="E565" i="5"/>
  <c r="D565" i="5"/>
  <c r="C565" i="5"/>
  <c r="K564" i="5"/>
  <c r="J564" i="5"/>
  <c r="E564" i="5"/>
  <c r="D564" i="5"/>
  <c r="C564" i="5"/>
  <c r="K563" i="5"/>
  <c r="J563" i="5"/>
  <c r="E563" i="5"/>
  <c r="D563" i="5"/>
  <c r="C563" i="5"/>
  <c r="K562" i="5"/>
  <c r="J562" i="5"/>
  <c r="E562" i="5"/>
  <c r="D562" i="5"/>
  <c r="C562" i="5"/>
  <c r="K561" i="5"/>
  <c r="J561" i="5"/>
  <c r="E561" i="5"/>
  <c r="D561" i="5"/>
  <c r="C561" i="5"/>
  <c r="K560" i="5"/>
  <c r="J560" i="5"/>
  <c r="E560" i="5"/>
  <c r="D560" i="5"/>
  <c r="C560" i="5"/>
  <c r="K559" i="5"/>
  <c r="J559" i="5"/>
  <c r="E559" i="5"/>
  <c r="D559" i="5"/>
  <c r="C559" i="5"/>
  <c r="K558" i="5"/>
  <c r="J558" i="5"/>
  <c r="E558" i="5"/>
  <c r="D558" i="5"/>
  <c r="C558" i="5"/>
  <c r="K557" i="5"/>
  <c r="J557" i="5"/>
  <c r="E557" i="5"/>
  <c r="D557" i="5"/>
  <c r="C557" i="5"/>
  <c r="K556" i="5"/>
  <c r="J556" i="5"/>
  <c r="E556" i="5"/>
  <c r="D556" i="5"/>
  <c r="C556" i="5"/>
  <c r="K555" i="5"/>
  <c r="J555" i="5"/>
  <c r="E555" i="5"/>
  <c r="D555" i="5"/>
  <c r="C555" i="5"/>
  <c r="K554" i="5"/>
  <c r="J554" i="5"/>
  <c r="E554" i="5"/>
  <c r="D554" i="5"/>
  <c r="C554" i="5"/>
  <c r="K553" i="5"/>
  <c r="J553" i="5"/>
  <c r="E553" i="5"/>
  <c r="D553" i="5"/>
  <c r="C553" i="5"/>
  <c r="K552" i="5"/>
  <c r="J552" i="5"/>
  <c r="E552" i="5"/>
  <c r="D552" i="5"/>
  <c r="C552" i="5"/>
  <c r="K551" i="5"/>
  <c r="J551" i="5"/>
  <c r="E551" i="5"/>
  <c r="D551" i="5"/>
  <c r="C551" i="5"/>
  <c r="K550" i="5"/>
  <c r="J550" i="5"/>
  <c r="E550" i="5"/>
  <c r="D550" i="5"/>
  <c r="C550" i="5"/>
  <c r="K549" i="5"/>
  <c r="J549" i="5"/>
  <c r="E549" i="5"/>
  <c r="D549" i="5"/>
  <c r="C549" i="5"/>
  <c r="K548" i="5"/>
  <c r="J548" i="5"/>
  <c r="E548" i="5"/>
  <c r="D548" i="5"/>
  <c r="C548" i="5"/>
  <c r="K547" i="5"/>
  <c r="J547" i="5"/>
  <c r="E547" i="5"/>
  <c r="D547" i="5"/>
  <c r="C547" i="5"/>
  <c r="K546" i="5"/>
  <c r="J546" i="5"/>
  <c r="E546" i="5"/>
  <c r="D546" i="5"/>
  <c r="C546" i="5"/>
  <c r="K545" i="5"/>
  <c r="J545" i="5"/>
  <c r="E545" i="5"/>
  <c r="D545" i="5"/>
  <c r="C545" i="5"/>
  <c r="K544" i="5"/>
  <c r="J544" i="5"/>
  <c r="E544" i="5"/>
  <c r="D544" i="5"/>
  <c r="C544" i="5"/>
  <c r="K543" i="5"/>
  <c r="J543" i="5"/>
  <c r="E543" i="5"/>
  <c r="D543" i="5"/>
  <c r="C543" i="5"/>
  <c r="K542" i="5"/>
  <c r="J542" i="5"/>
  <c r="E542" i="5"/>
  <c r="D542" i="5"/>
  <c r="C542" i="5"/>
  <c r="K541" i="5"/>
  <c r="J541" i="5"/>
  <c r="E541" i="5"/>
  <c r="D541" i="5"/>
  <c r="C541" i="5"/>
  <c r="K540" i="5"/>
  <c r="J540" i="5"/>
  <c r="E540" i="5"/>
  <c r="D540" i="5"/>
  <c r="C540" i="5"/>
  <c r="K539" i="5"/>
  <c r="J539" i="5"/>
  <c r="E539" i="5"/>
  <c r="D539" i="5"/>
  <c r="C539" i="5"/>
  <c r="K538" i="5"/>
  <c r="J538" i="5"/>
  <c r="E538" i="5"/>
  <c r="D538" i="5"/>
  <c r="C538" i="5"/>
  <c r="K537" i="5"/>
  <c r="J537" i="5"/>
  <c r="E537" i="5"/>
  <c r="D537" i="5"/>
  <c r="C537" i="5"/>
  <c r="K536" i="5"/>
  <c r="J536" i="5"/>
  <c r="E536" i="5"/>
  <c r="D536" i="5"/>
  <c r="C536" i="5"/>
  <c r="K535" i="5"/>
  <c r="J535" i="5"/>
  <c r="E535" i="5"/>
  <c r="D535" i="5"/>
  <c r="C535" i="5"/>
  <c r="K534" i="5"/>
  <c r="J534" i="5"/>
  <c r="E534" i="5"/>
  <c r="D534" i="5"/>
  <c r="C534" i="5"/>
  <c r="K533" i="5"/>
  <c r="J533" i="5"/>
  <c r="E533" i="5"/>
  <c r="D533" i="5"/>
  <c r="C533" i="5"/>
  <c r="K532" i="5"/>
  <c r="J532" i="5"/>
  <c r="E532" i="5"/>
  <c r="D532" i="5"/>
  <c r="C532" i="5"/>
  <c r="K531" i="5"/>
  <c r="J531" i="5"/>
  <c r="E531" i="5"/>
  <c r="D531" i="5"/>
  <c r="C531" i="5"/>
  <c r="K530" i="5"/>
  <c r="J530" i="5"/>
  <c r="E530" i="5"/>
  <c r="D530" i="5"/>
  <c r="C530" i="5"/>
  <c r="K529" i="5"/>
  <c r="J529" i="5"/>
  <c r="E529" i="5"/>
  <c r="D529" i="5"/>
  <c r="C529" i="5"/>
  <c r="K528" i="5"/>
  <c r="J528" i="5"/>
  <c r="E528" i="5"/>
  <c r="D528" i="5"/>
  <c r="C528" i="5"/>
  <c r="K527" i="5"/>
  <c r="J527" i="5"/>
  <c r="E527" i="5"/>
  <c r="D527" i="5"/>
  <c r="C527" i="5"/>
  <c r="K526" i="5"/>
  <c r="J526" i="5"/>
  <c r="E526" i="5"/>
  <c r="D526" i="5"/>
  <c r="C526" i="5"/>
  <c r="K525" i="5"/>
  <c r="J525" i="5"/>
  <c r="E525" i="5"/>
  <c r="D525" i="5"/>
  <c r="C525" i="5"/>
  <c r="K524" i="5"/>
  <c r="J524" i="5"/>
  <c r="E524" i="5"/>
  <c r="D524" i="5"/>
  <c r="C524" i="5"/>
  <c r="K523" i="5"/>
  <c r="J523" i="5"/>
  <c r="E523" i="5"/>
  <c r="D523" i="5"/>
  <c r="C523" i="5"/>
  <c r="K522" i="5"/>
  <c r="J522" i="5"/>
  <c r="E522" i="5"/>
  <c r="D522" i="5"/>
  <c r="C522" i="5"/>
  <c r="K521" i="5"/>
  <c r="J521" i="5"/>
  <c r="E521" i="5"/>
  <c r="D521" i="5"/>
  <c r="C521" i="5"/>
  <c r="K520" i="5"/>
  <c r="J520" i="5"/>
  <c r="E520" i="5"/>
  <c r="D520" i="5"/>
  <c r="C520" i="5"/>
  <c r="K519" i="5"/>
  <c r="J519" i="5"/>
  <c r="E519" i="5"/>
  <c r="D519" i="5"/>
  <c r="C519" i="5"/>
  <c r="K518" i="5"/>
  <c r="J518" i="5"/>
  <c r="E518" i="5"/>
  <c r="D518" i="5"/>
  <c r="C518" i="5"/>
  <c r="K517" i="5"/>
  <c r="J517" i="5"/>
  <c r="E517" i="5"/>
  <c r="D517" i="5"/>
  <c r="C517" i="5"/>
  <c r="K516" i="5"/>
  <c r="J516" i="5"/>
  <c r="E516" i="5"/>
  <c r="D516" i="5"/>
  <c r="C516" i="5"/>
  <c r="K515" i="5"/>
  <c r="J515" i="5"/>
  <c r="E515" i="5"/>
  <c r="D515" i="5"/>
  <c r="C515" i="5"/>
  <c r="K514" i="5"/>
  <c r="J514" i="5"/>
  <c r="E514" i="5"/>
  <c r="D514" i="5"/>
  <c r="C514" i="5"/>
  <c r="K513" i="5"/>
  <c r="J513" i="5"/>
  <c r="E513" i="5"/>
  <c r="D513" i="5"/>
  <c r="C513" i="5"/>
  <c r="K512" i="5"/>
  <c r="J512" i="5"/>
  <c r="E512" i="5"/>
  <c r="D512" i="5"/>
  <c r="C512" i="5"/>
  <c r="K511" i="5"/>
  <c r="J511" i="5"/>
  <c r="E511" i="5"/>
  <c r="D511" i="5"/>
  <c r="C511" i="5"/>
  <c r="K510" i="5"/>
  <c r="J510" i="5"/>
  <c r="E510" i="5"/>
  <c r="D510" i="5"/>
  <c r="C510" i="5"/>
  <c r="K509" i="5"/>
  <c r="J509" i="5"/>
  <c r="E509" i="5"/>
  <c r="D509" i="5"/>
  <c r="C509" i="5"/>
  <c r="K508" i="5"/>
  <c r="J508" i="5"/>
  <c r="E508" i="5"/>
  <c r="D508" i="5"/>
  <c r="C508" i="5"/>
  <c r="K507" i="5"/>
  <c r="J507" i="5"/>
  <c r="E507" i="5"/>
  <c r="D507" i="5"/>
  <c r="C507" i="5"/>
  <c r="K506" i="5"/>
  <c r="J506" i="5"/>
  <c r="E506" i="5"/>
  <c r="D506" i="5"/>
  <c r="C506" i="5"/>
  <c r="K505" i="5"/>
  <c r="J505" i="5"/>
  <c r="E505" i="5"/>
  <c r="D505" i="5"/>
  <c r="C505" i="5"/>
  <c r="K504" i="5"/>
  <c r="J504" i="5"/>
  <c r="E504" i="5"/>
  <c r="D504" i="5"/>
  <c r="C504" i="5"/>
  <c r="K503" i="5"/>
  <c r="J503" i="5"/>
  <c r="E503" i="5"/>
  <c r="D503" i="5"/>
  <c r="C503" i="5"/>
  <c r="K502" i="5"/>
  <c r="J502" i="5"/>
  <c r="E502" i="5"/>
  <c r="D502" i="5"/>
  <c r="C502" i="5"/>
  <c r="K501" i="5"/>
  <c r="J501" i="5"/>
  <c r="E501" i="5"/>
  <c r="D501" i="5"/>
  <c r="C501" i="5"/>
  <c r="K500" i="5"/>
  <c r="J500" i="5"/>
  <c r="E500" i="5"/>
  <c r="D500" i="5"/>
  <c r="C500" i="5"/>
  <c r="K499" i="5"/>
  <c r="J499" i="5"/>
  <c r="E499" i="5"/>
  <c r="D499" i="5"/>
  <c r="C499" i="5"/>
  <c r="K498" i="5"/>
  <c r="J498" i="5"/>
  <c r="E498" i="5"/>
  <c r="D498" i="5"/>
  <c r="C498" i="5"/>
  <c r="K497" i="5"/>
  <c r="J497" i="5"/>
  <c r="E497" i="5"/>
  <c r="D497" i="5"/>
  <c r="C497" i="5"/>
  <c r="K496" i="5"/>
  <c r="J496" i="5"/>
  <c r="E496" i="5"/>
  <c r="D496" i="5"/>
  <c r="C496" i="5"/>
  <c r="K495" i="5"/>
  <c r="J495" i="5"/>
  <c r="E495" i="5"/>
  <c r="D495" i="5"/>
  <c r="C495" i="5"/>
  <c r="K494" i="5"/>
  <c r="J494" i="5"/>
  <c r="E494" i="5"/>
  <c r="D494" i="5"/>
  <c r="C494" i="5"/>
  <c r="K493" i="5"/>
  <c r="J493" i="5"/>
  <c r="E493" i="5"/>
  <c r="D493" i="5"/>
  <c r="C493" i="5"/>
  <c r="K492" i="5"/>
  <c r="J492" i="5"/>
  <c r="E492" i="5"/>
  <c r="D492" i="5"/>
  <c r="C492" i="5"/>
  <c r="K491" i="5"/>
  <c r="J491" i="5"/>
  <c r="E491" i="5"/>
  <c r="D491" i="5"/>
  <c r="C491" i="5"/>
  <c r="K490" i="5"/>
  <c r="J490" i="5"/>
  <c r="E490" i="5"/>
  <c r="D490" i="5"/>
  <c r="C490" i="5"/>
  <c r="K489" i="5"/>
  <c r="J489" i="5"/>
  <c r="E489" i="5"/>
  <c r="D489" i="5"/>
  <c r="C489" i="5"/>
  <c r="K488" i="5"/>
  <c r="J488" i="5"/>
  <c r="E488" i="5"/>
  <c r="D488" i="5"/>
  <c r="C488" i="5"/>
  <c r="K487" i="5"/>
  <c r="J487" i="5"/>
  <c r="E487" i="5"/>
  <c r="D487" i="5"/>
  <c r="C487" i="5"/>
  <c r="K486" i="5"/>
  <c r="J486" i="5"/>
  <c r="E486" i="5"/>
  <c r="D486" i="5"/>
  <c r="C486" i="5"/>
  <c r="K485" i="5"/>
  <c r="J485" i="5"/>
  <c r="E485" i="5"/>
  <c r="D485" i="5"/>
  <c r="C485" i="5"/>
  <c r="K484" i="5"/>
  <c r="J484" i="5"/>
  <c r="E484" i="5"/>
  <c r="D484" i="5"/>
  <c r="C484" i="5"/>
  <c r="K483" i="5"/>
  <c r="J483" i="5"/>
  <c r="E483" i="5"/>
  <c r="D483" i="5"/>
  <c r="C483" i="5"/>
  <c r="K482" i="5"/>
  <c r="J482" i="5"/>
  <c r="E482" i="5"/>
  <c r="D482" i="5"/>
  <c r="C482" i="5"/>
  <c r="K481" i="5"/>
  <c r="J481" i="5"/>
  <c r="E481" i="5"/>
  <c r="D481" i="5"/>
  <c r="C481" i="5"/>
  <c r="K480" i="5"/>
  <c r="J480" i="5"/>
  <c r="E480" i="5"/>
  <c r="D480" i="5"/>
  <c r="C480" i="5"/>
  <c r="K479" i="5"/>
  <c r="J479" i="5"/>
  <c r="E479" i="5"/>
  <c r="D479" i="5"/>
  <c r="C479" i="5"/>
  <c r="K478" i="5"/>
  <c r="J478" i="5"/>
  <c r="E478" i="5"/>
  <c r="D478" i="5"/>
  <c r="C478" i="5"/>
  <c r="K477" i="5"/>
  <c r="J477" i="5"/>
  <c r="E477" i="5"/>
  <c r="D477" i="5"/>
  <c r="C477" i="5"/>
  <c r="K476" i="5"/>
  <c r="J476" i="5"/>
  <c r="E476" i="5"/>
  <c r="D476" i="5"/>
  <c r="C476" i="5"/>
  <c r="K475" i="5"/>
  <c r="J475" i="5"/>
  <c r="E475" i="5"/>
  <c r="D475" i="5"/>
  <c r="C475" i="5"/>
  <c r="K474" i="5"/>
  <c r="J474" i="5"/>
  <c r="E474" i="5"/>
  <c r="D474" i="5"/>
  <c r="C474" i="5"/>
  <c r="K473" i="5"/>
  <c r="J473" i="5"/>
  <c r="E473" i="5"/>
  <c r="D473" i="5"/>
  <c r="C473" i="5"/>
  <c r="K472" i="5"/>
  <c r="J472" i="5"/>
  <c r="E472" i="5"/>
  <c r="D472" i="5"/>
  <c r="C472" i="5"/>
  <c r="K471" i="5"/>
  <c r="J471" i="5"/>
  <c r="E471" i="5"/>
  <c r="D471" i="5"/>
  <c r="C471" i="5"/>
  <c r="K470" i="5"/>
  <c r="J470" i="5"/>
  <c r="E470" i="5"/>
  <c r="D470" i="5"/>
  <c r="C470" i="5"/>
  <c r="K469" i="5"/>
  <c r="J469" i="5"/>
  <c r="E469" i="5"/>
  <c r="D469" i="5"/>
  <c r="C469" i="5"/>
  <c r="K468" i="5"/>
  <c r="J468" i="5"/>
  <c r="E468" i="5"/>
  <c r="D468" i="5"/>
  <c r="C468" i="5"/>
  <c r="K467" i="5"/>
  <c r="J467" i="5"/>
  <c r="E467" i="5"/>
  <c r="D467" i="5"/>
  <c r="C467" i="5"/>
  <c r="K466" i="5"/>
  <c r="J466" i="5"/>
  <c r="E466" i="5"/>
  <c r="D466" i="5"/>
  <c r="C466" i="5"/>
  <c r="K465" i="5"/>
  <c r="J465" i="5"/>
  <c r="E465" i="5"/>
  <c r="D465" i="5"/>
  <c r="C465" i="5"/>
  <c r="K464" i="5"/>
  <c r="J464" i="5"/>
  <c r="E464" i="5"/>
  <c r="D464" i="5"/>
  <c r="C464" i="5"/>
  <c r="K463" i="5"/>
  <c r="J463" i="5"/>
  <c r="E463" i="5"/>
  <c r="D463" i="5"/>
  <c r="C463" i="5"/>
  <c r="K462" i="5"/>
  <c r="J462" i="5"/>
  <c r="E462" i="5"/>
  <c r="D462" i="5"/>
  <c r="C462" i="5"/>
  <c r="K461" i="5"/>
  <c r="J461" i="5"/>
  <c r="E461" i="5"/>
  <c r="D461" i="5"/>
  <c r="C461" i="5"/>
  <c r="K460" i="5"/>
  <c r="J460" i="5"/>
  <c r="E460" i="5"/>
  <c r="D460" i="5"/>
  <c r="C460" i="5"/>
  <c r="K459" i="5"/>
  <c r="J459" i="5"/>
  <c r="E459" i="5"/>
  <c r="D459" i="5"/>
  <c r="C459" i="5"/>
  <c r="K458" i="5"/>
  <c r="J458" i="5"/>
  <c r="E458" i="5"/>
  <c r="D458" i="5"/>
  <c r="C458" i="5"/>
  <c r="K457" i="5"/>
  <c r="J457" i="5"/>
  <c r="E457" i="5"/>
  <c r="D457" i="5"/>
  <c r="C457" i="5"/>
  <c r="K456" i="5"/>
  <c r="J456" i="5"/>
  <c r="E456" i="5"/>
  <c r="D456" i="5"/>
  <c r="C456" i="5"/>
  <c r="K455" i="5"/>
  <c r="J455" i="5"/>
  <c r="E455" i="5"/>
  <c r="D455" i="5"/>
  <c r="C455" i="5"/>
  <c r="K454" i="5"/>
  <c r="J454" i="5"/>
  <c r="E454" i="5"/>
  <c r="D454" i="5"/>
  <c r="C454" i="5"/>
  <c r="K453" i="5"/>
  <c r="J453" i="5"/>
  <c r="E453" i="5"/>
  <c r="D453" i="5"/>
  <c r="C453" i="5"/>
  <c r="K452" i="5"/>
  <c r="J452" i="5"/>
  <c r="E452" i="5"/>
  <c r="D452" i="5"/>
  <c r="C452" i="5"/>
  <c r="K451" i="5"/>
  <c r="J451" i="5"/>
  <c r="E451" i="5"/>
  <c r="D451" i="5"/>
  <c r="C451" i="5"/>
  <c r="K450" i="5"/>
  <c r="J450" i="5"/>
  <c r="E450" i="5"/>
  <c r="D450" i="5"/>
  <c r="C450" i="5"/>
  <c r="K449" i="5"/>
  <c r="J449" i="5"/>
  <c r="E449" i="5"/>
  <c r="D449" i="5"/>
  <c r="C449" i="5"/>
  <c r="K448" i="5"/>
  <c r="J448" i="5"/>
  <c r="E448" i="5"/>
  <c r="D448" i="5"/>
  <c r="C448" i="5"/>
  <c r="K447" i="5"/>
  <c r="J447" i="5"/>
  <c r="E447" i="5"/>
  <c r="D447" i="5"/>
  <c r="C447" i="5"/>
  <c r="K446" i="5"/>
  <c r="J446" i="5"/>
  <c r="E446" i="5"/>
  <c r="D446" i="5"/>
  <c r="C446" i="5"/>
  <c r="K445" i="5"/>
  <c r="J445" i="5"/>
  <c r="E445" i="5"/>
  <c r="D445" i="5"/>
  <c r="C445" i="5"/>
  <c r="K444" i="5"/>
  <c r="J444" i="5"/>
  <c r="E444" i="5"/>
  <c r="D444" i="5"/>
  <c r="C444" i="5"/>
  <c r="K443" i="5"/>
  <c r="J443" i="5"/>
  <c r="E443" i="5"/>
  <c r="D443" i="5"/>
  <c r="C443" i="5"/>
  <c r="K442" i="5"/>
  <c r="J442" i="5"/>
  <c r="E442" i="5"/>
  <c r="D442" i="5"/>
  <c r="C442" i="5"/>
  <c r="K441" i="5"/>
  <c r="J441" i="5"/>
  <c r="E441" i="5"/>
  <c r="D441" i="5"/>
  <c r="C441" i="5"/>
  <c r="K440" i="5"/>
  <c r="J440" i="5"/>
  <c r="E440" i="5"/>
  <c r="D440" i="5"/>
  <c r="C440" i="5"/>
  <c r="K439" i="5"/>
  <c r="J439" i="5"/>
  <c r="E439" i="5"/>
  <c r="D439" i="5"/>
  <c r="C439" i="5"/>
  <c r="K438" i="5"/>
  <c r="J438" i="5"/>
  <c r="E438" i="5"/>
  <c r="D438" i="5"/>
  <c r="C438" i="5"/>
  <c r="K437" i="5"/>
  <c r="J437" i="5"/>
  <c r="E437" i="5"/>
  <c r="D437" i="5"/>
  <c r="C437" i="5"/>
  <c r="K436" i="5"/>
  <c r="J436" i="5"/>
  <c r="E436" i="5"/>
  <c r="D436" i="5"/>
  <c r="C436" i="5"/>
  <c r="K435" i="5"/>
  <c r="J435" i="5"/>
  <c r="E435" i="5"/>
  <c r="D435" i="5"/>
  <c r="C435" i="5"/>
  <c r="K434" i="5"/>
  <c r="J434" i="5"/>
  <c r="E434" i="5"/>
  <c r="D434" i="5"/>
  <c r="C434" i="5"/>
  <c r="K433" i="5"/>
  <c r="J433" i="5"/>
  <c r="E433" i="5"/>
  <c r="D433" i="5"/>
  <c r="C433" i="5"/>
  <c r="K432" i="5"/>
  <c r="J432" i="5"/>
  <c r="E432" i="5"/>
  <c r="D432" i="5"/>
  <c r="C432" i="5"/>
  <c r="K431" i="5"/>
  <c r="J431" i="5"/>
  <c r="E431" i="5"/>
  <c r="D431" i="5"/>
  <c r="C431" i="5"/>
  <c r="K430" i="5"/>
  <c r="J430" i="5"/>
  <c r="E430" i="5"/>
  <c r="D430" i="5"/>
  <c r="C430" i="5"/>
  <c r="K429" i="5"/>
  <c r="J429" i="5"/>
  <c r="E429" i="5"/>
  <c r="D429" i="5"/>
  <c r="C429" i="5"/>
  <c r="K428" i="5"/>
  <c r="J428" i="5"/>
  <c r="E428" i="5"/>
  <c r="D428" i="5"/>
  <c r="C428" i="5"/>
  <c r="K427" i="5"/>
  <c r="J427" i="5"/>
  <c r="E427" i="5"/>
  <c r="D427" i="5"/>
  <c r="C427" i="5"/>
  <c r="K426" i="5"/>
  <c r="J426" i="5"/>
  <c r="E426" i="5"/>
  <c r="D426" i="5"/>
  <c r="C426" i="5"/>
  <c r="K425" i="5"/>
  <c r="J425" i="5"/>
  <c r="E425" i="5"/>
  <c r="D425" i="5"/>
  <c r="C425" i="5"/>
  <c r="K424" i="5"/>
  <c r="J424" i="5"/>
  <c r="E424" i="5"/>
  <c r="D424" i="5"/>
  <c r="C424" i="5"/>
  <c r="K423" i="5"/>
  <c r="J423" i="5"/>
  <c r="E423" i="5"/>
  <c r="D423" i="5"/>
  <c r="C423" i="5"/>
  <c r="K422" i="5"/>
  <c r="J422" i="5"/>
  <c r="E422" i="5"/>
  <c r="D422" i="5"/>
  <c r="C422" i="5"/>
  <c r="K421" i="5"/>
  <c r="J421" i="5"/>
  <c r="E421" i="5"/>
  <c r="D421" i="5"/>
  <c r="C421" i="5"/>
  <c r="K420" i="5"/>
  <c r="J420" i="5"/>
  <c r="E420" i="5"/>
  <c r="D420" i="5"/>
  <c r="C420" i="5"/>
  <c r="K419" i="5"/>
  <c r="J419" i="5"/>
  <c r="E419" i="5"/>
  <c r="D419" i="5"/>
  <c r="C419" i="5"/>
  <c r="K418" i="5"/>
  <c r="J418" i="5"/>
  <c r="E418" i="5"/>
  <c r="D418" i="5"/>
  <c r="C418" i="5"/>
  <c r="K417" i="5"/>
  <c r="J417" i="5"/>
  <c r="E417" i="5"/>
  <c r="D417" i="5"/>
  <c r="C417" i="5"/>
  <c r="K416" i="5"/>
  <c r="J416" i="5"/>
  <c r="E416" i="5"/>
  <c r="D416" i="5"/>
  <c r="C416" i="5"/>
  <c r="K415" i="5"/>
  <c r="J415" i="5"/>
  <c r="E415" i="5"/>
  <c r="D415" i="5"/>
  <c r="C415" i="5"/>
  <c r="K414" i="5"/>
  <c r="J414" i="5"/>
  <c r="E414" i="5"/>
  <c r="D414" i="5"/>
  <c r="C414" i="5"/>
  <c r="K413" i="5"/>
  <c r="J413" i="5"/>
  <c r="E413" i="5"/>
  <c r="D413" i="5"/>
  <c r="C413" i="5"/>
  <c r="K412" i="5"/>
  <c r="J412" i="5"/>
  <c r="E412" i="5"/>
  <c r="D412" i="5"/>
  <c r="C412" i="5"/>
  <c r="K411" i="5"/>
  <c r="J411" i="5"/>
  <c r="E411" i="5"/>
  <c r="D411" i="5"/>
  <c r="C411" i="5"/>
  <c r="K410" i="5"/>
  <c r="J410" i="5"/>
  <c r="E410" i="5"/>
  <c r="D410" i="5"/>
  <c r="C410" i="5"/>
  <c r="K409" i="5"/>
  <c r="J409" i="5"/>
  <c r="E409" i="5"/>
  <c r="D409" i="5"/>
  <c r="C409" i="5"/>
  <c r="K408" i="5"/>
  <c r="J408" i="5"/>
  <c r="E408" i="5"/>
  <c r="D408" i="5"/>
  <c r="C408" i="5"/>
  <c r="K407" i="5"/>
  <c r="J407" i="5"/>
  <c r="E407" i="5"/>
  <c r="D407" i="5"/>
  <c r="C407" i="5"/>
  <c r="K406" i="5"/>
  <c r="J406" i="5"/>
  <c r="E406" i="5"/>
  <c r="D406" i="5"/>
  <c r="C406" i="5"/>
  <c r="K405" i="5"/>
  <c r="J405" i="5"/>
  <c r="E405" i="5"/>
  <c r="D405" i="5"/>
  <c r="C405" i="5"/>
  <c r="K404" i="5"/>
  <c r="J404" i="5"/>
  <c r="E404" i="5"/>
  <c r="D404" i="5"/>
  <c r="C404" i="5"/>
  <c r="K403" i="5"/>
  <c r="J403" i="5"/>
  <c r="E403" i="5"/>
  <c r="D403" i="5"/>
  <c r="C403" i="5"/>
  <c r="K402" i="5"/>
  <c r="J402" i="5"/>
  <c r="E402" i="5"/>
  <c r="D402" i="5"/>
  <c r="C402" i="5"/>
  <c r="K401" i="5"/>
  <c r="J401" i="5"/>
  <c r="E401" i="5"/>
  <c r="D401" i="5"/>
  <c r="C401" i="5"/>
  <c r="K400" i="5"/>
  <c r="J400" i="5"/>
  <c r="E400" i="5"/>
  <c r="D400" i="5"/>
  <c r="C400" i="5"/>
  <c r="K399" i="5"/>
  <c r="J399" i="5"/>
  <c r="E399" i="5"/>
  <c r="D399" i="5"/>
  <c r="C399" i="5"/>
  <c r="K398" i="5"/>
  <c r="J398" i="5"/>
  <c r="E398" i="5"/>
  <c r="D398" i="5"/>
  <c r="C398" i="5"/>
  <c r="K397" i="5"/>
  <c r="J397" i="5"/>
  <c r="E397" i="5"/>
  <c r="D397" i="5"/>
  <c r="C397" i="5"/>
  <c r="K396" i="5"/>
  <c r="J396" i="5"/>
  <c r="E396" i="5"/>
  <c r="D396" i="5"/>
  <c r="C396" i="5"/>
  <c r="K395" i="5"/>
  <c r="J395" i="5"/>
  <c r="E395" i="5"/>
  <c r="D395" i="5"/>
  <c r="C395" i="5"/>
  <c r="K394" i="5"/>
  <c r="J394" i="5"/>
  <c r="E394" i="5"/>
  <c r="D394" i="5"/>
  <c r="C394" i="5"/>
  <c r="K393" i="5"/>
  <c r="J393" i="5"/>
  <c r="E393" i="5"/>
  <c r="D393" i="5"/>
  <c r="C393" i="5"/>
  <c r="K392" i="5"/>
  <c r="J392" i="5"/>
  <c r="E392" i="5"/>
  <c r="D392" i="5"/>
  <c r="C392" i="5"/>
  <c r="K391" i="5"/>
  <c r="J391" i="5"/>
  <c r="E391" i="5"/>
  <c r="D391" i="5"/>
  <c r="C391" i="5"/>
  <c r="K390" i="5"/>
  <c r="J390" i="5"/>
  <c r="E390" i="5"/>
  <c r="D390" i="5"/>
  <c r="C390" i="5"/>
  <c r="K389" i="5"/>
  <c r="J389" i="5"/>
  <c r="E389" i="5"/>
  <c r="D389" i="5"/>
  <c r="C389" i="5"/>
  <c r="K388" i="5"/>
  <c r="J388" i="5"/>
  <c r="E388" i="5"/>
  <c r="D388" i="5"/>
  <c r="C388" i="5"/>
  <c r="K387" i="5"/>
  <c r="J387" i="5"/>
  <c r="E387" i="5"/>
  <c r="D387" i="5"/>
  <c r="C387" i="5"/>
  <c r="K386" i="5"/>
  <c r="J386" i="5"/>
  <c r="E386" i="5"/>
  <c r="D386" i="5"/>
  <c r="C386" i="5"/>
  <c r="K385" i="5"/>
  <c r="J385" i="5"/>
  <c r="E385" i="5"/>
  <c r="D385" i="5"/>
  <c r="C385" i="5"/>
  <c r="K384" i="5"/>
  <c r="J384" i="5"/>
  <c r="E384" i="5"/>
  <c r="D384" i="5"/>
  <c r="C384" i="5"/>
  <c r="K383" i="5"/>
  <c r="J383" i="5"/>
  <c r="E383" i="5"/>
  <c r="D383" i="5"/>
  <c r="C383" i="5"/>
  <c r="K382" i="5"/>
  <c r="J382" i="5"/>
  <c r="E382" i="5"/>
  <c r="D382" i="5"/>
  <c r="C382" i="5"/>
  <c r="K381" i="5"/>
  <c r="J381" i="5"/>
  <c r="E381" i="5"/>
  <c r="D381" i="5"/>
  <c r="C381" i="5"/>
  <c r="K380" i="5"/>
  <c r="J380" i="5"/>
  <c r="E380" i="5"/>
  <c r="D380" i="5"/>
  <c r="C380" i="5"/>
  <c r="K379" i="5"/>
  <c r="J379" i="5"/>
  <c r="E379" i="5"/>
  <c r="D379" i="5"/>
  <c r="C379" i="5"/>
  <c r="K378" i="5"/>
  <c r="J378" i="5"/>
  <c r="E378" i="5"/>
  <c r="D378" i="5"/>
  <c r="C378" i="5"/>
  <c r="K377" i="5"/>
  <c r="J377" i="5"/>
  <c r="E377" i="5"/>
  <c r="D377" i="5"/>
  <c r="C377" i="5"/>
  <c r="K376" i="5"/>
  <c r="J376" i="5"/>
  <c r="E376" i="5"/>
  <c r="D376" i="5"/>
  <c r="C376" i="5"/>
  <c r="K375" i="5"/>
  <c r="J375" i="5"/>
  <c r="E375" i="5"/>
  <c r="D375" i="5"/>
  <c r="C375" i="5"/>
  <c r="K374" i="5"/>
  <c r="J374" i="5"/>
  <c r="E374" i="5"/>
  <c r="D374" i="5"/>
  <c r="C374" i="5"/>
  <c r="K373" i="5"/>
  <c r="J373" i="5"/>
  <c r="E373" i="5"/>
  <c r="D373" i="5"/>
  <c r="C373" i="5"/>
  <c r="K372" i="5"/>
  <c r="J372" i="5"/>
  <c r="E372" i="5"/>
  <c r="D372" i="5"/>
  <c r="C372" i="5"/>
  <c r="K371" i="5"/>
  <c r="J371" i="5"/>
  <c r="E371" i="5"/>
  <c r="D371" i="5"/>
  <c r="C371" i="5"/>
  <c r="K370" i="5"/>
  <c r="J370" i="5"/>
  <c r="E370" i="5"/>
  <c r="D370" i="5"/>
  <c r="C370" i="5"/>
  <c r="K369" i="5"/>
  <c r="J369" i="5"/>
  <c r="E369" i="5"/>
  <c r="D369" i="5"/>
  <c r="C369" i="5"/>
  <c r="K368" i="5"/>
  <c r="J368" i="5"/>
  <c r="E368" i="5"/>
  <c r="D368" i="5"/>
  <c r="C368" i="5"/>
  <c r="K367" i="5"/>
  <c r="J367" i="5"/>
  <c r="E367" i="5"/>
  <c r="D367" i="5"/>
  <c r="C367" i="5"/>
  <c r="K366" i="5"/>
  <c r="J366" i="5"/>
  <c r="E366" i="5"/>
  <c r="D366" i="5"/>
  <c r="C366" i="5"/>
  <c r="K365" i="5"/>
  <c r="J365" i="5"/>
  <c r="E365" i="5"/>
  <c r="D365" i="5"/>
  <c r="C365" i="5"/>
  <c r="K364" i="5"/>
  <c r="J364" i="5"/>
  <c r="E364" i="5"/>
  <c r="D364" i="5"/>
  <c r="C364" i="5"/>
  <c r="K363" i="5"/>
  <c r="J363" i="5"/>
  <c r="E363" i="5"/>
  <c r="D363" i="5"/>
  <c r="C363" i="5"/>
  <c r="K362" i="5"/>
  <c r="J362" i="5"/>
  <c r="E362" i="5"/>
  <c r="D362" i="5"/>
  <c r="C362" i="5"/>
  <c r="K361" i="5"/>
  <c r="J361" i="5"/>
  <c r="E361" i="5"/>
  <c r="D361" i="5"/>
  <c r="C361" i="5"/>
  <c r="K360" i="5"/>
  <c r="J360" i="5"/>
  <c r="E360" i="5"/>
  <c r="D360" i="5"/>
  <c r="C360" i="5"/>
  <c r="K359" i="5"/>
  <c r="J359" i="5"/>
  <c r="E359" i="5"/>
  <c r="D359" i="5"/>
  <c r="C359" i="5"/>
  <c r="K358" i="5"/>
  <c r="J358" i="5"/>
  <c r="E358" i="5"/>
  <c r="D358" i="5"/>
  <c r="C358" i="5"/>
  <c r="K357" i="5"/>
  <c r="J357" i="5"/>
  <c r="E357" i="5"/>
  <c r="D357" i="5"/>
  <c r="C357" i="5"/>
  <c r="K356" i="5"/>
  <c r="J356" i="5"/>
  <c r="E356" i="5"/>
  <c r="D356" i="5"/>
  <c r="C356" i="5"/>
  <c r="K355" i="5"/>
  <c r="J355" i="5"/>
  <c r="E355" i="5"/>
  <c r="D355" i="5"/>
  <c r="C355" i="5"/>
  <c r="K354" i="5"/>
  <c r="J354" i="5"/>
  <c r="E354" i="5"/>
  <c r="D354" i="5"/>
  <c r="C354" i="5"/>
  <c r="K353" i="5"/>
  <c r="J353" i="5"/>
  <c r="E353" i="5"/>
  <c r="D353" i="5"/>
  <c r="C353" i="5"/>
  <c r="K352" i="5"/>
  <c r="J352" i="5"/>
  <c r="E352" i="5"/>
  <c r="D352" i="5"/>
  <c r="C352" i="5"/>
  <c r="K351" i="5"/>
  <c r="J351" i="5"/>
  <c r="E351" i="5"/>
  <c r="D351" i="5"/>
  <c r="C351" i="5"/>
  <c r="K350" i="5"/>
  <c r="J350" i="5"/>
  <c r="E350" i="5"/>
  <c r="D350" i="5"/>
  <c r="C350" i="5"/>
  <c r="K349" i="5"/>
  <c r="J349" i="5"/>
  <c r="E349" i="5"/>
  <c r="D349" i="5"/>
  <c r="C349" i="5"/>
  <c r="K348" i="5"/>
  <c r="J348" i="5"/>
  <c r="E348" i="5"/>
  <c r="D348" i="5"/>
  <c r="C348" i="5"/>
  <c r="K347" i="5"/>
  <c r="J347" i="5"/>
  <c r="E347" i="5"/>
  <c r="D347" i="5"/>
  <c r="C347" i="5"/>
  <c r="K346" i="5"/>
  <c r="J346" i="5"/>
  <c r="E346" i="5"/>
  <c r="D346" i="5"/>
  <c r="C346" i="5"/>
  <c r="K345" i="5"/>
  <c r="J345" i="5"/>
  <c r="E345" i="5"/>
  <c r="D345" i="5"/>
  <c r="C345" i="5"/>
  <c r="K344" i="5"/>
  <c r="J344" i="5"/>
  <c r="E344" i="5"/>
  <c r="D344" i="5"/>
  <c r="C344" i="5"/>
  <c r="K343" i="5"/>
  <c r="J343" i="5"/>
  <c r="E343" i="5"/>
  <c r="D343" i="5"/>
  <c r="C343" i="5"/>
  <c r="K342" i="5"/>
  <c r="J342" i="5"/>
  <c r="E342" i="5"/>
  <c r="D342" i="5"/>
  <c r="C342" i="5"/>
  <c r="K341" i="5"/>
  <c r="J341" i="5"/>
  <c r="E341" i="5"/>
  <c r="D341" i="5"/>
  <c r="C341" i="5"/>
  <c r="K340" i="5"/>
  <c r="J340" i="5"/>
  <c r="E340" i="5"/>
  <c r="D340" i="5"/>
  <c r="C340" i="5"/>
  <c r="K339" i="5"/>
  <c r="J339" i="5"/>
  <c r="E339" i="5"/>
  <c r="D339" i="5"/>
  <c r="C339" i="5"/>
  <c r="K338" i="5"/>
  <c r="J338" i="5"/>
  <c r="E338" i="5"/>
  <c r="D338" i="5"/>
  <c r="C338" i="5"/>
  <c r="K337" i="5"/>
  <c r="J337" i="5"/>
  <c r="E337" i="5"/>
  <c r="D337" i="5"/>
  <c r="C337" i="5"/>
  <c r="K336" i="5"/>
  <c r="J336" i="5"/>
  <c r="E336" i="5"/>
  <c r="D336" i="5"/>
  <c r="C336" i="5"/>
  <c r="K335" i="5"/>
  <c r="J335" i="5"/>
  <c r="E335" i="5"/>
  <c r="D335" i="5"/>
  <c r="C335" i="5"/>
  <c r="K334" i="5"/>
  <c r="J334" i="5"/>
  <c r="E334" i="5"/>
  <c r="D334" i="5"/>
  <c r="C334" i="5"/>
  <c r="K333" i="5"/>
  <c r="J333" i="5"/>
  <c r="E333" i="5"/>
  <c r="D333" i="5"/>
  <c r="C333" i="5"/>
  <c r="K332" i="5"/>
  <c r="J332" i="5"/>
  <c r="E332" i="5"/>
  <c r="D332" i="5"/>
  <c r="C332" i="5"/>
  <c r="K331" i="5"/>
  <c r="J331" i="5"/>
  <c r="E331" i="5"/>
  <c r="D331" i="5"/>
  <c r="C331" i="5"/>
  <c r="K330" i="5"/>
  <c r="J330" i="5"/>
  <c r="E330" i="5"/>
  <c r="D330" i="5"/>
  <c r="C330" i="5"/>
  <c r="K329" i="5"/>
  <c r="J329" i="5"/>
  <c r="E329" i="5"/>
  <c r="D329" i="5"/>
  <c r="C329" i="5"/>
  <c r="K328" i="5"/>
  <c r="J328" i="5"/>
  <c r="E328" i="5"/>
  <c r="D328" i="5"/>
  <c r="C328" i="5"/>
  <c r="K327" i="5"/>
  <c r="J327" i="5"/>
  <c r="E327" i="5"/>
  <c r="D327" i="5"/>
  <c r="C327" i="5"/>
  <c r="K326" i="5"/>
  <c r="J326" i="5"/>
  <c r="E326" i="5"/>
  <c r="D326" i="5"/>
  <c r="C326" i="5"/>
  <c r="K325" i="5"/>
  <c r="J325" i="5"/>
  <c r="E325" i="5"/>
  <c r="D325" i="5"/>
  <c r="C325" i="5"/>
  <c r="K324" i="5"/>
  <c r="J324" i="5"/>
  <c r="E324" i="5"/>
  <c r="D324" i="5"/>
  <c r="C324" i="5"/>
  <c r="K323" i="5"/>
  <c r="J323" i="5"/>
  <c r="E323" i="5"/>
  <c r="D323" i="5"/>
  <c r="C323" i="5"/>
  <c r="K322" i="5"/>
  <c r="J322" i="5"/>
  <c r="E322" i="5"/>
  <c r="D322" i="5"/>
  <c r="C322" i="5"/>
  <c r="K321" i="5"/>
  <c r="J321" i="5"/>
  <c r="E321" i="5"/>
  <c r="D321" i="5"/>
  <c r="C321" i="5"/>
  <c r="K320" i="5"/>
  <c r="J320" i="5"/>
  <c r="E320" i="5"/>
  <c r="D320" i="5"/>
  <c r="C320" i="5"/>
  <c r="K319" i="5"/>
  <c r="J319" i="5"/>
  <c r="E319" i="5"/>
  <c r="D319" i="5"/>
  <c r="C319" i="5"/>
  <c r="K318" i="5"/>
  <c r="J318" i="5"/>
  <c r="E318" i="5"/>
  <c r="D318" i="5"/>
  <c r="C318" i="5"/>
  <c r="K317" i="5"/>
  <c r="J317" i="5"/>
  <c r="E317" i="5"/>
  <c r="D317" i="5"/>
  <c r="C317" i="5"/>
  <c r="K316" i="5"/>
  <c r="J316" i="5"/>
  <c r="E316" i="5"/>
  <c r="D316" i="5"/>
  <c r="C316" i="5"/>
  <c r="K315" i="5"/>
  <c r="J315" i="5"/>
  <c r="E315" i="5"/>
  <c r="D315" i="5"/>
  <c r="C315" i="5"/>
  <c r="K314" i="5"/>
  <c r="J314" i="5"/>
  <c r="E314" i="5"/>
  <c r="D314" i="5"/>
  <c r="C314" i="5"/>
  <c r="K313" i="5"/>
  <c r="J313" i="5"/>
  <c r="E313" i="5"/>
  <c r="D313" i="5"/>
  <c r="C313" i="5"/>
  <c r="K312" i="5"/>
  <c r="J312" i="5"/>
  <c r="E312" i="5"/>
  <c r="D312" i="5"/>
  <c r="C312" i="5"/>
  <c r="K311" i="5"/>
  <c r="J311" i="5"/>
  <c r="E311" i="5"/>
  <c r="D311" i="5"/>
  <c r="C311" i="5"/>
  <c r="K310" i="5"/>
  <c r="J310" i="5"/>
  <c r="E310" i="5"/>
  <c r="D310" i="5"/>
  <c r="C310" i="5"/>
  <c r="K309" i="5"/>
  <c r="J309" i="5"/>
  <c r="E309" i="5"/>
  <c r="D309" i="5"/>
  <c r="C309" i="5"/>
  <c r="K308" i="5"/>
  <c r="J308" i="5"/>
  <c r="E308" i="5"/>
  <c r="D308" i="5"/>
  <c r="C308" i="5"/>
  <c r="K307" i="5"/>
  <c r="J307" i="5"/>
  <c r="E307" i="5"/>
  <c r="D307" i="5"/>
  <c r="C307" i="5"/>
  <c r="K306" i="5"/>
  <c r="J306" i="5"/>
  <c r="E306" i="5"/>
  <c r="D306" i="5"/>
  <c r="C306" i="5"/>
  <c r="K305" i="5"/>
  <c r="J305" i="5"/>
  <c r="E305" i="5"/>
  <c r="D305" i="5"/>
  <c r="C305" i="5"/>
  <c r="K304" i="5"/>
  <c r="J304" i="5"/>
  <c r="E304" i="5"/>
  <c r="D304" i="5"/>
  <c r="C304" i="5"/>
  <c r="K303" i="5"/>
  <c r="J303" i="5"/>
  <c r="E303" i="5"/>
  <c r="D303" i="5"/>
  <c r="C303" i="5"/>
  <c r="K302" i="5"/>
  <c r="J302" i="5"/>
  <c r="E302" i="5"/>
  <c r="D302" i="5"/>
  <c r="C302" i="5"/>
  <c r="K301" i="5"/>
  <c r="J301" i="5"/>
  <c r="E301" i="5"/>
  <c r="D301" i="5"/>
  <c r="C301" i="5"/>
  <c r="K300" i="5"/>
  <c r="J300" i="5"/>
  <c r="E300" i="5"/>
  <c r="D300" i="5"/>
  <c r="C300" i="5"/>
  <c r="K299" i="5"/>
  <c r="J299" i="5"/>
  <c r="E299" i="5"/>
  <c r="D299" i="5"/>
  <c r="C299" i="5"/>
  <c r="K298" i="5"/>
  <c r="J298" i="5"/>
  <c r="E298" i="5"/>
  <c r="D298" i="5"/>
  <c r="C298" i="5"/>
  <c r="K297" i="5"/>
  <c r="J297" i="5"/>
  <c r="E297" i="5"/>
  <c r="D297" i="5"/>
  <c r="C297" i="5"/>
  <c r="K296" i="5"/>
  <c r="J296" i="5"/>
  <c r="E296" i="5"/>
  <c r="D296" i="5"/>
  <c r="C296" i="5"/>
  <c r="K295" i="5"/>
  <c r="J295" i="5"/>
  <c r="E295" i="5"/>
  <c r="D295" i="5"/>
  <c r="C295" i="5"/>
  <c r="K294" i="5"/>
  <c r="J294" i="5"/>
  <c r="E294" i="5"/>
  <c r="D294" i="5"/>
  <c r="C294" i="5"/>
  <c r="K293" i="5"/>
  <c r="J293" i="5"/>
  <c r="E293" i="5"/>
  <c r="D293" i="5"/>
  <c r="C293" i="5"/>
  <c r="K292" i="5"/>
  <c r="J292" i="5"/>
  <c r="E292" i="5"/>
  <c r="D292" i="5"/>
  <c r="C292" i="5"/>
  <c r="K291" i="5"/>
  <c r="J291" i="5"/>
  <c r="E291" i="5"/>
  <c r="D291" i="5"/>
  <c r="C291" i="5"/>
  <c r="K290" i="5"/>
  <c r="J290" i="5"/>
  <c r="E290" i="5"/>
  <c r="D290" i="5"/>
  <c r="C290" i="5"/>
  <c r="K289" i="5"/>
  <c r="J289" i="5"/>
  <c r="E289" i="5"/>
  <c r="D289" i="5"/>
  <c r="C289" i="5"/>
  <c r="K288" i="5"/>
  <c r="J288" i="5"/>
  <c r="E288" i="5"/>
  <c r="D288" i="5"/>
  <c r="C288" i="5"/>
  <c r="K287" i="5"/>
  <c r="J287" i="5"/>
  <c r="E287" i="5"/>
  <c r="D287" i="5"/>
  <c r="C287" i="5"/>
  <c r="K286" i="5"/>
  <c r="J286" i="5"/>
  <c r="E286" i="5"/>
  <c r="D286" i="5"/>
  <c r="C286" i="5"/>
  <c r="K285" i="5"/>
  <c r="J285" i="5"/>
  <c r="E285" i="5"/>
  <c r="D285" i="5"/>
  <c r="C285" i="5"/>
  <c r="K284" i="5"/>
  <c r="J284" i="5"/>
  <c r="E284" i="5"/>
  <c r="D284" i="5"/>
  <c r="C284" i="5"/>
  <c r="K283" i="5"/>
  <c r="J283" i="5"/>
  <c r="E283" i="5"/>
  <c r="D283" i="5"/>
  <c r="C283" i="5"/>
  <c r="K282" i="5"/>
  <c r="J282" i="5"/>
  <c r="E282" i="5"/>
  <c r="D282" i="5"/>
  <c r="C282" i="5"/>
  <c r="K281" i="5"/>
  <c r="J281" i="5"/>
  <c r="E281" i="5"/>
  <c r="D281" i="5"/>
  <c r="C281" i="5"/>
  <c r="K280" i="5"/>
  <c r="J280" i="5"/>
  <c r="E280" i="5"/>
  <c r="D280" i="5"/>
  <c r="C280" i="5"/>
  <c r="K279" i="5"/>
  <c r="J279" i="5"/>
  <c r="E279" i="5"/>
  <c r="D279" i="5"/>
  <c r="C279" i="5"/>
  <c r="K278" i="5"/>
  <c r="J278" i="5"/>
  <c r="E278" i="5"/>
  <c r="D278" i="5"/>
  <c r="C278" i="5"/>
  <c r="K277" i="5"/>
  <c r="J277" i="5"/>
  <c r="E277" i="5"/>
  <c r="D277" i="5"/>
  <c r="C277" i="5"/>
  <c r="K276" i="5"/>
  <c r="J276" i="5"/>
  <c r="E276" i="5"/>
  <c r="D276" i="5"/>
  <c r="C276" i="5"/>
  <c r="K275" i="5"/>
  <c r="J275" i="5"/>
  <c r="E275" i="5"/>
  <c r="D275" i="5"/>
  <c r="C275" i="5"/>
  <c r="K274" i="5"/>
  <c r="J274" i="5"/>
  <c r="E274" i="5"/>
  <c r="D274" i="5"/>
  <c r="C274" i="5"/>
  <c r="K273" i="5"/>
  <c r="J273" i="5"/>
  <c r="E273" i="5"/>
  <c r="D273" i="5"/>
  <c r="C273" i="5"/>
  <c r="K272" i="5"/>
  <c r="J272" i="5"/>
  <c r="E272" i="5"/>
  <c r="D272" i="5"/>
  <c r="C272" i="5"/>
  <c r="K271" i="5"/>
  <c r="J271" i="5"/>
  <c r="E271" i="5"/>
  <c r="D271" i="5"/>
  <c r="C271" i="5"/>
  <c r="K270" i="5"/>
  <c r="J270" i="5"/>
  <c r="E270" i="5"/>
  <c r="D270" i="5"/>
  <c r="C270" i="5"/>
  <c r="K269" i="5"/>
  <c r="J269" i="5"/>
  <c r="E269" i="5"/>
  <c r="D269" i="5"/>
  <c r="C269" i="5"/>
  <c r="K268" i="5"/>
  <c r="J268" i="5"/>
  <c r="E268" i="5"/>
  <c r="D268" i="5"/>
  <c r="C268" i="5"/>
  <c r="K267" i="5"/>
  <c r="J267" i="5"/>
  <c r="E267" i="5"/>
  <c r="D267" i="5"/>
  <c r="C267" i="5"/>
  <c r="K266" i="5"/>
  <c r="J266" i="5"/>
  <c r="E266" i="5"/>
  <c r="D266" i="5"/>
  <c r="C266" i="5"/>
  <c r="K265" i="5"/>
  <c r="J265" i="5"/>
  <c r="E265" i="5"/>
  <c r="D265" i="5"/>
  <c r="C265" i="5"/>
  <c r="K264" i="5"/>
  <c r="J264" i="5"/>
  <c r="E264" i="5"/>
  <c r="D264" i="5"/>
  <c r="C264" i="5"/>
  <c r="K263" i="5"/>
  <c r="J263" i="5"/>
  <c r="E263" i="5"/>
  <c r="D263" i="5"/>
  <c r="C263" i="5"/>
  <c r="K262" i="5"/>
  <c r="J262" i="5"/>
  <c r="E262" i="5"/>
  <c r="D262" i="5"/>
  <c r="C262" i="5"/>
  <c r="K261" i="5"/>
  <c r="J261" i="5"/>
  <c r="E261" i="5"/>
  <c r="D261" i="5"/>
  <c r="C261" i="5"/>
  <c r="K260" i="5"/>
  <c r="J260" i="5"/>
  <c r="E260" i="5"/>
  <c r="D260" i="5"/>
  <c r="C260" i="5"/>
  <c r="K259" i="5"/>
  <c r="J259" i="5"/>
  <c r="E259" i="5"/>
  <c r="D259" i="5"/>
  <c r="C259" i="5"/>
  <c r="K258" i="5"/>
  <c r="J258" i="5"/>
  <c r="E258" i="5"/>
  <c r="D258" i="5"/>
  <c r="C258" i="5"/>
  <c r="K257" i="5"/>
  <c r="J257" i="5"/>
  <c r="E257" i="5"/>
  <c r="D257" i="5"/>
  <c r="C257" i="5"/>
  <c r="K256" i="5"/>
  <c r="J256" i="5"/>
  <c r="E256" i="5"/>
  <c r="D256" i="5"/>
  <c r="C256" i="5"/>
  <c r="K255" i="5"/>
  <c r="J255" i="5"/>
  <c r="E255" i="5"/>
  <c r="D255" i="5"/>
  <c r="C255" i="5"/>
  <c r="K254" i="5"/>
  <c r="J254" i="5"/>
  <c r="E254" i="5"/>
  <c r="D254" i="5"/>
  <c r="C254" i="5"/>
  <c r="K253" i="5"/>
  <c r="J253" i="5"/>
  <c r="E253" i="5"/>
  <c r="D253" i="5"/>
  <c r="C253" i="5"/>
  <c r="K252" i="5"/>
  <c r="J252" i="5"/>
  <c r="E252" i="5"/>
  <c r="D252" i="5"/>
  <c r="C252" i="5"/>
  <c r="K251" i="5"/>
  <c r="J251" i="5"/>
  <c r="E251" i="5"/>
  <c r="D251" i="5"/>
  <c r="C251" i="5"/>
  <c r="K250" i="5"/>
  <c r="J250" i="5"/>
  <c r="E250" i="5"/>
  <c r="D250" i="5"/>
  <c r="C250" i="5"/>
  <c r="K249" i="5"/>
  <c r="J249" i="5"/>
  <c r="E249" i="5"/>
  <c r="D249" i="5"/>
  <c r="C249" i="5"/>
  <c r="K248" i="5"/>
  <c r="J248" i="5"/>
  <c r="E248" i="5"/>
  <c r="D248" i="5"/>
  <c r="C248" i="5"/>
  <c r="K247" i="5"/>
  <c r="J247" i="5"/>
  <c r="E247" i="5"/>
  <c r="D247" i="5"/>
  <c r="C247" i="5"/>
  <c r="K246" i="5"/>
  <c r="J246" i="5"/>
  <c r="E246" i="5"/>
  <c r="D246" i="5"/>
  <c r="C246" i="5"/>
  <c r="K245" i="5"/>
  <c r="J245" i="5"/>
  <c r="E245" i="5"/>
  <c r="D245" i="5"/>
  <c r="C245" i="5"/>
  <c r="K244" i="5"/>
  <c r="J244" i="5"/>
  <c r="E244" i="5"/>
  <c r="D244" i="5"/>
  <c r="C244" i="5"/>
  <c r="K243" i="5"/>
  <c r="J243" i="5"/>
  <c r="E243" i="5"/>
  <c r="D243" i="5"/>
  <c r="C243" i="5"/>
  <c r="K242" i="5"/>
  <c r="J242" i="5"/>
  <c r="E242" i="5"/>
  <c r="D242" i="5"/>
  <c r="C242" i="5"/>
  <c r="K241" i="5"/>
  <c r="J241" i="5"/>
  <c r="E241" i="5"/>
  <c r="D241" i="5"/>
  <c r="C241" i="5"/>
  <c r="K240" i="5"/>
  <c r="J240" i="5"/>
  <c r="E240" i="5"/>
  <c r="D240" i="5"/>
  <c r="C240" i="5"/>
  <c r="K239" i="5"/>
  <c r="J239" i="5"/>
  <c r="E239" i="5"/>
  <c r="D239" i="5"/>
  <c r="C239" i="5"/>
  <c r="K238" i="5"/>
  <c r="J238" i="5"/>
  <c r="E238" i="5"/>
  <c r="D238" i="5"/>
  <c r="C238" i="5"/>
  <c r="K237" i="5"/>
  <c r="J237" i="5"/>
  <c r="E237" i="5"/>
  <c r="D237" i="5"/>
  <c r="C237" i="5"/>
  <c r="K236" i="5"/>
  <c r="J236" i="5"/>
  <c r="E236" i="5"/>
  <c r="D236" i="5"/>
  <c r="C236" i="5"/>
  <c r="K235" i="5"/>
  <c r="J235" i="5"/>
  <c r="E235" i="5"/>
  <c r="D235" i="5"/>
  <c r="C235" i="5"/>
  <c r="K234" i="5"/>
  <c r="J234" i="5"/>
  <c r="E234" i="5"/>
  <c r="D234" i="5"/>
  <c r="C234" i="5"/>
  <c r="K233" i="5"/>
  <c r="J233" i="5"/>
  <c r="E233" i="5"/>
  <c r="D233" i="5"/>
  <c r="C233" i="5"/>
  <c r="K232" i="5"/>
  <c r="J232" i="5"/>
  <c r="E232" i="5"/>
  <c r="D232" i="5"/>
  <c r="C232" i="5"/>
  <c r="K231" i="5"/>
  <c r="J231" i="5"/>
  <c r="E231" i="5"/>
  <c r="D231" i="5"/>
  <c r="C231" i="5"/>
  <c r="K230" i="5"/>
  <c r="J230" i="5"/>
  <c r="E230" i="5"/>
  <c r="D230" i="5"/>
  <c r="C230" i="5"/>
  <c r="K229" i="5"/>
  <c r="J229" i="5"/>
  <c r="E229" i="5"/>
  <c r="D229" i="5"/>
  <c r="C229" i="5"/>
  <c r="K228" i="5"/>
  <c r="J228" i="5"/>
  <c r="E228" i="5"/>
  <c r="D228" i="5"/>
  <c r="C228" i="5"/>
  <c r="K227" i="5"/>
  <c r="J227" i="5"/>
  <c r="E227" i="5"/>
  <c r="D227" i="5"/>
  <c r="C227" i="5"/>
  <c r="K226" i="5"/>
  <c r="J226" i="5"/>
  <c r="E226" i="5"/>
  <c r="D226" i="5"/>
  <c r="C226" i="5"/>
  <c r="K225" i="5"/>
  <c r="J225" i="5"/>
  <c r="E225" i="5"/>
  <c r="D225" i="5"/>
  <c r="C225" i="5"/>
  <c r="K224" i="5"/>
  <c r="J224" i="5"/>
  <c r="E224" i="5"/>
  <c r="D224" i="5"/>
  <c r="C224" i="5"/>
  <c r="K223" i="5"/>
  <c r="J223" i="5"/>
  <c r="E223" i="5"/>
  <c r="D223" i="5"/>
  <c r="C223" i="5"/>
  <c r="K222" i="5"/>
  <c r="J222" i="5"/>
  <c r="E222" i="5"/>
  <c r="D222" i="5"/>
  <c r="C222" i="5"/>
  <c r="K221" i="5"/>
  <c r="J221" i="5"/>
  <c r="E221" i="5"/>
  <c r="D221" i="5"/>
  <c r="C221" i="5"/>
  <c r="K220" i="5"/>
  <c r="J220" i="5"/>
  <c r="E220" i="5"/>
  <c r="D220" i="5"/>
  <c r="C220" i="5"/>
  <c r="K219" i="5"/>
  <c r="J219" i="5"/>
  <c r="E219" i="5"/>
  <c r="D219" i="5"/>
  <c r="C219" i="5"/>
  <c r="K218" i="5"/>
  <c r="J218" i="5"/>
  <c r="E218" i="5"/>
  <c r="D218" i="5"/>
  <c r="C218" i="5"/>
  <c r="K217" i="5"/>
  <c r="J217" i="5"/>
  <c r="E217" i="5"/>
  <c r="D217" i="5"/>
  <c r="C217" i="5"/>
  <c r="K216" i="5"/>
  <c r="J216" i="5"/>
  <c r="E216" i="5"/>
  <c r="D216" i="5"/>
  <c r="C216" i="5"/>
  <c r="K215" i="5"/>
  <c r="J215" i="5"/>
  <c r="E215" i="5"/>
  <c r="D215" i="5"/>
  <c r="C215" i="5"/>
  <c r="K214" i="5"/>
  <c r="J214" i="5"/>
  <c r="E214" i="5"/>
  <c r="D214" i="5"/>
  <c r="C214" i="5"/>
  <c r="K213" i="5"/>
  <c r="J213" i="5"/>
  <c r="E213" i="5"/>
  <c r="D213" i="5"/>
  <c r="C213" i="5"/>
  <c r="K212" i="5"/>
  <c r="J212" i="5"/>
  <c r="E212" i="5"/>
  <c r="D212" i="5"/>
  <c r="C212" i="5"/>
  <c r="K211" i="5"/>
  <c r="J211" i="5"/>
  <c r="E211" i="5"/>
  <c r="D211" i="5"/>
  <c r="C211" i="5"/>
  <c r="K210" i="5"/>
  <c r="J210" i="5"/>
  <c r="E210" i="5"/>
  <c r="D210" i="5"/>
  <c r="C210" i="5"/>
  <c r="K209" i="5"/>
  <c r="J209" i="5"/>
  <c r="E209" i="5"/>
  <c r="D209" i="5"/>
  <c r="C209" i="5"/>
  <c r="K208" i="5"/>
  <c r="J208" i="5"/>
  <c r="E208" i="5"/>
  <c r="D208" i="5"/>
  <c r="C208" i="5"/>
  <c r="K207" i="5"/>
  <c r="J207" i="5"/>
  <c r="E207" i="5"/>
  <c r="D207" i="5"/>
  <c r="C207" i="5"/>
  <c r="K206" i="5"/>
  <c r="J206" i="5"/>
  <c r="E206" i="5"/>
  <c r="D206" i="5"/>
  <c r="C206" i="5"/>
  <c r="K205" i="5"/>
  <c r="J205" i="5"/>
  <c r="E205" i="5"/>
  <c r="D205" i="5"/>
  <c r="C205" i="5"/>
  <c r="K204" i="5"/>
  <c r="J204" i="5"/>
  <c r="E204" i="5"/>
  <c r="D204" i="5"/>
  <c r="C204" i="5"/>
  <c r="K203" i="5"/>
  <c r="J203" i="5"/>
  <c r="E203" i="5"/>
  <c r="D203" i="5"/>
  <c r="C203" i="5"/>
  <c r="K202" i="5"/>
  <c r="J202" i="5"/>
  <c r="E202" i="5"/>
  <c r="D202" i="5"/>
  <c r="C202" i="5"/>
  <c r="K201" i="5"/>
  <c r="J201" i="5"/>
  <c r="E201" i="5"/>
  <c r="D201" i="5"/>
  <c r="C201" i="5"/>
  <c r="K200" i="5"/>
  <c r="J200" i="5"/>
  <c r="E200" i="5"/>
  <c r="D200" i="5"/>
  <c r="C200" i="5"/>
  <c r="K199" i="5"/>
  <c r="J199" i="5"/>
  <c r="E199" i="5"/>
  <c r="D199" i="5"/>
  <c r="C199" i="5"/>
  <c r="K198" i="5"/>
  <c r="J198" i="5"/>
  <c r="E198" i="5"/>
  <c r="D198" i="5"/>
  <c r="C198" i="5"/>
  <c r="K197" i="5"/>
  <c r="J197" i="5"/>
  <c r="E197" i="5"/>
  <c r="D197" i="5"/>
  <c r="C197" i="5"/>
  <c r="K196" i="5"/>
  <c r="J196" i="5"/>
  <c r="E196" i="5"/>
  <c r="D196" i="5"/>
  <c r="C196" i="5"/>
  <c r="K195" i="5"/>
  <c r="J195" i="5"/>
  <c r="E195" i="5"/>
  <c r="D195" i="5"/>
  <c r="C195" i="5"/>
  <c r="K194" i="5"/>
  <c r="J194" i="5"/>
  <c r="E194" i="5"/>
  <c r="D194" i="5"/>
  <c r="C194" i="5"/>
  <c r="K193" i="5"/>
  <c r="J193" i="5"/>
  <c r="E193" i="5"/>
  <c r="D193" i="5"/>
  <c r="C193" i="5"/>
  <c r="K192" i="5"/>
  <c r="J192" i="5"/>
  <c r="E192" i="5"/>
  <c r="D192" i="5"/>
  <c r="C192" i="5"/>
  <c r="K191" i="5"/>
  <c r="J191" i="5"/>
  <c r="E191" i="5"/>
  <c r="D191" i="5"/>
  <c r="C191" i="5"/>
  <c r="K190" i="5"/>
  <c r="J190" i="5"/>
  <c r="E190" i="5"/>
  <c r="D190" i="5"/>
  <c r="C190" i="5"/>
  <c r="K189" i="5"/>
  <c r="J189" i="5"/>
  <c r="E189" i="5"/>
  <c r="D189" i="5"/>
  <c r="C189" i="5"/>
  <c r="K188" i="5"/>
  <c r="J188" i="5"/>
  <c r="E188" i="5"/>
  <c r="D188" i="5"/>
  <c r="C188" i="5"/>
  <c r="K187" i="5"/>
  <c r="J187" i="5"/>
  <c r="E187" i="5"/>
  <c r="D187" i="5"/>
  <c r="C187" i="5"/>
  <c r="K186" i="5"/>
  <c r="J186" i="5"/>
  <c r="E186" i="5"/>
  <c r="D186" i="5"/>
  <c r="C186" i="5"/>
  <c r="K185" i="5"/>
  <c r="J185" i="5"/>
  <c r="E185" i="5"/>
  <c r="D185" i="5"/>
  <c r="C185" i="5"/>
  <c r="K184" i="5"/>
  <c r="J184" i="5"/>
  <c r="E184" i="5"/>
  <c r="D184" i="5"/>
  <c r="C184" i="5"/>
  <c r="K183" i="5"/>
  <c r="J183" i="5"/>
  <c r="E183" i="5"/>
  <c r="D183" i="5"/>
  <c r="C183" i="5"/>
  <c r="K182" i="5"/>
  <c r="J182" i="5"/>
  <c r="E182" i="5"/>
  <c r="D182" i="5"/>
  <c r="C182" i="5"/>
  <c r="K181" i="5"/>
  <c r="J181" i="5"/>
  <c r="E181" i="5"/>
  <c r="D181" i="5"/>
  <c r="C181" i="5"/>
  <c r="K180" i="5"/>
  <c r="J180" i="5"/>
  <c r="E180" i="5"/>
  <c r="D180" i="5"/>
  <c r="C180" i="5"/>
  <c r="K179" i="5"/>
  <c r="J179" i="5"/>
  <c r="E179" i="5"/>
  <c r="D179" i="5"/>
  <c r="C179" i="5"/>
  <c r="K178" i="5"/>
  <c r="J178" i="5"/>
  <c r="E178" i="5"/>
  <c r="D178" i="5"/>
  <c r="C178" i="5"/>
  <c r="K177" i="5"/>
  <c r="J177" i="5"/>
  <c r="E177" i="5"/>
  <c r="D177" i="5"/>
  <c r="C177" i="5"/>
  <c r="K176" i="5"/>
  <c r="J176" i="5"/>
  <c r="E176" i="5"/>
  <c r="D176" i="5"/>
  <c r="C176" i="5"/>
  <c r="K175" i="5"/>
  <c r="J175" i="5"/>
  <c r="E175" i="5"/>
  <c r="D175" i="5"/>
  <c r="C175" i="5"/>
  <c r="K174" i="5"/>
  <c r="J174" i="5"/>
  <c r="E174" i="5"/>
  <c r="D174" i="5"/>
  <c r="C174" i="5"/>
  <c r="K173" i="5"/>
  <c r="J173" i="5"/>
  <c r="E173" i="5"/>
  <c r="D173" i="5"/>
  <c r="C173" i="5"/>
  <c r="K172" i="5"/>
  <c r="J172" i="5"/>
  <c r="E172" i="5"/>
  <c r="D172" i="5"/>
  <c r="C172" i="5"/>
  <c r="K171" i="5"/>
  <c r="J171" i="5"/>
  <c r="E171" i="5"/>
  <c r="D171" i="5"/>
  <c r="C171" i="5"/>
  <c r="K170" i="5"/>
  <c r="J170" i="5"/>
  <c r="E170" i="5"/>
  <c r="D170" i="5"/>
  <c r="C170" i="5"/>
  <c r="K169" i="5"/>
  <c r="J169" i="5"/>
  <c r="E169" i="5"/>
  <c r="D169" i="5"/>
  <c r="C169" i="5"/>
  <c r="K168" i="5"/>
  <c r="J168" i="5"/>
  <c r="E168" i="5"/>
  <c r="D168" i="5"/>
  <c r="C168" i="5"/>
  <c r="K167" i="5"/>
  <c r="J167" i="5"/>
  <c r="E167" i="5"/>
  <c r="D167" i="5"/>
  <c r="C167" i="5"/>
  <c r="K166" i="5"/>
  <c r="J166" i="5"/>
  <c r="E166" i="5"/>
  <c r="D166" i="5"/>
  <c r="C166" i="5"/>
  <c r="K165" i="5"/>
  <c r="J165" i="5"/>
  <c r="E165" i="5"/>
  <c r="D165" i="5"/>
  <c r="C165" i="5"/>
  <c r="K164" i="5"/>
  <c r="J164" i="5"/>
  <c r="E164" i="5"/>
  <c r="D164" i="5"/>
  <c r="C164" i="5"/>
  <c r="K163" i="5"/>
  <c r="J163" i="5"/>
  <c r="E163" i="5"/>
  <c r="D163" i="5"/>
  <c r="C163" i="5"/>
  <c r="K162" i="5"/>
  <c r="J162" i="5"/>
  <c r="E162" i="5"/>
  <c r="D162" i="5"/>
  <c r="C162" i="5"/>
  <c r="K161" i="5"/>
  <c r="J161" i="5"/>
  <c r="E161" i="5"/>
  <c r="D161" i="5"/>
  <c r="C161" i="5"/>
  <c r="K160" i="5"/>
  <c r="J160" i="5"/>
  <c r="E160" i="5"/>
  <c r="D160" i="5"/>
  <c r="C160" i="5"/>
  <c r="K159" i="5"/>
  <c r="J159" i="5"/>
  <c r="E159" i="5"/>
  <c r="D159" i="5"/>
  <c r="C159" i="5"/>
  <c r="K158" i="5"/>
  <c r="J158" i="5"/>
  <c r="E158" i="5"/>
  <c r="D158" i="5"/>
  <c r="C158" i="5"/>
  <c r="K157" i="5"/>
  <c r="J157" i="5"/>
  <c r="E157" i="5"/>
  <c r="D157" i="5"/>
  <c r="C157" i="5"/>
  <c r="K156" i="5"/>
  <c r="J156" i="5"/>
  <c r="E156" i="5"/>
  <c r="D156" i="5"/>
  <c r="C156" i="5"/>
  <c r="K155" i="5"/>
  <c r="J155" i="5"/>
  <c r="E155" i="5"/>
  <c r="D155" i="5"/>
  <c r="C155" i="5"/>
  <c r="K154" i="5"/>
  <c r="J154" i="5"/>
  <c r="E154" i="5"/>
  <c r="D154" i="5"/>
  <c r="C154" i="5"/>
  <c r="K153" i="5"/>
  <c r="J153" i="5"/>
  <c r="E153" i="5"/>
  <c r="D153" i="5"/>
  <c r="C153" i="5"/>
  <c r="K152" i="5"/>
  <c r="J152" i="5"/>
  <c r="E152" i="5"/>
  <c r="D152" i="5"/>
  <c r="C152" i="5"/>
  <c r="K151" i="5"/>
  <c r="J151" i="5"/>
  <c r="E151" i="5"/>
  <c r="D151" i="5"/>
  <c r="C151" i="5"/>
  <c r="K150" i="5"/>
  <c r="J150" i="5"/>
  <c r="E150" i="5"/>
  <c r="D150" i="5"/>
  <c r="C150" i="5"/>
  <c r="K149" i="5"/>
  <c r="J149" i="5"/>
  <c r="E149" i="5"/>
  <c r="D149" i="5"/>
  <c r="C149" i="5"/>
  <c r="K148" i="5"/>
  <c r="J148" i="5"/>
  <c r="E148" i="5"/>
  <c r="D148" i="5"/>
  <c r="C148" i="5"/>
  <c r="K147" i="5"/>
  <c r="J147" i="5"/>
  <c r="E147" i="5"/>
  <c r="D147" i="5"/>
  <c r="C147" i="5"/>
  <c r="K146" i="5"/>
  <c r="J146" i="5"/>
  <c r="E146" i="5"/>
  <c r="D146" i="5"/>
  <c r="C146" i="5"/>
  <c r="K145" i="5"/>
  <c r="J145" i="5"/>
  <c r="E145" i="5"/>
  <c r="D145" i="5"/>
  <c r="C145" i="5"/>
  <c r="K144" i="5"/>
  <c r="J144" i="5"/>
  <c r="E144" i="5"/>
  <c r="D144" i="5"/>
  <c r="C144" i="5"/>
  <c r="K143" i="5"/>
  <c r="J143" i="5"/>
  <c r="E143" i="5"/>
  <c r="D143" i="5"/>
  <c r="C143" i="5"/>
  <c r="K142" i="5"/>
  <c r="J142" i="5"/>
  <c r="E142" i="5"/>
  <c r="D142" i="5"/>
  <c r="C142" i="5"/>
  <c r="K141" i="5"/>
  <c r="J141" i="5"/>
  <c r="E141" i="5"/>
  <c r="D141" i="5"/>
  <c r="C141" i="5"/>
  <c r="K140" i="5"/>
  <c r="J140" i="5"/>
  <c r="E140" i="5"/>
  <c r="D140" i="5"/>
  <c r="C140" i="5"/>
  <c r="K139" i="5"/>
  <c r="J139" i="5"/>
  <c r="E139" i="5"/>
  <c r="D139" i="5"/>
  <c r="C139" i="5"/>
  <c r="K138" i="5"/>
  <c r="J138" i="5"/>
  <c r="E138" i="5"/>
  <c r="D138" i="5"/>
  <c r="C138" i="5"/>
  <c r="K137" i="5"/>
  <c r="J137" i="5"/>
  <c r="E137" i="5"/>
  <c r="D137" i="5"/>
  <c r="C137" i="5"/>
  <c r="K136" i="5"/>
  <c r="J136" i="5"/>
  <c r="E136" i="5"/>
  <c r="D136" i="5"/>
  <c r="C136" i="5"/>
  <c r="K135" i="5"/>
  <c r="J135" i="5"/>
  <c r="E135" i="5"/>
  <c r="D135" i="5"/>
  <c r="C135" i="5"/>
  <c r="K134" i="5"/>
  <c r="J134" i="5"/>
  <c r="E134" i="5"/>
  <c r="D134" i="5"/>
  <c r="C134" i="5"/>
  <c r="K133" i="5"/>
  <c r="J133" i="5"/>
  <c r="E133" i="5"/>
  <c r="D133" i="5"/>
  <c r="C133" i="5"/>
  <c r="K132" i="5"/>
  <c r="J132" i="5"/>
  <c r="E132" i="5"/>
  <c r="D132" i="5"/>
  <c r="C132" i="5"/>
  <c r="K131" i="5"/>
  <c r="J131" i="5"/>
  <c r="E131" i="5"/>
  <c r="D131" i="5"/>
  <c r="C131" i="5"/>
  <c r="K130" i="5"/>
  <c r="J130" i="5"/>
  <c r="E130" i="5"/>
  <c r="D130" i="5"/>
  <c r="C130" i="5"/>
  <c r="K129" i="5"/>
  <c r="J129" i="5"/>
  <c r="E129" i="5"/>
  <c r="D129" i="5"/>
  <c r="C129" i="5"/>
  <c r="K128" i="5"/>
  <c r="J128" i="5"/>
  <c r="E128" i="5"/>
  <c r="D128" i="5"/>
  <c r="C128" i="5"/>
  <c r="K127" i="5"/>
  <c r="J127" i="5"/>
  <c r="E127" i="5"/>
  <c r="D127" i="5"/>
  <c r="C127" i="5"/>
  <c r="K126" i="5"/>
  <c r="J126" i="5"/>
  <c r="E126" i="5"/>
  <c r="D126" i="5"/>
  <c r="C126" i="5"/>
  <c r="K125" i="5"/>
  <c r="J125" i="5"/>
  <c r="E125" i="5"/>
  <c r="D125" i="5"/>
  <c r="C125" i="5"/>
  <c r="K124" i="5"/>
  <c r="J124" i="5"/>
  <c r="E124" i="5"/>
  <c r="D124" i="5"/>
  <c r="C124" i="5"/>
  <c r="K123" i="5"/>
  <c r="J123" i="5"/>
  <c r="E123" i="5"/>
  <c r="D123" i="5"/>
  <c r="C123" i="5"/>
  <c r="K122" i="5"/>
  <c r="J122" i="5"/>
  <c r="E122" i="5"/>
  <c r="D122" i="5"/>
  <c r="C122" i="5"/>
  <c r="K121" i="5"/>
  <c r="J121" i="5"/>
  <c r="E121" i="5"/>
  <c r="D121" i="5"/>
  <c r="C121" i="5"/>
  <c r="K120" i="5"/>
  <c r="J120" i="5"/>
  <c r="E120" i="5"/>
  <c r="D120" i="5"/>
  <c r="C120" i="5"/>
  <c r="K119" i="5"/>
  <c r="J119" i="5"/>
  <c r="E119" i="5"/>
  <c r="D119" i="5"/>
  <c r="C119" i="5"/>
  <c r="K118" i="5"/>
  <c r="J118" i="5"/>
  <c r="E118" i="5"/>
  <c r="D118" i="5"/>
  <c r="C118" i="5"/>
  <c r="K117" i="5"/>
  <c r="J117" i="5"/>
  <c r="E117" i="5"/>
  <c r="D117" i="5"/>
  <c r="C117" i="5"/>
  <c r="K116" i="5"/>
  <c r="J116" i="5"/>
  <c r="E116" i="5"/>
  <c r="D116" i="5"/>
  <c r="C116" i="5"/>
  <c r="K115" i="5"/>
  <c r="J115" i="5"/>
  <c r="E115" i="5"/>
  <c r="D115" i="5"/>
  <c r="C115" i="5"/>
  <c r="K114" i="5"/>
  <c r="J114" i="5"/>
  <c r="E114" i="5"/>
  <c r="D114" i="5"/>
  <c r="C114" i="5"/>
  <c r="K113" i="5"/>
  <c r="J113" i="5"/>
  <c r="E113" i="5"/>
  <c r="D113" i="5"/>
  <c r="C113" i="5"/>
  <c r="K112" i="5"/>
  <c r="J112" i="5"/>
  <c r="E112" i="5"/>
  <c r="D112" i="5"/>
  <c r="C112" i="5"/>
  <c r="K111" i="5"/>
  <c r="J111" i="5"/>
  <c r="E111" i="5"/>
  <c r="D111" i="5"/>
  <c r="C111" i="5"/>
  <c r="K110" i="5"/>
  <c r="J110" i="5"/>
  <c r="E110" i="5"/>
  <c r="D110" i="5"/>
  <c r="C110" i="5"/>
  <c r="K109" i="5"/>
  <c r="J109" i="5"/>
  <c r="E109" i="5"/>
  <c r="D109" i="5"/>
  <c r="C109" i="5"/>
  <c r="K108" i="5"/>
  <c r="J108" i="5"/>
  <c r="E108" i="5"/>
  <c r="D108" i="5"/>
  <c r="C108" i="5"/>
  <c r="K107" i="5"/>
  <c r="J107" i="5"/>
  <c r="E107" i="5"/>
  <c r="D107" i="5"/>
  <c r="C107" i="5"/>
  <c r="K106" i="5"/>
  <c r="J106" i="5"/>
  <c r="E106" i="5"/>
  <c r="D106" i="5"/>
  <c r="C106" i="5"/>
  <c r="K105" i="5"/>
  <c r="J105" i="5"/>
  <c r="E105" i="5"/>
  <c r="D105" i="5"/>
  <c r="C105" i="5"/>
  <c r="K104" i="5"/>
  <c r="J104" i="5"/>
  <c r="E104" i="5"/>
  <c r="D104" i="5"/>
  <c r="C104" i="5"/>
  <c r="K103" i="5"/>
  <c r="J103" i="5"/>
  <c r="E103" i="5"/>
  <c r="D103" i="5"/>
  <c r="C103" i="5"/>
  <c r="K102" i="5"/>
  <c r="J102" i="5"/>
  <c r="E102" i="5"/>
  <c r="D102" i="5"/>
  <c r="C102" i="5"/>
  <c r="K101" i="5"/>
  <c r="J101" i="5"/>
  <c r="E101" i="5"/>
  <c r="D101" i="5"/>
  <c r="C101" i="5"/>
  <c r="K100" i="5"/>
  <c r="J100" i="5"/>
  <c r="E100" i="5"/>
  <c r="D100" i="5"/>
  <c r="C100" i="5"/>
  <c r="K99" i="5"/>
  <c r="J99" i="5"/>
  <c r="E99" i="5"/>
  <c r="D99" i="5"/>
  <c r="C99" i="5"/>
  <c r="K98" i="5"/>
  <c r="J98" i="5"/>
  <c r="E98" i="5"/>
  <c r="D98" i="5"/>
  <c r="C98" i="5"/>
  <c r="K97" i="5"/>
  <c r="J97" i="5"/>
  <c r="E97" i="5"/>
  <c r="D97" i="5"/>
  <c r="C97" i="5"/>
  <c r="K96" i="5"/>
  <c r="J96" i="5"/>
  <c r="E96" i="5"/>
  <c r="D96" i="5"/>
  <c r="C96" i="5"/>
  <c r="K95" i="5"/>
  <c r="J95" i="5"/>
  <c r="E95" i="5"/>
  <c r="D95" i="5"/>
  <c r="C95" i="5"/>
  <c r="K94" i="5"/>
  <c r="J94" i="5"/>
  <c r="E94" i="5"/>
  <c r="D94" i="5"/>
  <c r="C94" i="5"/>
  <c r="K93" i="5"/>
  <c r="J93" i="5"/>
  <c r="E93" i="5"/>
  <c r="D93" i="5"/>
  <c r="C93" i="5"/>
  <c r="K92" i="5"/>
  <c r="J92" i="5"/>
  <c r="E92" i="5"/>
  <c r="D92" i="5"/>
  <c r="C92" i="5"/>
  <c r="K91" i="5"/>
  <c r="J91" i="5"/>
  <c r="E91" i="5"/>
  <c r="D91" i="5"/>
  <c r="C91" i="5"/>
  <c r="K90" i="5"/>
  <c r="J90" i="5"/>
  <c r="E90" i="5"/>
  <c r="D90" i="5"/>
  <c r="C90" i="5"/>
  <c r="K89" i="5"/>
  <c r="J89" i="5"/>
  <c r="E89" i="5"/>
  <c r="D89" i="5"/>
  <c r="C89" i="5"/>
  <c r="K88" i="5"/>
  <c r="J88" i="5"/>
  <c r="E88" i="5"/>
  <c r="D88" i="5"/>
  <c r="C88" i="5"/>
  <c r="K87" i="5"/>
  <c r="J87" i="5"/>
  <c r="E87" i="5"/>
  <c r="D87" i="5"/>
  <c r="C87" i="5"/>
  <c r="K86" i="5"/>
  <c r="J86" i="5"/>
  <c r="E86" i="5"/>
  <c r="D86" i="5"/>
  <c r="C86" i="5"/>
  <c r="K85" i="5"/>
  <c r="J85" i="5"/>
  <c r="E85" i="5"/>
  <c r="D85" i="5"/>
  <c r="C85" i="5"/>
  <c r="K84" i="5"/>
  <c r="J84" i="5"/>
  <c r="E84" i="5"/>
  <c r="D84" i="5"/>
  <c r="C84" i="5"/>
  <c r="K83" i="5"/>
  <c r="J83" i="5"/>
  <c r="E83" i="5"/>
  <c r="D83" i="5"/>
  <c r="C83" i="5"/>
  <c r="K82" i="5"/>
  <c r="J82" i="5"/>
  <c r="E82" i="5"/>
  <c r="D82" i="5"/>
  <c r="C82" i="5"/>
  <c r="K81" i="5"/>
  <c r="J81" i="5"/>
  <c r="E81" i="5"/>
  <c r="D81" i="5"/>
  <c r="C81" i="5"/>
  <c r="K80" i="5"/>
  <c r="J80" i="5"/>
  <c r="E80" i="5"/>
  <c r="D80" i="5"/>
  <c r="C80" i="5"/>
  <c r="K79" i="5"/>
  <c r="J79" i="5"/>
  <c r="E79" i="5"/>
  <c r="D79" i="5"/>
  <c r="C79" i="5"/>
  <c r="K78" i="5"/>
  <c r="J78" i="5"/>
  <c r="E78" i="5"/>
  <c r="D78" i="5"/>
  <c r="C78" i="5"/>
  <c r="K77" i="5"/>
  <c r="J77" i="5"/>
  <c r="E77" i="5"/>
  <c r="D77" i="5"/>
  <c r="C77" i="5"/>
  <c r="K76" i="5"/>
  <c r="J76" i="5"/>
  <c r="E76" i="5"/>
  <c r="D76" i="5"/>
  <c r="C76" i="5"/>
  <c r="K75" i="5"/>
  <c r="J75" i="5"/>
  <c r="E75" i="5"/>
  <c r="D75" i="5"/>
  <c r="C75" i="5"/>
  <c r="K74" i="5"/>
  <c r="J74" i="5"/>
  <c r="E74" i="5"/>
  <c r="D74" i="5"/>
  <c r="C74" i="5"/>
  <c r="K73" i="5"/>
  <c r="J73" i="5"/>
  <c r="E73" i="5"/>
  <c r="D73" i="5"/>
  <c r="C73" i="5"/>
  <c r="K72" i="5"/>
  <c r="J72" i="5"/>
  <c r="E72" i="5"/>
  <c r="D72" i="5"/>
  <c r="C72" i="5"/>
  <c r="K71" i="5"/>
  <c r="J71" i="5"/>
  <c r="E71" i="5"/>
  <c r="D71" i="5"/>
  <c r="C71" i="5"/>
  <c r="K70" i="5"/>
  <c r="J70" i="5"/>
  <c r="E70" i="5"/>
  <c r="D70" i="5"/>
  <c r="C70" i="5"/>
  <c r="K69" i="5"/>
  <c r="J69" i="5"/>
  <c r="E69" i="5"/>
  <c r="D69" i="5"/>
  <c r="C69" i="5"/>
  <c r="K68" i="5"/>
  <c r="J68" i="5"/>
  <c r="E68" i="5"/>
  <c r="D68" i="5"/>
  <c r="C68" i="5"/>
  <c r="K67" i="5"/>
  <c r="J67" i="5"/>
  <c r="E67" i="5"/>
  <c r="D67" i="5"/>
  <c r="C67" i="5"/>
  <c r="K66" i="5"/>
  <c r="J66" i="5"/>
  <c r="E66" i="5"/>
  <c r="D66" i="5"/>
  <c r="C66" i="5"/>
  <c r="K65" i="5"/>
  <c r="J65" i="5"/>
  <c r="E65" i="5"/>
  <c r="D65" i="5"/>
  <c r="C65" i="5"/>
  <c r="K64" i="5"/>
  <c r="J64" i="5"/>
  <c r="E64" i="5"/>
  <c r="D64" i="5"/>
  <c r="C64" i="5"/>
  <c r="K63" i="5"/>
  <c r="J63" i="5"/>
  <c r="E63" i="5"/>
  <c r="D63" i="5"/>
  <c r="C63" i="5"/>
  <c r="K62" i="5"/>
  <c r="J62" i="5"/>
  <c r="E62" i="5"/>
  <c r="D62" i="5"/>
  <c r="C62" i="5"/>
  <c r="K61" i="5"/>
  <c r="J61" i="5"/>
  <c r="E61" i="5"/>
  <c r="D61" i="5"/>
  <c r="C61" i="5"/>
  <c r="K60" i="5"/>
  <c r="J60" i="5"/>
  <c r="E60" i="5"/>
  <c r="D60" i="5"/>
  <c r="C60" i="5"/>
  <c r="K59" i="5"/>
  <c r="J59" i="5"/>
  <c r="E59" i="5"/>
  <c r="D59" i="5"/>
  <c r="C59" i="5"/>
  <c r="K58" i="5"/>
  <c r="J58" i="5"/>
  <c r="E58" i="5"/>
  <c r="D58" i="5"/>
  <c r="C58" i="5"/>
  <c r="K57" i="5"/>
  <c r="J57" i="5"/>
  <c r="E57" i="5"/>
  <c r="D57" i="5"/>
  <c r="C57" i="5"/>
  <c r="K56" i="5"/>
  <c r="J56" i="5"/>
  <c r="E56" i="5"/>
  <c r="D56" i="5"/>
  <c r="C56" i="5"/>
  <c r="K55" i="5"/>
  <c r="J55" i="5"/>
  <c r="E55" i="5"/>
  <c r="D55" i="5"/>
  <c r="C55" i="5"/>
  <c r="K54" i="5"/>
  <c r="J54" i="5"/>
  <c r="E54" i="5"/>
  <c r="D54" i="5"/>
  <c r="C54" i="5"/>
  <c r="K53" i="5"/>
  <c r="J53" i="5"/>
  <c r="E53" i="5"/>
  <c r="D53" i="5"/>
  <c r="C53" i="5"/>
  <c r="K52" i="5"/>
  <c r="J52" i="5"/>
  <c r="E52" i="5"/>
  <c r="D52" i="5"/>
  <c r="C52" i="5"/>
  <c r="K51" i="5"/>
  <c r="J51" i="5"/>
  <c r="E51" i="5"/>
  <c r="D51" i="5"/>
  <c r="C51" i="5"/>
  <c r="K50" i="5"/>
  <c r="J50" i="5"/>
  <c r="E50" i="5"/>
  <c r="D50" i="5"/>
  <c r="C50" i="5"/>
  <c r="K49" i="5"/>
  <c r="J49" i="5"/>
  <c r="E49" i="5"/>
  <c r="D49" i="5"/>
  <c r="C49" i="5"/>
  <c r="K48" i="5"/>
  <c r="J48" i="5"/>
  <c r="E48" i="5"/>
  <c r="D48" i="5"/>
  <c r="C48" i="5"/>
  <c r="K47" i="5"/>
  <c r="J47" i="5"/>
  <c r="E47" i="5"/>
  <c r="D47" i="5"/>
  <c r="C47" i="5"/>
  <c r="K46" i="5"/>
  <c r="J46" i="5"/>
  <c r="E46" i="5"/>
  <c r="D46" i="5"/>
  <c r="C46" i="5"/>
  <c r="K45" i="5"/>
  <c r="J45" i="5"/>
  <c r="E45" i="5"/>
  <c r="D45" i="5"/>
  <c r="C45" i="5"/>
  <c r="K44" i="5"/>
  <c r="J44" i="5"/>
  <c r="E44" i="5"/>
  <c r="D44" i="5"/>
  <c r="C44" i="5"/>
  <c r="K43" i="5"/>
  <c r="J43" i="5"/>
  <c r="E43" i="5"/>
  <c r="D43" i="5"/>
  <c r="C43" i="5"/>
  <c r="K42" i="5"/>
  <c r="J42" i="5"/>
  <c r="E42" i="5"/>
  <c r="D42" i="5"/>
  <c r="C42" i="5"/>
  <c r="K41" i="5"/>
  <c r="J41" i="5"/>
  <c r="E41" i="5"/>
  <c r="D41" i="5"/>
  <c r="C41" i="5"/>
  <c r="K40" i="5"/>
  <c r="J40" i="5"/>
  <c r="E40" i="5"/>
  <c r="D40" i="5"/>
  <c r="C40" i="5"/>
  <c r="K39" i="5"/>
  <c r="J39" i="5"/>
  <c r="E39" i="5"/>
  <c r="D39" i="5"/>
  <c r="C39" i="5"/>
  <c r="K38" i="5"/>
  <c r="J38" i="5"/>
  <c r="E38" i="5"/>
  <c r="D38" i="5"/>
  <c r="C38" i="5"/>
  <c r="K37" i="5"/>
  <c r="J37" i="5"/>
  <c r="E37" i="5"/>
  <c r="D37" i="5"/>
  <c r="C37" i="5"/>
  <c r="K36" i="5"/>
  <c r="J36" i="5"/>
  <c r="E36" i="5"/>
  <c r="D36" i="5"/>
  <c r="C36" i="5"/>
  <c r="K35" i="5"/>
  <c r="J35" i="5"/>
  <c r="E35" i="5"/>
  <c r="D35" i="5"/>
  <c r="C35" i="5"/>
  <c r="K34" i="5"/>
  <c r="J34" i="5"/>
  <c r="E34" i="5"/>
  <c r="D34" i="5"/>
  <c r="C34" i="5"/>
  <c r="K33" i="5"/>
  <c r="J33" i="5"/>
  <c r="E33" i="5"/>
  <c r="D33" i="5"/>
  <c r="C33" i="5"/>
  <c r="K32" i="5"/>
  <c r="J32" i="5"/>
  <c r="E32" i="5"/>
  <c r="D32" i="5"/>
  <c r="C32" i="5"/>
  <c r="K31" i="5"/>
  <c r="J31" i="5"/>
  <c r="E31" i="5"/>
  <c r="D31" i="5"/>
  <c r="C31" i="5"/>
  <c r="K30" i="5"/>
  <c r="J30" i="5"/>
  <c r="E30" i="5"/>
  <c r="D30" i="5"/>
  <c r="C30" i="5"/>
  <c r="K29" i="5"/>
  <c r="J29" i="5"/>
  <c r="E29" i="5"/>
  <c r="D29" i="5"/>
  <c r="C29" i="5"/>
  <c r="K28" i="5"/>
  <c r="J28" i="5"/>
  <c r="E28" i="5"/>
  <c r="D28" i="5"/>
  <c r="C28" i="5"/>
  <c r="K27" i="5"/>
  <c r="J27" i="5"/>
  <c r="E27" i="5"/>
  <c r="D27" i="5"/>
  <c r="C27" i="5"/>
  <c r="K26" i="5"/>
  <c r="J26" i="5"/>
  <c r="E26" i="5"/>
  <c r="D26" i="5"/>
  <c r="C26" i="5"/>
  <c r="K25" i="5"/>
  <c r="J25" i="5"/>
  <c r="E25" i="5"/>
  <c r="D25" i="5"/>
  <c r="C25" i="5"/>
  <c r="K24" i="5"/>
  <c r="J24" i="5"/>
  <c r="E24" i="5"/>
  <c r="D24" i="5"/>
  <c r="C24" i="5"/>
  <c r="K23" i="5"/>
  <c r="J23" i="5"/>
  <c r="E23" i="5"/>
  <c r="D23" i="5"/>
  <c r="C23" i="5"/>
  <c r="K22" i="5"/>
  <c r="J22" i="5"/>
  <c r="E22" i="5"/>
  <c r="D22" i="5"/>
  <c r="C22" i="5"/>
  <c r="K21" i="5"/>
  <c r="J21" i="5"/>
  <c r="E21" i="5"/>
  <c r="D21" i="5"/>
  <c r="C21" i="5"/>
  <c r="K20" i="5"/>
  <c r="J20" i="5"/>
  <c r="E20" i="5"/>
  <c r="D20" i="5"/>
  <c r="C20" i="5"/>
  <c r="K19" i="5"/>
  <c r="J19" i="5"/>
  <c r="E19" i="5"/>
  <c r="D19" i="5"/>
  <c r="C19" i="5"/>
  <c r="K18" i="5"/>
  <c r="J18" i="5"/>
  <c r="E18" i="5"/>
  <c r="D18" i="5"/>
  <c r="C18" i="5"/>
  <c r="K17" i="5"/>
  <c r="J17" i="5"/>
  <c r="E17" i="5"/>
  <c r="D17" i="5"/>
  <c r="C17" i="5"/>
  <c r="K16" i="5"/>
  <c r="J16" i="5"/>
  <c r="E16" i="5"/>
  <c r="D16" i="5"/>
  <c r="C16" i="5"/>
  <c r="K15" i="5"/>
  <c r="J15" i="5"/>
  <c r="E15" i="5"/>
  <c r="D15" i="5"/>
  <c r="C15" i="5"/>
  <c r="K14" i="5"/>
  <c r="J14" i="5"/>
  <c r="E14" i="5"/>
  <c r="D14" i="5"/>
  <c r="C14" i="5"/>
  <c r="K13" i="5"/>
  <c r="J13" i="5"/>
  <c r="E13" i="5"/>
  <c r="D13" i="5"/>
  <c r="C13" i="5"/>
  <c r="K12" i="5"/>
  <c r="J12" i="5"/>
  <c r="E12" i="5"/>
  <c r="D12" i="5"/>
  <c r="C12" i="5"/>
  <c r="K11" i="5"/>
  <c r="J11" i="5"/>
  <c r="E11" i="5"/>
  <c r="D11" i="5"/>
  <c r="C11" i="5"/>
  <c r="K10" i="5"/>
  <c r="J10" i="5"/>
  <c r="E10" i="5"/>
  <c r="D10" i="5"/>
  <c r="C10" i="5"/>
  <c r="K9" i="5"/>
  <c r="J9" i="5"/>
  <c r="E9" i="5"/>
  <c r="D9" i="5"/>
  <c r="C9" i="5"/>
  <c r="K8" i="5"/>
  <c r="J8" i="5"/>
  <c r="E8" i="5"/>
  <c r="D8" i="5"/>
  <c r="C8" i="5"/>
  <c r="K7" i="5"/>
  <c r="J7" i="5"/>
  <c r="E7" i="5"/>
  <c r="D7" i="5"/>
  <c r="C7" i="5"/>
  <c r="K6" i="5"/>
  <c r="J6" i="5"/>
  <c r="E6" i="5"/>
  <c r="D6" i="5"/>
  <c r="C6" i="5"/>
  <c r="K5" i="5"/>
  <c r="J5" i="5"/>
  <c r="E5" i="5"/>
  <c r="D5" i="5"/>
  <c r="C5" i="5"/>
  <c r="K4" i="5"/>
  <c r="J4" i="5"/>
  <c r="E4" i="5"/>
  <c r="D4" i="5"/>
  <c r="C4" i="5"/>
  <c r="K3" i="5"/>
  <c r="J3" i="5"/>
  <c r="E3" i="5"/>
  <c r="D3" i="5"/>
  <c r="C3" i="5"/>
  <c r="K2" i="5"/>
  <c r="J2" i="5"/>
  <c r="E2" i="5"/>
  <c r="D2" i="5"/>
  <c r="C2" i="5"/>
</calcChain>
</file>

<file path=xl/connections.xml><?xml version="1.0" encoding="utf-8"?>
<connections xmlns="http://schemas.openxmlformats.org/spreadsheetml/2006/main">
  <connection id="1" name="Подключение" type="7" refreshedVersion="4"/>
  <connection id="2" name="Подключение1" type="7" refreshedVersion="4"/>
  <connection id="3" name="Подключение2" type="7" refreshedVersion="4"/>
  <connection id="4" name="Подключение3" type="7" refreshedVersion="4"/>
  <connection id="5" name="Подключение4" type="7" refreshedVersion="4"/>
  <connection id="6" name="Подключение5" type="7" refreshedVersion="4"/>
  <connection id="7" name="Подключение6" type="7" refreshedVersion="4"/>
  <connection id="8" name="Подключение7" type="7" refreshedVersion="4"/>
  <connection id="9" name="Подключение8" type="7" refreshedVersion="4"/>
  <connection id="10" name="Подключение9" type="7" refreshedVersion="4"/>
</connections>
</file>

<file path=xl/sharedStrings.xml><?xml version="1.0" encoding="utf-8"?>
<sst xmlns="http://schemas.openxmlformats.org/spreadsheetml/2006/main" count="14425" uniqueCount="57">
  <si>
    <t>Магазин</t>
  </si>
  <si>
    <t>Год</t>
  </si>
  <si>
    <t>Месяц</t>
  </si>
  <si>
    <t>Неделя</t>
  </si>
  <si>
    <t>Дата</t>
  </si>
  <si>
    <t>Бакалея</t>
  </si>
  <si>
    <t>Кондитерка</t>
  </si>
  <si>
    <t>Кулинария мясо птицы рыбы</t>
  </si>
  <si>
    <t>Напитки</t>
  </si>
  <si>
    <t>Овощи и фрукты</t>
  </si>
  <si>
    <t>ОУХ</t>
  </si>
  <si>
    <t>Сопутствующие товары</t>
  </si>
  <si>
    <t>Подгруппа</t>
  </si>
  <si>
    <t>Группа</t>
  </si>
  <si>
    <t>Хлеб,хлебопродукты</t>
  </si>
  <si>
    <t>Выпечка</t>
  </si>
  <si>
    <t>Кондитерские изделия</t>
  </si>
  <si>
    <t>Дието-, диабетические продукты</t>
  </si>
  <si>
    <t>Детское питание</t>
  </si>
  <si>
    <t>Кофе, кофейные напитки, чай</t>
  </si>
  <si>
    <t>Консервы</t>
  </si>
  <si>
    <t>Растительные масла,специи,соусы</t>
  </si>
  <si>
    <t>Алкогольные напитки, пиво</t>
  </si>
  <si>
    <t>Безалкогольные напитки</t>
  </si>
  <si>
    <t>Соки</t>
  </si>
  <si>
    <t>Табачные изделия и средства от похмелья</t>
  </si>
  <si>
    <t>Рыба и морепродукты</t>
  </si>
  <si>
    <t>Мясная гастрономия</t>
  </si>
  <si>
    <t>Замороженные продукты</t>
  </si>
  <si>
    <t>Молочные продукты, яйца, майонез</t>
  </si>
  <si>
    <t>Сыры</t>
  </si>
  <si>
    <t>Свежее мясо</t>
  </si>
  <si>
    <t>Птица свежая</t>
  </si>
  <si>
    <t>Собственное производство</t>
  </si>
  <si>
    <t>Кулинария</t>
  </si>
  <si>
    <t>Товары для животных</t>
  </si>
  <si>
    <t>Косметика и парфюмерия</t>
  </si>
  <si>
    <t>Средства личной гигиены</t>
  </si>
  <si>
    <t>Бытовая химия</t>
  </si>
  <si>
    <t>Закупка</t>
  </si>
  <si>
    <t>Продажа</t>
  </si>
  <si>
    <t>Прибыль</t>
  </si>
  <si>
    <t>Наценка</t>
  </si>
  <si>
    <t>Альфа</t>
  </si>
  <si>
    <t>Бета</t>
  </si>
  <si>
    <t>Гамма</t>
  </si>
  <si>
    <t>Дельта</t>
  </si>
  <si>
    <t>(Все)</t>
  </si>
  <si>
    <t>Сумма по полю Прибыль</t>
  </si>
  <si>
    <t>Общий итог</t>
  </si>
  <si>
    <t>Бакалея Итог</t>
  </si>
  <si>
    <t>Кондитерка Итог</t>
  </si>
  <si>
    <t>Кулинария мясо птицы рыбы Итог</t>
  </si>
  <si>
    <t>Напитки Итог</t>
  </si>
  <si>
    <t>Овощи и фрукты Итог</t>
  </si>
  <si>
    <t>ОУХ Итог</t>
  </si>
  <si>
    <t>Сопутствующие товары Итог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</si>
</sst>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2" formatCode="#,##0.00&quot;р.&quot;"/>
  </numFmts>
  <fonts count="5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2" fillId="0" borderId="0"/>
    <xf numFmtId="9" fontId="3" fillId="0" borderId="0" applyFont="0" applyFill="0" applyBorder="0" applyAlignment="0" applyProtection="0"/>
    <xf numFmtId="0" fontId="1" fillId="0" borderId="0"/>
  </cellStyleXfs>
  <cellXfs count="11">
    <xf numFmtId="0" fontId="0" fillId="0" borderId="0" xfId="0"/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72" fontId="4" fillId="0" borderId="1" xfId="0" applyNumberFormat="1" applyFont="1" applyBorder="1" applyAlignment="1">
      <alignment horizontal="center" vertical="center"/>
    </xf>
    <xf numFmtId="9" fontId="4" fillId="0" borderId="1" xfId="3" applyFont="1" applyBorder="1" applyAlignment="1">
      <alignment horizontal="center" vertical="center"/>
    </xf>
    <xf numFmtId="0" fontId="0" fillId="0" borderId="0" xfId="0" applyAlignment="1"/>
    <xf numFmtId="14" fontId="0" fillId="0" borderId="0" xfId="0" applyNumberFormat="1" applyAlignment="1"/>
    <xf numFmtId="172" fontId="0" fillId="0" borderId="0" xfId="0" applyNumberFormat="1" applyAlignment="1"/>
    <xf numFmtId="9" fontId="3" fillId="0" borderId="0" xfId="3" applyFont="1" applyAlignment="1"/>
    <xf numFmtId="0" fontId="0" fillId="0" borderId="0" xfId="0" pivotButton="1"/>
    <xf numFmtId="3" fontId="0" fillId="0" borderId="0" xfId="0" applyNumberFormat="1"/>
  </cellXfs>
  <cellStyles count="5">
    <cellStyle name="Обычный" xfId="0" builtinId="0"/>
    <cellStyle name="Обычный 2_31-03-2010 (2)" xfId="1"/>
    <cellStyle name="Обычный 3" xfId="2"/>
    <cellStyle name="Процентный" xfId="3" builtinId="5"/>
    <cellStyle name="Стиль 1" xfId="4"/>
  </cellStyles>
  <dxfs count="2">
    <dxf>
      <numFmt numFmtId="3" formatCode="#,##0"/>
    </dxf>
    <dxf>
      <numFmt numFmtId="3" formatCode="#,##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2" refreshedDate="44782.699926504632" createdVersion="1" refreshedVersion="4" recordCount="4776" upgradeOnRefresh="1">
  <cacheSource type="external" connectionId="10"/>
  <cacheFields count="11">
    <cacheField name="Магазин" numFmtId="0">
      <sharedItems count="4">
        <s v="Альфа"/>
        <s v="Бета"/>
        <s v="Гамма"/>
        <s v="Дельта"/>
      </sharedItems>
    </cacheField>
    <cacheField name="Дата" numFmtId="0">
      <sharedItems containsSemiMixedTypes="0" containsNonDate="0" containsDate="1" containsString="0" minDate="2010-02-15T00:00:00" maxDate="2010-04-05T00:00:00"/>
    </cacheField>
    <cacheField name="Неделя" numFmtId="0">
      <sharedItems containsSemiMixedTypes="0" containsString="0" containsNumber="1" containsInteger="1" minValue="8" maxValue="15" count="8">
        <n v="8"/>
        <n v="9"/>
        <n v="10"/>
        <n v="11"/>
        <n v="12"/>
        <n v="13"/>
        <n v="14"/>
        <n v="15"/>
      </sharedItems>
    </cacheField>
    <cacheField name="Месяц" numFmtId="0">
      <sharedItems containsSemiMixedTypes="0" containsString="0" containsNumber="1" containsInteger="1" minValue="2" maxValue="4" count="3">
        <n v="2"/>
        <n v="3"/>
        <n v="4"/>
      </sharedItems>
    </cacheField>
    <cacheField name="Год" numFmtId="0">
      <sharedItems count="2">
        <s v="2010"/>
        <s v="02.07.1905"/>
      </sharedItems>
    </cacheField>
    <cacheField name="Подгруппа" numFmtId="0">
      <sharedItems count="27">
        <s v="Хлеб,хлебопродукты"/>
        <s v="Выпечка"/>
        <s v="Кондитерские изделия"/>
        <s v="Дието-, диабетические продукты"/>
        <s v="Детское питание"/>
        <s v="Кофе, кофейные напитки, чай"/>
        <s v="Бакалея"/>
        <s v="Консервы"/>
        <s v="Растительные масла,специи,соусы"/>
        <s v="Алкогольные напитки, пиво"/>
        <s v="Безалкогольные напитки"/>
        <s v="Соки"/>
        <s v="Табачные изделия и средства от похмелья"/>
        <s v="Мясная гастрономия"/>
        <s v="Замороженные продукты"/>
        <s v="Молочные продукты, яйца, майонез"/>
        <s v="Сыры"/>
        <s v="Овощи и фрукты"/>
        <s v="Свежее мясо"/>
        <s v="Птица свежая"/>
        <s v="Собственное производство"/>
        <s v="Кулинария"/>
        <s v="Товары для животных"/>
        <s v="Косметика и парфюмерия"/>
        <s v="Средства личной гигиены"/>
        <s v="Бытовая химия"/>
        <s v="Рыба и морепродукты"/>
      </sharedItems>
    </cacheField>
    <cacheField name="Группа" numFmtId="0">
      <sharedItems count="7">
        <s v="Кондитерка"/>
        <s v="Бакалея"/>
        <s v="Напитки"/>
        <s v="ОУХ"/>
        <s v="Овощи и фрукты"/>
        <s v="Кулинария мясо птицы рыбы"/>
        <s v="Сопутствующие товары"/>
      </sharedItems>
    </cacheField>
    <cacheField name="Закупка" numFmtId="0">
      <sharedItems containsSemiMixedTypes="0" containsString="0" containsNumber="1" minValue="-75712.05" maxValue="1768747.25"/>
    </cacheField>
    <cacheField name="Продажа" numFmtId="0">
      <sharedItems containsSemiMixedTypes="0" containsString="0" containsNumber="1" minValue="-235.94" maxValue="2105188.56"/>
    </cacheField>
    <cacheField name="Прибыль" numFmtId="0">
      <sharedItems containsSemiMixedTypes="0" containsString="0" containsNumber="1" minValue="-291921.09999999998" maxValue="445364.61999999988"/>
    </cacheField>
    <cacheField name="Наценка" numFmtId="0">
      <sharedItems containsSemiMixedTypes="0" containsString="0" containsNumber="1" minValue="-4.1044736842105261" maxValue="9.88287292817679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76">
  <r>
    <x v="0"/>
    <d v="2010-02-15T00:00:00"/>
    <x v="0"/>
    <x v="0"/>
    <x v="0"/>
    <x v="0"/>
    <x v="0"/>
    <n v="14902"/>
    <n v="17597.52"/>
    <n v="2695.5200000000004"/>
    <n v="0.18088310293920282"/>
  </r>
  <r>
    <x v="0"/>
    <d v="2010-02-15T00:00:00"/>
    <x v="0"/>
    <x v="0"/>
    <x v="0"/>
    <x v="1"/>
    <x v="0"/>
    <n v="354936.41"/>
    <n v="483645.88"/>
    <n v="128709.47000000003"/>
    <n v="0.3626268434957125"/>
  </r>
  <r>
    <x v="0"/>
    <d v="2010-02-15T00:00:00"/>
    <x v="0"/>
    <x v="0"/>
    <x v="0"/>
    <x v="2"/>
    <x v="0"/>
    <n v="150821.01"/>
    <n v="164169.81"/>
    <n v="13348.799999999988"/>
    <n v="8.8507562706283349E-2"/>
  </r>
  <r>
    <x v="0"/>
    <d v="2010-02-15T00:00:00"/>
    <x v="0"/>
    <x v="0"/>
    <x v="0"/>
    <x v="3"/>
    <x v="0"/>
    <n v="6301"/>
    <n v="7171.26"/>
    <n v="870.26000000000022"/>
    <n v="0.13811458498651011"/>
  </r>
  <r>
    <x v="0"/>
    <d v="2010-02-15T00:00:00"/>
    <x v="0"/>
    <x v="0"/>
    <x v="0"/>
    <x v="4"/>
    <x v="0"/>
    <n v="5402"/>
    <n v="6209.69"/>
    <n v="807.6899999999996"/>
    <n v="0.14951684561273595"/>
  </r>
  <r>
    <x v="0"/>
    <d v="2010-02-15T00:00:00"/>
    <x v="0"/>
    <x v="0"/>
    <x v="0"/>
    <x v="5"/>
    <x v="1"/>
    <n v="219822.79"/>
    <n v="240800.62"/>
    <n v="20977.829999999987"/>
    <n v="9.5430642109491856E-2"/>
  </r>
  <r>
    <x v="0"/>
    <d v="2010-02-15T00:00:00"/>
    <x v="0"/>
    <x v="0"/>
    <x v="0"/>
    <x v="6"/>
    <x v="1"/>
    <n v="846540.17"/>
    <n v="899207.33"/>
    <n v="52667.159999999916"/>
    <n v="6.2214602291111497E-2"/>
  </r>
  <r>
    <x v="0"/>
    <d v="2010-02-15T00:00:00"/>
    <x v="0"/>
    <x v="0"/>
    <x v="0"/>
    <x v="7"/>
    <x v="1"/>
    <n v="155003.84"/>
    <n v="171174.32"/>
    <n v="16170.48000000001"/>
    <n v="0.10432309289885987"/>
  </r>
  <r>
    <x v="0"/>
    <d v="2010-02-15T00:00:00"/>
    <x v="0"/>
    <x v="0"/>
    <x v="0"/>
    <x v="8"/>
    <x v="1"/>
    <n v="264540.7"/>
    <n v="280332.2"/>
    <n v="15791.5"/>
    <n v="5.9694028177894744E-2"/>
  </r>
  <r>
    <x v="0"/>
    <d v="2010-02-15T00:00:00"/>
    <x v="0"/>
    <x v="0"/>
    <x v="0"/>
    <x v="9"/>
    <x v="2"/>
    <n v="1642185.39"/>
    <n v="1675913.87"/>
    <n v="33728.480000000214"/>
    <n v="2.0538777293591812E-2"/>
  </r>
  <r>
    <x v="0"/>
    <d v="2010-02-15T00:00:00"/>
    <x v="0"/>
    <x v="0"/>
    <x v="0"/>
    <x v="10"/>
    <x v="2"/>
    <n v="198209.29"/>
    <n v="206601.1"/>
    <n v="8391.8099999999977"/>
    <n v="4.2338126532817898E-2"/>
  </r>
  <r>
    <x v="0"/>
    <d v="2010-02-15T00:00:00"/>
    <x v="0"/>
    <x v="0"/>
    <x v="0"/>
    <x v="11"/>
    <x v="2"/>
    <n v="213525.01"/>
    <n v="226504.66"/>
    <n v="12979.649999999994"/>
    <n v="6.0787492762557384E-2"/>
  </r>
  <r>
    <x v="0"/>
    <d v="2010-02-15T00:00:00"/>
    <x v="0"/>
    <x v="0"/>
    <x v="0"/>
    <x v="12"/>
    <x v="2"/>
    <n v="21356.6"/>
    <n v="22320.58"/>
    <n v="963.9800000000032"/>
    <n v="4.5137334594458074E-2"/>
  </r>
  <r>
    <x v="0"/>
    <d v="2010-02-15T00:00:00"/>
    <x v="0"/>
    <x v="0"/>
    <x v="0"/>
    <x v="13"/>
    <x v="3"/>
    <n v="236199.61"/>
    <n v="263881.02"/>
    <n v="27681.410000000033"/>
    <n v="0.11719498605438017"/>
  </r>
  <r>
    <x v="0"/>
    <d v="2010-02-15T00:00:00"/>
    <x v="0"/>
    <x v="0"/>
    <x v="0"/>
    <x v="14"/>
    <x v="3"/>
    <n v="57529.37"/>
    <n v="66457.960000000006"/>
    <n v="8928.5900000000038"/>
    <n v="0.15520055234395932"/>
  </r>
  <r>
    <x v="0"/>
    <d v="2010-02-15T00:00:00"/>
    <x v="0"/>
    <x v="0"/>
    <x v="0"/>
    <x v="15"/>
    <x v="3"/>
    <n v="826766.17"/>
    <n v="902466.54"/>
    <n v="75700.37"/>
    <n v="9.1562007187594524E-2"/>
  </r>
  <r>
    <x v="0"/>
    <d v="2010-02-15T00:00:00"/>
    <x v="0"/>
    <x v="0"/>
    <x v="0"/>
    <x v="16"/>
    <x v="3"/>
    <n v="137484.35999999999"/>
    <n v="154479.41"/>
    <n v="16995.050000000017"/>
    <n v="0.12361442421523451"/>
  </r>
  <r>
    <x v="0"/>
    <d v="2010-02-15T00:00:00"/>
    <x v="0"/>
    <x v="0"/>
    <x v="0"/>
    <x v="17"/>
    <x v="4"/>
    <n v="1121886.78"/>
    <n v="1332629.01"/>
    <n v="210742.22999999998"/>
    <n v="0.18784625486004922"/>
  </r>
  <r>
    <x v="0"/>
    <d v="2010-02-15T00:00:00"/>
    <x v="0"/>
    <x v="0"/>
    <x v="0"/>
    <x v="18"/>
    <x v="5"/>
    <n v="12915.14"/>
    <n v="28576.43"/>
    <n v="15661.29"/>
    <n v="1.2126302928191255"/>
  </r>
  <r>
    <x v="0"/>
    <d v="2010-02-15T00:00:00"/>
    <x v="0"/>
    <x v="0"/>
    <x v="0"/>
    <x v="19"/>
    <x v="5"/>
    <n v="11370.08"/>
    <n v="12564.56"/>
    <n v="1194.4799999999996"/>
    <n v="0.10505466980003655"/>
  </r>
  <r>
    <x v="0"/>
    <d v="2010-02-15T00:00:00"/>
    <x v="0"/>
    <x v="0"/>
    <x v="0"/>
    <x v="20"/>
    <x v="5"/>
    <n v="228397.52"/>
    <n v="459291.61"/>
    <n v="230894.09"/>
    <n v="1.0109308104571364"/>
  </r>
  <r>
    <x v="0"/>
    <d v="2010-02-15T00:00:00"/>
    <x v="0"/>
    <x v="0"/>
    <x v="0"/>
    <x v="21"/>
    <x v="5"/>
    <n v="266"/>
    <n v="825.52"/>
    <n v="559.52"/>
    <n v="2.1034586466165415"/>
  </r>
  <r>
    <x v="0"/>
    <d v="2010-02-15T00:00:00"/>
    <x v="0"/>
    <x v="0"/>
    <x v="0"/>
    <x v="22"/>
    <x v="6"/>
    <n v="1315.48"/>
    <n v="1709.9"/>
    <n v="394.42000000000007"/>
    <n v="0.2998297199501323"/>
  </r>
  <r>
    <x v="0"/>
    <d v="2010-02-15T00:00:00"/>
    <x v="0"/>
    <x v="0"/>
    <x v="0"/>
    <x v="23"/>
    <x v="6"/>
    <n v="199015.78"/>
    <n v="218801.31"/>
    <n v="19785.53"/>
    <n v="9.941689045964093E-2"/>
  </r>
  <r>
    <x v="0"/>
    <d v="2010-02-15T00:00:00"/>
    <x v="0"/>
    <x v="0"/>
    <x v="0"/>
    <x v="24"/>
    <x v="6"/>
    <n v="551119.04"/>
    <n v="579769.25"/>
    <n v="28650.209999999963"/>
    <n v="5.1985520224450896E-2"/>
  </r>
  <r>
    <x v="0"/>
    <d v="2010-02-15T00:00:00"/>
    <x v="0"/>
    <x v="0"/>
    <x v="0"/>
    <x v="25"/>
    <x v="6"/>
    <n v="389937.87"/>
    <n v="413650.38"/>
    <n v="23712.510000000009"/>
    <n v="6.0810995351644123E-2"/>
  </r>
  <r>
    <x v="0"/>
    <d v="2010-02-16T00:00:00"/>
    <x v="0"/>
    <x v="0"/>
    <x v="0"/>
    <x v="0"/>
    <x v="0"/>
    <n v="23182"/>
    <n v="26598.32"/>
    <n v="3416.3199999999997"/>
    <n v="0.14736951082736605"/>
  </r>
  <r>
    <x v="0"/>
    <d v="2010-02-16T00:00:00"/>
    <x v="0"/>
    <x v="0"/>
    <x v="0"/>
    <x v="1"/>
    <x v="0"/>
    <n v="318564.89"/>
    <n v="393633.76"/>
    <n v="75068.87"/>
    <n v="0.23564702940113705"/>
  </r>
  <r>
    <x v="0"/>
    <d v="2010-02-16T00:00:00"/>
    <x v="0"/>
    <x v="0"/>
    <x v="0"/>
    <x v="2"/>
    <x v="0"/>
    <n v="126529.53"/>
    <n v="139669.62"/>
    <n v="13140.089999999997"/>
    <n v="0.10384998663948247"/>
  </r>
  <r>
    <x v="0"/>
    <d v="2010-02-16T00:00:00"/>
    <x v="0"/>
    <x v="0"/>
    <x v="0"/>
    <x v="3"/>
    <x v="0"/>
    <n v="3057"/>
    <n v="3419.01"/>
    <n v="362.01000000000022"/>
    <n v="0.11842001962708545"/>
  </r>
  <r>
    <x v="0"/>
    <d v="2010-02-16T00:00:00"/>
    <x v="0"/>
    <x v="0"/>
    <x v="0"/>
    <x v="4"/>
    <x v="0"/>
    <n v="3986"/>
    <n v="4583.6400000000003"/>
    <n v="597.64000000000033"/>
    <n v="0.14993477170095343"/>
  </r>
  <r>
    <x v="0"/>
    <d v="2010-02-16T00:00:00"/>
    <x v="0"/>
    <x v="0"/>
    <x v="0"/>
    <x v="5"/>
    <x v="1"/>
    <n v="281781.92"/>
    <n v="289715.65999999997"/>
    <n v="7933.7399999999907"/>
    <n v="2.8155603453905029E-2"/>
  </r>
  <r>
    <x v="0"/>
    <d v="2010-02-16T00:00:00"/>
    <x v="0"/>
    <x v="0"/>
    <x v="0"/>
    <x v="6"/>
    <x v="1"/>
    <n v="690201.65"/>
    <n v="736400.32"/>
    <n v="46198.669999999925"/>
    <n v="6.6935032682115328E-2"/>
  </r>
  <r>
    <x v="0"/>
    <d v="2010-02-16T00:00:00"/>
    <x v="0"/>
    <x v="0"/>
    <x v="0"/>
    <x v="7"/>
    <x v="1"/>
    <n v="184643.88"/>
    <n v="203230.58"/>
    <n v="18586.699999999983"/>
    <n v="0.10066242108863821"/>
  </r>
  <r>
    <x v="0"/>
    <d v="2010-02-16T00:00:00"/>
    <x v="0"/>
    <x v="0"/>
    <x v="0"/>
    <x v="8"/>
    <x v="1"/>
    <n v="427475.1"/>
    <n v="446496.36"/>
    <n v="19021.260000000009"/>
    <n v="4.4496767180123499E-2"/>
  </r>
  <r>
    <x v="0"/>
    <d v="2010-02-16T00:00:00"/>
    <x v="0"/>
    <x v="0"/>
    <x v="0"/>
    <x v="9"/>
    <x v="2"/>
    <n v="942577.51"/>
    <n v="972273.95"/>
    <n v="29696.439999999944"/>
    <n v="3.1505568173380183E-2"/>
  </r>
  <r>
    <x v="0"/>
    <d v="2010-02-16T00:00:00"/>
    <x v="0"/>
    <x v="0"/>
    <x v="0"/>
    <x v="10"/>
    <x v="2"/>
    <n v="216600.14"/>
    <n v="226302.13"/>
    <n v="9701.9899999999907"/>
    <n v="4.4792168647721051E-2"/>
  </r>
  <r>
    <x v="0"/>
    <d v="2010-02-16T00:00:00"/>
    <x v="0"/>
    <x v="0"/>
    <x v="0"/>
    <x v="11"/>
    <x v="2"/>
    <n v="201591.99"/>
    <n v="211940.45"/>
    <n v="10348.460000000021"/>
    <n v="5.1333686422759262E-2"/>
  </r>
  <r>
    <x v="0"/>
    <d v="2010-02-16T00:00:00"/>
    <x v="0"/>
    <x v="0"/>
    <x v="0"/>
    <x v="12"/>
    <x v="2"/>
    <n v="54630.6"/>
    <n v="55430.13"/>
    <n v="799.52999999999884"/>
    <n v="1.4635204445859992E-2"/>
  </r>
  <r>
    <x v="0"/>
    <d v="2010-02-16T00:00:00"/>
    <x v="0"/>
    <x v="0"/>
    <x v="0"/>
    <x v="13"/>
    <x v="3"/>
    <n v="211193.42"/>
    <n v="232514.43"/>
    <n v="21321.00999999998"/>
    <n v="0.10095489717435316"/>
  </r>
  <r>
    <x v="0"/>
    <d v="2010-02-16T00:00:00"/>
    <x v="0"/>
    <x v="0"/>
    <x v="0"/>
    <x v="14"/>
    <x v="3"/>
    <n v="30119.42"/>
    <n v="37203.760000000002"/>
    <n v="7084.3400000000038"/>
    <n v="0.23520838050666329"/>
  </r>
  <r>
    <x v="0"/>
    <d v="2010-02-16T00:00:00"/>
    <x v="0"/>
    <x v="0"/>
    <x v="0"/>
    <x v="15"/>
    <x v="3"/>
    <n v="933452.07"/>
    <n v="1016780.56"/>
    <n v="83328.490000000107"/>
    <n v="8.9269168367691457E-2"/>
  </r>
  <r>
    <x v="0"/>
    <d v="2010-02-16T00:00:00"/>
    <x v="0"/>
    <x v="0"/>
    <x v="0"/>
    <x v="16"/>
    <x v="3"/>
    <n v="46822.96"/>
    <n v="53031.72"/>
    <n v="6208.760000000002"/>
    <n v="0.13260075826047737"/>
  </r>
  <r>
    <x v="0"/>
    <d v="2010-02-16T00:00:00"/>
    <x v="0"/>
    <x v="0"/>
    <x v="0"/>
    <x v="17"/>
    <x v="4"/>
    <n v="1056832.44"/>
    <n v="1271695.5900000001"/>
    <n v="214863.15000000014"/>
    <n v="0.20330862478067019"/>
  </r>
  <r>
    <x v="0"/>
    <d v="2010-02-16T00:00:00"/>
    <x v="0"/>
    <x v="0"/>
    <x v="0"/>
    <x v="18"/>
    <x v="5"/>
    <n v="9993.66"/>
    <n v="22111.46"/>
    <n v="12117.8"/>
    <n v="1.2125487559112478"/>
  </r>
  <r>
    <x v="0"/>
    <d v="2010-02-16T00:00:00"/>
    <x v="0"/>
    <x v="0"/>
    <x v="0"/>
    <x v="19"/>
    <x v="5"/>
    <n v="8142.45"/>
    <n v="8999.34"/>
    <n v="856.89000000000033"/>
    <n v="0.10523736713151452"/>
  </r>
  <r>
    <x v="0"/>
    <d v="2010-02-16T00:00:00"/>
    <x v="0"/>
    <x v="0"/>
    <x v="0"/>
    <x v="20"/>
    <x v="5"/>
    <n v="232865.32"/>
    <n v="460482.21"/>
    <n v="227616.89"/>
    <n v="0.97746152153528054"/>
  </r>
  <r>
    <x v="0"/>
    <d v="2010-02-16T00:00:00"/>
    <x v="0"/>
    <x v="0"/>
    <x v="0"/>
    <x v="21"/>
    <x v="5"/>
    <n v="76"/>
    <n v="236"/>
    <n v="160"/>
    <n v="2.1052631578947367"/>
  </r>
  <r>
    <x v="0"/>
    <d v="2010-02-16T00:00:00"/>
    <x v="0"/>
    <x v="0"/>
    <x v="0"/>
    <x v="22"/>
    <x v="6"/>
    <n v="1705.72"/>
    <n v="2217.2399999999998"/>
    <n v="511.51999999999975"/>
    <n v="0.29988509251225276"/>
  </r>
  <r>
    <x v="0"/>
    <d v="2010-02-16T00:00:00"/>
    <x v="0"/>
    <x v="0"/>
    <x v="0"/>
    <x v="23"/>
    <x v="6"/>
    <n v="216285.59"/>
    <n v="235829.92"/>
    <n v="19544.330000000016"/>
    <n v="9.0363532771647048E-2"/>
  </r>
  <r>
    <x v="0"/>
    <d v="2010-02-16T00:00:00"/>
    <x v="0"/>
    <x v="0"/>
    <x v="0"/>
    <x v="24"/>
    <x v="6"/>
    <n v="501703.57"/>
    <n v="532419.69999999995"/>
    <n v="30716.129999999946"/>
    <n v="6.1223662410853377E-2"/>
  </r>
  <r>
    <x v="0"/>
    <d v="2010-02-16T00:00:00"/>
    <x v="0"/>
    <x v="0"/>
    <x v="0"/>
    <x v="25"/>
    <x v="6"/>
    <n v="430318.81"/>
    <n v="457070.43"/>
    <n v="26751.619999999995"/>
    <n v="6.2166978013347814E-2"/>
  </r>
  <r>
    <x v="0"/>
    <d v="2010-02-17T00:00:00"/>
    <x v="0"/>
    <x v="0"/>
    <x v="0"/>
    <x v="0"/>
    <x v="0"/>
    <n v="15475"/>
    <n v="18078.11"/>
    <n v="2603.1100000000006"/>
    <n v="0.1682138933764136"/>
  </r>
  <r>
    <x v="0"/>
    <d v="2010-02-17T00:00:00"/>
    <x v="0"/>
    <x v="0"/>
    <x v="0"/>
    <x v="1"/>
    <x v="0"/>
    <n v="286140.86"/>
    <n v="366852.63"/>
    <n v="80711.770000000019"/>
    <n v="0.28207006157736447"/>
  </r>
  <r>
    <x v="0"/>
    <d v="2010-02-17T00:00:00"/>
    <x v="0"/>
    <x v="0"/>
    <x v="0"/>
    <x v="2"/>
    <x v="0"/>
    <n v="119661.79"/>
    <n v="132543.48000000001"/>
    <n v="12881.690000000017"/>
    <n v="0.10765082153626498"/>
  </r>
  <r>
    <x v="0"/>
    <d v="2010-02-17T00:00:00"/>
    <x v="0"/>
    <x v="0"/>
    <x v="0"/>
    <x v="3"/>
    <x v="0"/>
    <n v="5045"/>
    <n v="5794.7"/>
    <n v="749.69999999999982"/>
    <n v="0.14860257680872146"/>
  </r>
  <r>
    <x v="0"/>
    <d v="2010-02-17T00:00:00"/>
    <x v="0"/>
    <x v="0"/>
    <x v="0"/>
    <x v="4"/>
    <x v="0"/>
    <n v="3654"/>
    <n v="4203"/>
    <n v="549"/>
    <n v="0.15024630541871922"/>
  </r>
  <r>
    <x v="0"/>
    <d v="2010-02-17T00:00:00"/>
    <x v="0"/>
    <x v="0"/>
    <x v="0"/>
    <x v="5"/>
    <x v="1"/>
    <n v="239213.68"/>
    <n v="253032.19"/>
    <n v="13818.510000000009"/>
    <n v="5.7766386939074765E-2"/>
  </r>
  <r>
    <x v="0"/>
    <d v="2010-02-17T00:00:00"/>
    <x v="0"/>
    <x v="0"/>
    <x v="0"/>
    <x v="6"/>
    <x v="1"/>
    <n v="624136.11"/>
    <n v="669945.25"/>
    <n v="45809.140000000014"/>
    <n v="7.3396073814732524E-2"/>
  </r>
  <r>
    <x v="0"/>
    <d v="2010-02-17T00:00:00"/>
    <x v="0"/>
    <x v="0"/>
    <x v="0"/>
    <x v="7"/>
    <x v="1"/>
    <n v="152311.51"/>
    <n v="168782.42"/>
    <n v="16470.910000000003"/>
    <n v="0.108139627793067"/>
  </r>
  <r>
    <x v="0"/>
    <d v="2010-02-17T00:00:00"/>
    <x v="0"/>
    <x v="0"/>
    <x v="0"/>
    <x v="8"/>
    <x v="1"/>
    <n v="344656.89"/>
    <n v="361910.97"/>
    <n v="17254.079999999958"/>
    <n v="5.00616134498282E-2"/>
  </r>
  <r>
    <x v="0"/>
    <d v="2010-02-17T00:00:00"/>
    <x v="0"/>
    <x v="0"/>
    <x v="0"/>
    <x v="9"/>
    <x v="2"/>
    <n v="495989.49"/>
    <n v="534612.53"/>
    <n v="38623.040000000037"/>
    <n v="7.7870682300143171E-2"/>
  </r>
  <r>
    <x v="0"/>
    <d v="2010-02-17T00:00:00"/>
    <x v="0"/>
    <x v="0"/>
    <x v="0"/>
    <x v="10"/>
    <x v="2"/>
    <n v="195960.3"/>
    <n v="204246.57"/>
    <n v="8286.2700000000186"/>
    <n v="4.2285452716698327E-2"/>
  </r>
  <r>
    <x v="0"/>
    <d v="2010-02-17T00:00:00"/>
    <x v="0"/>
    <x v="0"/>
    <x v="0"/>
    <x v="11"/>
    <x v="2"/>
    <n v="206041.74"/>
    <n v="217428.94"/>
    <n v="11387.200000000012"/>
    <n v="5.5266471735290201E-2"/>
  </r>
  <r>
    <x v="0"/>
    <d v="2010-02-17T00:00:00"/>
    <x v="0"/>
    <x v="0"/>
    <x v="0"/>
    <x v="12"/>
    <x v="2"/>
    <n v="32340"/>
    <n v="33407.230000000003"/>
    <n v="1067.2300000000032"/>
    <n v="3.3000309214595028E-2"/>
  </r>
  <r>
    <x v="0"/>
    <d v="2010-02-17T00:00:00"/>
    <x v="0"/>
    <x v="0"/>
    <x v="0"/>
    <x v="13"/>
    <x v="3"/>
    <n v="194684.49"/>
    <n v="212403.14"/>
    <n v="17718.650000000023"/>
    <n v="9.1012129420273924E-2"/>
  </r>
  <r>
    <x v="0"/>
    <d v="2010-02-17T00:00:00"/>
    <x v="0"/>
    <x v="0"/>
    <x v="0"/>
    <x v="14"/>
    <x v="3"/>
    <n v="40317.519999999997"/>
    <n v="45076.959999999999"/>
    <n v="4759.4400000000023"/>
    <n v="0.11804892761261115"/>
  </r>
  <r>
    <x v="0"/>
    <d v="2010-02-17T00:00:00"/>
    <x v="0"/>
    <x v="0"/>
    <x v="0"/>
    <x v="15"/>
    <x v="3"/>
    <n v="885869.19"/>
    <n v="966075.13"/>
    <n v="80205.940000000061"/>
    <n v="9.053925896215001E-2"/>
  </r>
  <r>
    <x v="0"/>
    <d v="2010-02-17T00:00:00"/>
    <x v="0"/>
    <x v="0"/>
    <x v="0"/>
    <x v="16"/>
    <x v="3"/>
    <n v="121041.9"/>
    <n v="137256"/>
    <n v="16214.100000000006"/>
    <n v="0.13395444056975317"/>
  </r>
  <r>
    <x v="0"/>
    <d v="2010-02-17T00:00:00"/>
    <x v="0"/>
    <x v="0"/>
    <x v="0"/>
    <x v="17"/>
    <x v="4"/>
    <n v="1015632.52"/>
    <n v="1221084.74"/>
    <n v="205452.21999999997"/>
    <n v="0.20228991879858274"/>
  </r>
  <r>
    <x v="0"/>
    <d v="2010-02-17T00:00:00"/>
    <x v="0"/>
    <x v="0"/>
    <x v="0"/>
    <x v="18"/>
    <x v="5"/>
    <n v="12750.03"/>
    <n v="27937.98"/>
    <n v="15187.949999999999"/>
    <n v="1.191208961861266"/>
  </r>
  <r>
    <x v="0"/>
    <d v="2010-02-17T00:00:00"/>
    <x v="0"/>
    <x v="0"/>
    <x v="0"/>
    <x v="19"/>
    <x v="5"/>
    <n v="11761.46"/>
    <n v="13003.59"/>
    <n v="1242.130000000001"/>
    <n v="0.10561018785082814"/>
  </r>
  <r>
    <x v="0"/>
    <d v="2010-02-17T00:00:00"/>
    <x v="0"/>
    <x v="0"/>
    <x v="0"/>
    <x v="20"/>
    <x v="5"/>
    <n v="215740.93"/>
    <n v="422115.18"/>
    <n v="206374.25"/>
    <n v="0.95658366727166699"/>
  </r>
  <r>
    <x v="0"/>
    <d v="2010-02-17T00:00:00"/>
    <x v="0"/>
    <x v="0"/>
    <x v="0"/>
    <x v="21"/>
    <x v="5"/>
    <n v="361"/>
    <n v="1120.82"/>
    <n v="759.81999999999994"/>
    <n v="2.1047645429362878"/>
  </r>
  <r>
    <x v="0"/>
    <d v="2010-02-17T00:00:00"/>
    <x v="0"/>
    <x v="0"/>
    <x v="0"/>
    <x v="22"/>
    <x v="6"/>
    <n v="2133.96"/>
    <n v="2773.79"/>
    <n v="639.82999999999993"/>
    <n v="0.29983223678044568"/>
  </r>
  <r>
    <x v="0"/>
    <d v="2010-02-17T00:00:00"/>
    <x v="0"/>
    <x v="0"/>
    <x v="0"/>
    <x v="23"/>
    <x v="6"/>
    <n v="211687.49"/>
    <n v="234305.8"/>
    <n v="22618.309999999998"/>
    <n v="0.10684764602764196"/>
  </r>
  <r>
    <x v="0"/>
    <d v="2010-02-17T00:00:00"/>
    <x v="0"/>
    <x v="0"/>
    <x v="0"/>
    <x v="24"/>
    <x v="6"/>
    <n v="528975.64"/>
    <n v="562119"/>
    <n v="33143.359999999986"/>
    <n v="6.265573968585772E-2"/>
  </r>
  <r>
    <x v="0"/>
    <d v="2010-02-17T00:00:00"/>
    <x v="0"/>
    <x v="0"/>
    <x v="0"/>
    <x v="25"/>
    <x v="6"/>
    <n v="398531.34"/>
    <n v="421960.1"/>
    <n v="23428.759999999951"/>
    <n v="5.8787748035072848E-2"/>
  </r>
  <r>
    <x v="0"/>
    <d v="2010-02-18T00:00:00"/>
    <x v="0"/>
    <x v="0"/>
    <x v="0"/>
    <x v="0"/>
    <x v="0"/>
    <n v="14470"/>
    <n v="16905.099999999999"/>
    <n v="2435.0999999999985"/>
    <n v="0.16828610919143044"/>
  </r>
  <r>
    <x v="0"/>
    <d v="2010-02-18T00:00:00"/>
    <x v="0"/>
    <x v="0"/>
    <x v="0"/>
    <x v="1"/>
    <x v="0"/>
    <n v="373657.92"/>
    <n v="448204.51"/>
    <n v="74546.590000000026"/>
    <n v="0.19950491080183722"/>
  </r>
  <r>
    <x v="0"/>
    <d v="2010-02-18T00:00:00"/>
    <x v="0"/>
    <x v="0"/>
    <x v="0"/>
    <x v="2"/>
    <x v="0"/>
    <n v="117557.83"/>
    <n v="129891.23"/>
    <n v="12333.399999999994"/>
    <n v="0.10491347109758656"/>
  </r>
  <r>
    <x v="0"/>
    <d v="2010-02-18T00:00:00"/>
    <x v="0"/>
    <x v="0"/>
    <x v="0"/>
    <x v="3"/>
    <x v="0"/>
    <n v="4531"/>
    <n v="4989.03"/>
    <n v="458.02999999999975"/>
    <n v="0.10108806003089819"/>
  </r>
  <r>
    <x v="0"/>
    <d v="2010-02-18T00:00:00"/>
    <x v="0"/>
    <x v="0"/>
    <x v="0"/>
    <x v="4"/>
    <x v="0"/>
    <n v="2314"/>
    <n v="2661.94"/>
    <n v="347.94000000000005"/>
    <n v="0.15036300777873815"/>
  </r>
  <r>
    <x v="0"/>
    <d v="2010-02-18T00:00:00"/>
    <x v="0"/>
    <x v="0"/>
    <x v="0"/>
    <x v="5"/>
    <x v="1"/>
    <n v="256245.69"/>
    <n v="271388.45"/>
    <n v="15142.760000000009"/>
    <n v="5.9094691504860075E-2"/>
  </r>
  <r>
    <x v="0"/>
    <d v="2010-02-18T00:00:00"/>
    <x v="0"/>
    <x v="0"/>
    <x v="0"/>
    <x v="6"/>
    <x v="1"/>
    <n v="827350.94"/>
    <n v="875192.82"/>
    <n v="47841.880000000005"/>
    <n v="5.7825376979688946E-2"/>
  </r>
  <r>
    <x v="0"/>
    <d v="2010-02-18T00:00:00"/>
    <x v="0"/>
    <x v="0"/>
    <x v="0"/>
    <x v="7"/>
    <x v="1"/>
    <n v="165404.28"/>
    <n v="181465.43"/>
    <n v="16061.149999999994"/>
    <n v="9.7102384533217609E-2"/>
  </r>
  <r>
    <x v="0"/>
    <d v="2010-02-18T00:00:00"/>
    <x v="0"/>
    <x v="0"/>
    <x v="0"/>
    <x v="8"/>
    <x v="1"/>
    <n v="409805.45"/>
    <n v="429313.54"/>
    <n v="19508.089999999967"/>
    <n v="4.7603295661392417E-2"/>
  </r>
  <r>
    <x v="0"/>
    <d v="2010-02-18T00:00:00"/>
    <x v="0"/>
    <x v="0"/>
    <x v="0"/>
    <x v="9"/>
    <x v="2"/>
    <n v="566883.78"/>
    <n v="579053.31999999995"/>
    <n v="12169.539999999921"/>
    <n v="2.1467433765700476E-2"/>
  </r>
  <r>
    <x v="0"/>
    <d v="2010-02-18T00:00:00"/>
    <x v="0"/>
    <x v="0"/>
    <x v="0"/>
    <x v="10"/>
    <x v="2"/>
    <n v="245222.89"/>
    <n v="256680.55"/>
    <n v="11457.659999999974"/>
    <n v="4.672345228457251E-2"/>
  </r>
  <r>
    <x v="0"/>
    <d v="2010-02-18T00:00:00"/>
    <x v="0"/>
    <x v="0"/>
    <x v="0"/>
    <x v="11"/>
    <x v="2"/>
    <n v="235750"/>
    <n v="248232.85"/>
    <n v="12482.850000000006"/>
    <n v="5.2949522799575849E-2"/>
  </r>
  <r>
    <x v="0"/>
    <d v="2010-02-18T00:00:00"/>
    <x v="0"/>
    <x v="0"/>
    <x v="0"/>
    <x v="12"/>
    <x v="2"/>
    <n v="20418.400000000001"/>
    <n v="20923.73"/>
    <n v="505.32999999999811"/>
    <n v="2.4748756023978278E-2"/>
  </r>
  <r>
    <x v="0"/>
    <d v="2010-02-18T00:00:00"/>
    <x v="0"/>
    <x v="0"/>
    <x v="0"/>
    <x v="13"/>
    <x v="3"/>
    <n v="284351.31"/>
    <n v="312083.03000000003"/>
    <n v="27731.72000000003"/>
    <n v="9.7526260737114345E-2"/>
  </r>
  <r>
    <x v="0"/>
    <d v="2010-02-18T00:00:00"/>
    <x v="0"/>
    <x v="0"/>
    <x v="0"/>
    <x v="14"/>
    <x v="3"/>
    <n v="104427.6"/>
    <n v="115482.92"/>
    <n v="11055.319999999992"/>
    <n v="0.1058658821997249"/>
  </r>
  <r>
    <x v="0"/>
    <d v="2010-02-18T00:00:00"/>
    <x v="0"/>
    <x v="0"/>
    <x v="0"/>
    <x v="15"/>
    <x v="3"/>
    <n v="969901.63"/>
    <n v="1054134.8600000001"/>
    <n v="84233.230000000098"/>
    <n v="8.6847188822643903E-2"/>
  </r>
  <r>
    <x v="0"/>
    <d v="2010-02-18T00:00:00"/>
    <x v="0"/>
    <x v="0"/>
    <x v="0"/>
    <x v="16"/>
    <x v="3"/>
    <n v="140090.94"/>
    <n v="157668.45000000001"/>
    <n v="17577.510000000009"/>
    <n v="0.12547213974008603"/>
  </r>
  <r>
    <x v="0"/>
    <d v="2010-02-18T00:00:00"/>
    <x v="0"/>
    <x v="0"/>
    <x v="0"/>
    <x v="17"/>
    <x v="4"/>
    <n v="1120393.94"/>
    <n v="1337243.08"/>
    <n v="216849.14000000013"/>
    <n v="0.19354722679060557"/>
  </r>
  <r>
    <x v="0"/>
    <d v="2010-02-18T00:00:00"/>
    <x v="0"/>
    <x v="0"/>
    <x v="0"/>
    <x v="18"/>
    <x v="5"/>
    <n v="11058.12"/>
    <n v="23825"/>
    <n v="12766.88"/>
    <n v="1.1545253623581584"/>
  </r>
  <r>
    <x v="0"/>
    <d v="2010-02-18T00:00:00"/>
    <x v="0"/>
    <x v="0"/>
    <x v="0"/>
    <x v="19"/>
    <x v="5"/>
    <n v="17365.95"/>
    <n v="19239.45"/>
    <n v="1873.5"/>
    <n v="0.10788353070232265"/>
  </r>
  <r>
    <x v="0"/>
    <d v="2010-02-18T00:00:00"/>
    <x v="0"/>
    <x v="0"/>
    <x v="0"/>
    <x v="20"/>
    <x v="5"/>
    <n v="200239.28"/>
    <n v="401310.83"/>
    <n v="201071.55000000002"/>
    <n v="1.0041563773101863"/>
  </r>
  <r>
    <x v="0"/>
    <d v="2010-02-18T00:00:00"/>
    <x v="0"/>
    <x v="0"/>
    <x v="0"/>
    <x v="21"/>
    <x v="5"/>
    <n v="133"/>
    <n v="413"/>
    <n v="280"/>
    <n v="2.1052631578947367"/>
  </r>
  <r>
    <x v="0"/>
    <d v="2010-02-18T00:00:00"/>
    <x v="0"/>
    <x v="0"/>
    <x v="0"/>
    <x v="22"/>
    <x v="6"/>
    <n v="711.6"/>
    <n v="925"/>
    <n v="213.39999999999998"/>
    <n v="0.29988757729061266"/>
  </r>
  <r>
    <x v="0"/>
    <d v="2010-02-18T00:00:00"/>
    <x v="0"/>
    <x v="0"/>
    <x v="0"/>
    <x v="23"/>
    <x v="6"/>
    <n v="216388.36"/>
    <n v="235890.15"/>
    <n v="19501.790000000008"/>
    <n v="9.01240251555121E-2"/>
  </r>
  <r>
    <x v="0"/>
    <d v="2010-02-18T00:00:00"/>
    <x v="0"/>
    <x v="0"/>
    <x v="0"/>
    <x v="24"/>
    <x v="6"/>
    <n v="504392.34"/>
    <n v="543249.19999999995"/>
    <n v="38856.859999999928"/>
    <n v="7.7036974827968091E-2"/>
  </r>
  <r>
    <x v="0"/>
    <d v="2010-02-18T00:00:00"/>
    <x v="0"/>
    <x v="0"/>
    <x v="0"/>
    <x v="25"/>
    <x v="6"/>
    <n v="381272.21"/>
    <n v="404586.12"/>
    <n v="23313.909999999974"/>
    <n v="6.1147677141221421E-2"/>
  </r>
  <r>
    <x v="0"/>
    <d v="2010-02-19T00:00:00"/>
    <x v="0"/>
    <x v="0"/>
    <x v="0"/>
    <x v="0"/>
    <x v="0"/>
    <n v="10881"/>
    <n v="12727.45"/>
    <n v="1846.4500000000007"/>
    <n v="0.16969488098520363"/>
  </r>
  <r>
    <x v="0"/>
    <d v="2010-02-19T00:00:00"/>
    <x v="0"/>
    <x v="0"/>
    <x v="0"/>
    <x v="1"/>
    <x v="0"/>
    <n v="453554.61"/>
    <n v="545606.09"/>
    <n v="92051.479999999981"/>
    <n v="0.20295567054207647"/>
  </r>
  <r>
    <x v="0"/>
    <d v="2010-02-19T00:00:00"/>
    <x v="0"/>
    <x v="0"/>
    <x v="0"/>
    <x v="2"/>
    <x v="0"/>
    <n v="135409.35"/>
    <n v="151477.26999999999"/>
    <n v="16067.919999999984"/>
    <n v="0.11866182062021553"/>
  </r>
  <r>
    <x v="0"/>
    <d v="2010-02-19T00:00:00"/>
    <x v="0"/>
    <x v="0"/>
    <x v="0"/>
    <x v="3"/>
    <x v="0"/>
    <n v="4591"/>
    <n v="4979.13"/>
    <n v="388.13000000000011"/>
    <n v="8.4541494227837091E-2"/>
  </r>
  <r>
    <x v="0"/>
    <d v="2010-02-19T00:00:00"/>
    <x v="0"/>
    <x v="0"/>
    <x v="0"/>
    <x v="4"/>
    <x v="0"/>
    <n v="4550"/>
    <n v="5232.62"/>
    <n v="682.61999999999989"/>
    <n v="0.15002637362637361"/>
  </r>
  <r>
    <x v="0"/>
    <d v="2010-02-19T00:00:00"/>
    <x v="0"/>
    <x v="0"/>
    <x v="0"/>
    <x v="5"/>
    <x v="1"/>
    <n v="250739.52"/>
    <n v="272928.93"/>
    <n v="22189.410000000003"/>
    <n v="8.8495862160061584E-2"/>
  </r>
  <r>
    <x v="0"/>
    <d v="2010-02-19T00:00:00"/>
    <x v="0"/>
    <x v="0"/>
    <x v="0"/>
    <x v="6"/>
    <x v="1"/>
    <n v="745928.41"/>
    <n v="800276.61"/>
    <n v="54348.199999999953"/>
    <n v="7.2859807015528411E-2"/>
  </r>
  <r>
    <x v="0"/>
    <d v="2010-02-19T00:00:00"/>
    <x v="0"/>
    <x v="0"/>
    <x v="0"/>
    <x v="7"/>
    <x v="1"/>
    <n v="175935.22"/>
    <n v="192630.43"/>
    <n v="16695.209999999992"/>
    <n v="9.4894075217003118E-2"/>
  </r>
  <r>
    <x v="0"/>
    <d v="2010-02-19T00:00:00"/>
    <x v="0"/>
    <x v="0"/>
    <x v="0"/>
    <x v="8"/>
    <x v="1"/>
    <n v="372338.91"/>
    <n v="395971.19"/>
    <n v="23632.280000000028"/>
    <n v="6.3469810340262389E-2"/>
  </r>
  <r>
    <x v="0"/>
    <d v="2010-02-19T00:00:00"/>
    <x v="0"/>
    <x v="0"/>
    <x v="0"/>
    <x v="9"/>
    <x v="2"/>
    <n v="946750.28"/>
    <n v="1014530.87"/>
    <n v="67780.589999999967"/>
    <n v="7.1592891422223789E-2"/>
  </r>
  <r>
    <x v="0"/>
    <d v="2010-02-19T00:00:00"/>
    <x v="0"/>
    <x v="0"/>
    <x v="0"/>
    <x v="10"/>
    <x v="2"/>
    <n v="238323.69"/>
    <n v="249772.27"/>
    <n v="11448.579999999987"/>
    <n v="4.8037943689106133E-2"/>
  </r>
  <r>
    <x v="0"/>
    <d v="2010-02-19T00:00:00"/>
    <x v="0"/>
    <x v="0"/>
    <x v="0"/>
    <x v="11"/>
    <x v="2"/>
    <n v="277017.25"/>
    <n v="291314.71000000002"/>
    <n v="14297.460000000021"/>
    <n v="5.1612164946406844E-2"/>
  </r>
  <r>
    <x v="0"/>
    <d v="2010-02-19T00:00:00"/>
    <x v="0"/>
    <x v="0"/>
    <x v="0"/>
    <x v="12"/>
    <x v="2"/>
    <n v="16249.6"/>
    <n v="16566.43"/>
    <n v="316.82999999999993"/>
    <n v="1.949771071287908E-2"/>
  </r>
  <r>
    <x v="0"/>
    <d v="2010-02-19T00:00:00"/>
    <x v="0"/>
    <x v="0"/>
    <x v="0"/>
    <x v="26"/>
    <x v="3"/>
    <n v="9675"/>
    <n v="10857.68"/>
    <n v="1182.6800000000003"/>
    <n v="0.12224082687338504"/>
  </r>
  <r>
    <x v="0"/>
    <d v="2010-02-19T00:00:00"/>
    <x v="0"/>
    <x v="0"/>
    <x v="0"/>
    <x v="13"/>
    <x v="3"/>
    <n v="303395.88"/>
    <n v="332939.28000000003"/>
    <n v="29543.400000000023"/>
    <n v="9.7375745511112485E-2"/>
  </r>
  <r>
    <x v="0"/>
    <d v="2010-02-19T00:00:00"/>
    <x v="0"/>
    <x v="0"/>
    <x v="0"/>
    <x v="14"/>
    <x v="3"/>
    <n v="156748.41"/>
    <n v="169281.96"/>
    <n v="12533.549999999988"/>
    <n v="7.9959662748732119E-2"/>
  </r>
  <r>
    <x v="0"/>
    <d v="2010-02-19T00:00:00"/>
    <x v="0"/>
    <x v="0"/>
    <x v="0"/>
    <x v="15"/>
    <x v="3"/>
    <n v="904585.96"/>
    <n v="986962.97"/>
    <n v="82377.010000000009"/>
    <n v="9.1065983380949234E-2"/>
  </r>
  <r>
    <x v="0"/>
    <d v="2010-02-19T00:00:00"/>
    <x v="0"/>
    <x v="0"/>
    <x v="0"/>
    <x v="16"/>
    <x v="3"/>
    <n v="155647.66"/>
    <n v="176268.2"/>
    <n v="20620.540000000008"/>
    <n v="0.13248217159191475"/>
  </r>
  <r>
    <x v="0"/>
    <d v="2010-02-19T00:00:00"/>
    <x v="0"/>
    <x v="0"/>
    <x v="0"/>
    <x v="17"/>
    <x v="4"/>
    <n v="1241720.55"/>
    <n v="1466299.85"/>
    <n v="224579.30000000005"/>
    <n v="0.18086138624346682"/>
  </r>
  <r>
    <x v="0"/>
    <d v="2010-02-19T00:00:00"/>
    <x v="0"/>
    <x v="0"/>
    <x v="0"/>
    <x v="18"/>
    <x v="5"/>
    <n v="12188.16"/>
    <n v="26819.9"/>
    <n v="14631.740000000002"/>
    <n v="1.2004880145977737"/>
  </r>
  <r>
    <x v="0"/>
    <d v="2010-02-19T00:00:00"/>
    <x v="0"/>
    <x v="0"/>
    <x v="0"/>
    <x v="19"/>
    <x v="5"/>
    <n v="8478.31"/>
    <n v="9372.7800000000007"/>
    <n v="894.47000000000116"/>
    <n v="0.10550097837894595"/>
  </r>
  <r>
    <x v="0"/>
    <d v="2010-02-19T00:00:00"/>
    <x v="0"/>
    <x v="0"/>
    <x v="0"/>
    <x v="20"/>
    <x v="5"/>
    <n v="239982.77"/>
    <n v="474449.18"/>
    <n v="234466.41"/>
    <n v="0.97701351642870038"/>
  </r>
  <r>
    <x v="0"/>
    <d v="2010-02-19T00:00:00"/>
    <x v="0"/>
    <x v="0"/>
    <x v="0"/>
    <x v="21"/>
    <x v="5"/>
    <n v="247"/>
    <n v="766.83"/>
    <n v="519.83000000000004"/>
    <n v="2.1045748987854251"/>
  </r>
  <r>
    <x v="0"/>
    <d v="2010-02-19T00:00:00"/>
    <x v="0"/>
    <x v="0"/>
    <x v="0"/>
    <x v="22"/>
    <x v="6"/>
    <n v="1437.44"/>
    <n v="1867.13"/>
    <n v="429.69000000000005"/>
    <n v="0.29892725957257349"/>
  </r>
  <r>
    <x v="0"/>
    <d v="2010-02-19T00:00:00"/>
    <x v="0"/>
    <x v="0"/>
    <x v="0"/>
    <x v="23"/>
    <x v="6"/>
    <n v="228994.39"/>
    <n v="249300.83"/>
    <n v="20306.439999999973"/>
    <n v="8.8676582863012374E-2"/>
  </r>
  <r>
    <x v="0"/>
    <d v="2010-02-19T00:00:00"/>
    <x v="0"/>
    <x v="0"/>
    <x v="0"/>
    <x v="24"/>
    <x v="6"/>
    <n v="596715.32999999996"/>
    <n v="639358.88"/>
    <n v="42643.550000000047"/>
    <n v="7.1463808379114466E-2"/>
  </r>
  <r>
    <x v="0"/>
    <d v="2010-02-19T00:00:00"/>
    <x v="0"/>
    <x v="0"/>
    <x v="0"/>
    <x v="25"/>
    <x v="6"/>
    <n v="447875.21"/>
    <n v="475710.64"/>
    <n v="27835.429999999993"/>
    <n v="6.2149968068114313E-2"/>
  </r>
  <r>
    <x v="0"/>
    <d v="2010-02-20T00:00:00"/>
    <x v="0"/>
    <x v="0"/>
    <x v="0"/>
    <x v="0"/>
    <x v="0"/>
    <n v="17343"/>
    <n v="20457.13"/>
    <n v="3114.130000000001"/>
    <n v="0.17956120625036043"/>
  </r>
  <r>
    <x v="0"/>
    <d v="2010-02-20T00:00:00"/>
    <x v="0"/>
    <x v="0"/>
    <x v="0"/>
    <x v="1"/>
    <x v="0"/>
    <n v="553352.85"/>
    <n v="659189.61"/>
    <n v="105836.76000000001"/>
    <n v="0.1912645069054944"/>
  </r>
  <r>
    <x v="0"/>
    <d v="2010-02-20T00:00:00"/>
    <x v="0"/>
    <x v="0"/>
    <x v="0"/>
    <x v="2"/>
    <x v="0"/>
    <n v="187334.15"/>
    <n v="208164.29"/>
    <n v="20830.140000000014"/>
    <n v="0.111192433413769"/>
  </r>
  <r>
    <x v="0"/>
    <d v="2010-02-20T00:00:00"/>
    <x v="0"/>
    <x v="0"/>
    <x v="0"/>
    <x v="3"/>
    <x v="0"/>
    <n v="12141"/>
    <n v="13668.66"/>
    <n v="1527.6599999999999"/>
    <n v="0.12582653817642697"/>
  </r>
  <r>
    <x v="0"/>
    <d v="2010-02-20T00:00:00"/>
    <x v="0"/>
    <x v="0"/>
    <x v="0"/>
    <x v="4"/>
    <x v="0"/>
    <n v="176"/>
    <n v="179.49"/>
    <n v="3.4900000000000091"/>
    <n v="1.9829545454545506E-2"/>
  </r>
  <r>
    <x v="0"/>
    <d v="2010-02-20T00:00:00"/>
    <x v="0"/>
    <x v="0"/>
    <x v="0"/>
    <x v="5"/>
    <x v="1"/>
    <n v="259594.01"/>
    <n v="286743.53999999998"/>
    <n v="27149.52999999997"/>
    <n v="0.10458457804939324"/>
  </r>
  <r>
    <x v="0"/>
    <d v="2010-02-20T00:00:00"/>
    <x v="0"/>
    <x v="0"/>
    <x v="0"/>
    <x v="6"/>
    <x v="1"/>
    <n v="1048995.3899999999"/>
    <n v="1119846.1000000001"/>
    <n v="70850.710000000196"/>
    <n v="6.7541488433042779E-2"/>
  </r>
  <r>
    <x v="0"/>
    <d v="2010-02-20T00:00:00"/>
    <x v="0"/>
    <x v="0"/>
    <x v="0"/>
    <x v="7"/>
    <x v="1"/>
    <n v="237267.79"/>
    <n v="259471.56"/>
    <n v="22203.76999999999"/>
    <n v="9.3581054554433996E-2"/>
  </r>
  <r>
    <x v="0"/>
    <d v="2010-02-20T00:00:00"/>
    <x v="0"/>
    <x v="0"/>
    <x v="0"/>
    <x v="8"/>
    <x v="1"/>
    <n v="474253.91"/>
    <n v="504438.91"/>
    <n v="30185"/>
    <n v="6.3647340303425226E-2"/>
  </r>
  <r>
    <x v="0"/>
    <d v="2010-02-20T00:00:00"/>
    <x v="0"/>
    <x v="0"/>
    <x v="0"/>
    <x v="9"/>
    <x v="2"/>
    <n v="895284.99"/>
    <n v="957496.01"/>
    <n v="62211.020000000019"/>
    <n v="6.9487393059052646E-2"/>
  </r>
  <r>
    <x v="0"/>
    <d v="2010-02-20T00:00:00"/>
    <x v="0"/>
    <x v="0"/>
    <x v="0"/>
    <x v="10"/>
    <x v="2"/>
    <n v="290216.53999999998"/>
    <n v="304920.25"/>
    <n v="14703.710000000021"/>
    <n v="5.0664617530069178E-2"/>
  </r>
  <r>
    <x v="0"/>
    <d v="2010-02-20T00:00:00"/>
    <x v="0"/>
    <x v="0"/>
    <x v="0"/>
    <x v="11"/>
    <x v="2"/>
    <n v="308782.5"/>
    <n v="329397.58"/>
    <n v="20615.080000000016"/>
    <n v="6.6762462250937196E-2"/>
  </r>
  <r>
    <x v="0"/>
    <d v="2010-02-20T00:00:00"/>
    <x v="0"/>
    <x v="0"/>
    <x v="0"/>
    <x v="12"/>
    <x v="2"/>
    <n v="21282.799999999999"/>
    <n v="22054.3"/>
    <n v="771.5"/>
    <n v="3.624992952055181E-2"/>
  </r>
  <r>
    <x v="0"/>
    <d v="2010-02-20T00:00:00"/>
    <x v="0"/>
    <x v="0"/>
    <x v="0"/>
    <x v="26"/>
    <x v="3"/>
    <n v="30788"/>
    <n v="33678.629999999997"/>
    <n v="2890.6299999999974"/>
    <n v="9.3888203196050318E-2"/>
  </r>
  <r>
    <x v="0"/>
    <d v="2010-02-20T00:00:00"/>
    <x v="0"/>
    <x v="0"/>
    <x v="0"/>
    <x v="13"/>
    <x v="3"/>
    <n v="368217.84"/>
    <n v="420899.44"/>
    <n v="52681.599999999977"/>
    <n v="0.1430718294366182"/>
  </r>
  <r>
    <x v="0"/>
    <d v="2010-02-20T00:00:00"/>
    <x v="0"/>
    <x v="0"/>
    <x v="0"/>
    <x v="14"/>
    <x v="3"/>
    <n v="196499.23"/>
    <n v="218939.1"/>
    <n v="22439.869999999995"/>
    <n v="0.11419825919928538"/>
  </r>
  <r>
    <x v="0"/>
    <d v="2010-02-20T00:00:00"/>
    <x v="0"/>
    <x v="0"/>
    <x v="0"/>
    <x v="15"/>
    <x v="3"/>
    <n v="1110807.0900000001"/>
    <n v="1212976.03"/>
    <n v="102168.93999999994"/>
    <n v="9.1977212712965245E-2"/>
  </r>
  <r>
    <x v="0"/>
    <d v="2010-02-20T00:00:00"/>
    <x v="0"/>
    <x v="0"/>
    <x v="0"/>
    <x v="16"/>
    <x v="3"/>
    <n v="186971.36"/>
    <n v="210417.91"/>
    <n v="23446.550000000017"/>
    <n v="0.12540182624761365"/>
  </r>
  <r>
    <x v="0"/>
    <d v="2010-02-20T00:00:00"/>
    <x v="0"/>
    <x v="0"/>
    <x v="0"/>
    <x v="17"/>
    <x v="4"/>
    <n v="1383643.01"/>
    <n v="1660848.09"/>
    <n v="277205.08000000007"/>
    <n v="0.20034436483728565"/>
  </r>
  <r>
    <x v="0"/>
    <d v="2010-02-20T00:00:00"/>
    <x v="0"/>
    <x v="0"/>
    <x v="0"/>
    <x v="18"/>
    <x v="5"/>
    <n v="18600.900000000001"/>
    <n v="40696.050000000003"/>
    <n v="22095.15"/>
    <n v="1.187853813525152"/>
  </r>
  <r>
    <x v="0"/>
    <d v="2010-02-20T00:00:00"/>
    <x v="0"/>
    <x v="0"/>
    <x v="0"/>
    <x v="19"/>
    <x v="5"/>
    <n v="21411.75"/>
    <n v="23799.13"/>
    <n v="2387.380000000001"/>
    <n v="0.11149859306222056"/>
  </r>
  <r>
    <x v="0"/>
    <d v="2010-02-20T00:00:00"/>
    <x v="0"/>
    <x v="0"/>
    <x v="0"/>
    <x v="20"/>
    <x v="5"/>
    <n v="274278.21999999997"/>
    <n v="560166.14"/>
    <n v="285887.92000000004"/>
    <n v="1.0423281877795476"/>
  </r>
  <r>
    <x v="0"/>
    <d v="2010-02-20T00:00:00"/>
    <x v="0"/>
    <x v="0"/>
    <x v="0"/>
    <x v="21"/>
    <x v="5"/>
    <n v="76"/>
    <n v="235.98"/>
    <n v="159.97999999999999"/>
    <n v="2.105"/>
  </r>
  <r>
    <x v="0"/>
    <d v="2010-02-20T00:00:00"/>
    <x v="0"/>
    <x v="0"/>
    <x v="0"/>
    <x v="22"/>
    <x v="6"/>
    <n v="3181.12"/>
    <n v="3949.21"/>
    <n v="768.09000000000015"/>
    <n v="0.24145269590584453"/>
  </r>
  <r>
    <x v="0"/>
    <d v="2010-02-20T00:00:00"/>
    <x v="0"/>
    <x v="0"/>
    <x v="0"/>
    <x v="23"/>
    <x v="6"/>
    <n v="320100.44"/>
    <n v="349718.4"/>
    <n v="29617.960000000021"/>
    <n v="9.2527083061804044E-2"/>
  </r>
  <r>
    <x v="0"/>
    <d v="2010-02-20T00:00:00"/>
    <x v="0"/>
    <x v="0"/>
    <x v="0"/>
    <x v="24"/>
    <x v="6"/>
    <n v="691964.79"/>
    <n v="745299.03"/>
    <n v="53334.239999999991"/>
    <n v="7.707652292539334E-2"/>
  </r>
  <r>
    <x v="0"/>
    <d v="2010-02-20T00:00:00"/>
    <x v="0"/>
    <x v="0"/>
    <x v="0"/>
    <x v="25"/>
    <x v="6"/>
    <n v="650148.07999999996"/>
    <n v="691065.01"/>
    <n v="40916.930000000051"/>
    <n v="6.2934785564544085E-2"/>
  </r>
  <r>
    <x v="0"/>
    <d v="2010-02-21T00:00:00"/>
    <x v="1"/>
    <x v="0"/>
    <x v="0"/>
    <x v="0"/>
    <x v="0"/>
    <n v="15420"/>
    <n v="18148.28"/>
    <n v="2728.2799999999988"/>
    <n v="0.17693125810635529"/>
  </r>
  <r>
    <x v="0"/>
    <d v="2010-02-21T00:00:00"/>
    <x v="1"/>
    <x v="0"/>
    <x v="0"/>
    <x v="1"/>
    <x v="0"/>
    <n v="322703.37"/>
    <n v="401832.68"/>
    <n v="79129.31"/>
    <n v="0.24520757251465952"/>
  </r>
  <r>
    <x v="0"/>
    <d v="2010-02-21T00:00:00"/>
    <x v="1"/>
    <x v="0"/>
    <x v="0"/>
    <x v="2"/>
    <x v="0"/>
    <n v="120249.21"/>
    <n v="133538.71"/>
    <n v="13289.499999999985"/>
    <n v="0.11051631856874557"/>
  </r>
  <r>
    <x v="0"/>
    <d v="2010-02-21T00:00:00"/>
    <x v="1"/>
    <x v="0"/>
    <x v="0"/>
    <x v="3"/>
    <x v="0"/>
    <n v="3186"/>
    <n v="3512.27"/>
    <n v="326.27"/>
    <n v="0.10240740740740741"/>
  </r>
  <r>
    <x v="0"/>
    <d v="2010-02-21T00:00:00"/>
    <x v="1"/>
    <x v="0"/>
    <x v="0"/>
    <x v="5"/>
    <x v="1"/>
    <n v="272594.28999999998"/>
    <n v="298384.02"/>
    <n v="25789.73000000004"/>
    <n v="9.4608474740978776E-2"/>
  </r>
  <r>
    <x v="0"/>
    <d v="2010-02-21T00:00:00"/>
    <x v="1"/>
    <x v="0"/>
    <x v="0"/>
    <x v="6"/>
    <x v="1"/>
    <n v="859080.94"/>
    <n v="921341.07"/>
    <n v="62260.130000000005"/>
    <n v="7.2472949987692672E-2"/>
  </r>
  <r>
    <x v="0"/>
    <d v="2010-02-21T00:00:00"/>
    <x v="1"/>
    <x v="0"/>
    <x v="0"/>
    <x v="7"/>
    <x v="1"/>
    <n v="168928.99"/>
    <n v="184276.36"/>
    <n v="15347.369999999995"/>
    <n v="9.0851013789877019E-2"/>
  </r>
  <r>
    <x v="0"/>
    <d v="2010-02-21T00:00:00"/>
    <x v="1"/>
    <x v="0"/>
    <x v="0"/>
    <x v="8"/>
    <x v="1"/>
    <n v="415616.13"/>
    <n v="440941.96"/>
    <n v="25325.830000000016"/>
    <n v="6.093562826832543E-2"/>
  </r>
  <r>
    <x v="0"/>
    <d v="2010-02-21T00:00:00"/>
    <x v="1"/>
    <x v="0"/>
    <x v="0"/>
    <x v="9"/>
    <x v="2"/>
    <n v="571208.71"/>
    <n v="614066.48"/>
    <n v="42857.770000000019"/>
    <n v="7.5029965842082519E-2"/>
  </r>
  <r>
    <x v="0"/>
    <d v="2010-02-21T00:00:00"/>
    <x v="1"/>
    <x v="0"/>
    <x v="0"/>
    <x v="10"/>
    <x v="2"/>
    <n v="232243.01"/>
    <n v="245838.75"/>
    <n v="13595.739999999991"/>
    <n v="5.8541008403223807E-2"/>
  </r>
  <r>
    <x v="0"/>
    <d v="2010-02-21T00:00:00"/>
    <x v="1"/>
    <x v="0"/>
    <x v="0"/>
    <x v="11"/>
    <x v="2"/>
    <n v="253457"/>
    <n v="270578.56"/>
    <n v="17121.559999999998"/>
    <n v="6.7552129158003127E-2"/>
  </r>
  <r>
    <x v="0"/>
    <d v="2010-02-21T00:00:00"/>
    <x v="1"/>
    <x v="0"/>
    <x v="0"/>
    <x v="12"/>
    <x v="2"/>
    <n v="20477.2"/>
    <n v="20980.639999999999"/>
    <n v="503.43999999999869"/>
    <n v="2.4585392534135463E-2"/>
  </r>
  <r>
    <x v="0"/>
    <d v="2010-02-21T00:00:00"/>
    <x v="1"/>
    <x v="0"/>
    <x v="0"/>
    <x v="26"/>
    <x v="3"/>
    <n v="17892"/>
    <n v="20139.73"/>
    <n v="2247.7299999999996"/>
    <n v="0.12562765481779564"/>
  </r>
  <r>
    <x v="0"/>
    <d v="2010-02-21T00:00:00"/>
    <x v="1"/>
    <x v="0"/>
    <x v="0"/>
    <x v="13"/>
    <x v="3"/>
    <n v="291470.21000000002"/>
    <n v="331170.77"/>
    <n v="39700.559999999998"/>
    <n v="0.13620795071990374"/>
  </r>
  <r>
    <x v="0"/>
    <d v="2010-02-21T00:00:00"/>
    <x v="1"/>
    <x v="0"/>
    <x v="0"/>
    <x v="14"/>
    <x v="3"/>
    <n v="140762.75"/>
    <n v="157601.31"/>
    <n v="16838.559999999998"/>
    <n v="0.11962369305800005"/>
  </r>
  <r>
    <x v="0"/>
    <d v="2010-02-21T00:00:00"/>
    <x v="1"/>
    <x v="0"/>
    <x v="0"/>
    <x v="15"/>
    <x v="3"/>
    <n v="950500.19"/>
    <n v="1030339.73"/>
    <n v="79839.540000000037"/>
    <n v="8.3997395097837949E-2"/>
  </r>
  <r>
    <x v="0"/>
    <d v="2010-02-21T00:00:00"/>
    <x v="1"/>
    <x v="0"/>
    <x v="0"/>
    <x v="16"/>
    <x v="3"/>
    <n v="137408.07999999999"/>
    <n v="154529.57999999999"/>
    <n v="17121.5"/>
    <n v="0.12460329843776291"/>
  </r>
  <r>
    <x v="0"/>
    <d v="2010-02-21T00:00:00"/>
    <x v="1"/>
    <x v="0"/>
    <x v="0"/>
    <x v="17"/>
    <x v="4"/>
    <n v="910731.55"/>
    <n v="1100297.22"/>
    <n v="189565.66999999993"/>
    <n v="0.20814659380143349"/>
  </r>
  <r>
    <x v="0"/>
    <d v="2010-02-21T00:00:00"/>
    <x v="1"/>
    <x v="0"/>
    <x v="0"/>
    <x v="18"/>
    <x v="5"/>
    <n v="9677.2000000000007"/>
    <n v="21117.14"/>
    <n v="11439.939999999999"/>
    <n v="1.1821539288223863"/>
  </r>
  <r>
    <x v="0"/>
    <d v="2010-02-21T00:00:00"/>
    <x v="1"/>
    <x v="0"/>
    <x v="0"/>
    <x v="19"/>
    <x v="5"/>
    <n v="16997.080000000002"/>
    <n v="18909.29"/>
    <n v="1912.2099999999991"/>
    <n v="0.11250226509494565"/>
  </r>
  <r>
    <x v="0"/>
    <d v="2010-02-21T00:00:00"/>
    <x v="1"/>
    <x v="0"/>
    <x v="0"/>
    <x v="20"/>
    <x v="5"/>
    <n v="225704.91"/>
    <n v="447551.5"/>
    <n v="221846.59"/>
    <n v="0.98290546714291682"/>
  </r>
  <r>
    <x v="0"/>
    <d v="2010-02-21T00:00:00"/>
    <x v="1"/>
    <x v="0"/>
    <x v="0"/>
    <x v="21"/>
    <x v="5"/>
    <n v="247"/>
    <n v="766.81"/>
    <n v="519.80999999999995"/>
    <n v="2.1044939271255059"/>
  </r>
  <r>
    <x v="0"/>
    <d v="2010-02-21T00:00:00"/>
    <x v="1"/>
    <x v="0"/>
    <x v="0"/>
    <x v="22"/>
    <x v="6"/>
    <n v="4100.92"/>
    <n v="5253.1"/>
    <n v="1152.1800000000003"/>
    <n v="0.28095646830467319"/>
  </r>
  <r>
    <x v="0"/>
    <d v="2010-02-21T00:00:00"/>
    <x v="1"/>
    <x v="0"/>
    <x v="0"/>
    <x v="23"/>
    <x v="6"/>
    <n v="283245.84000000003"/>
    <n v="307792.11"/>
    <n v="24546.26999999996"/>
    <n v="8.6660654927888645E-2"/>
  </r>
  <r>
    <x v="0"/>
    <d v="2010-02-21T00:00:00"/>
    <x v="1"/>
    <x v="0"/>
    <x v="0"/>
    <x v="24"/>
    <x v="6"/>
    <n v="634052.31999999995"/>
    <n v="680485.49"/>
    <n v="46433.170000000042"/>
    <n v="7.3232395080582699E-2"/>
  </r>
  <r>
    <x v="0"/>
    <d v="2010-02-21T00:00:00"/>
    <x v="1"/>
    <x v="0"/>
    <x v="0"/>
    <x v="25"/>
    <x v="6"/>
    <n v="479999.58"/>
    <n v="511582.05"/>
    <n v="31582.469999999972"/>
    <n v="6.5796870072261246E-2"/>
  </r>
  <r>
    <x v="0"/>
    <d v="2010-02-22T00:00:00"/>
    <x v="1"/>
    <x v="0"/>
    <x v="0"/>
    <x v="0"/>
    <x v="0"/>
    <n v="10522"/>
    <n v="12496.95"/>
    <n v="1974.9500000000007"/>
    <n v="0.18769720585440036"/>
  </r>
  <r>
    <x v="0"/>
    <d v="2010-02-22T00:00:00"/>
    <x v="1"/>
    <x v="0"/>
    <x v="0"/>
    <x v="1"/>
    <x v="0"/>
    <n v="392228.47"/>
    <n v="508092.51"/>
    <n v="115864.04000000004"/>
    <n v="0.29539936251950311"/>
  </r>
  <r>
    <x v="0"/>
    <d v="2010-02-22T00:00:00"/>
    <x v="1"/>
    <x v="0"/>
    <x v="0"/>
    <x v="2"/>
    <x v="0"/>
    <n v="111761.42"/>
    <n v="122614.72"/>
    <n v="10853.300000000003"/>
    <n v="9.7111328757276016E-2"/>
  </r>
  <r>
    <x v="0"/>
    <d v="2010-02-22T00:00:00"/>
    <x v="1"/>
    <x v="0"/>
    <x v="0"/>
    <x v="3"/>
    <x v="0"/>
    <n v="1612"/>
    <n v="1798.33"/>
    <n v="186.32999999999993"/>
    <n v="0.11558933002481385"/>
  </r>
  <r>
    <x v="0"/>
    <d v="2010-02-22T00:00:00"/>
    <x v="1"/>
    <x v="0"/>
    <x v="0"/>
    <x v="5"/>
    <x v="1"/>
    <n v="189069.35"/>
    <n v="210023"/>
    <n v="20953.649999999994"/>
    <n v="0.11082520778751286"/>
  </r>
  <r>
    <x v="0"/>
    <d v="2010-02-22T00:00:00"/>
    <x v="1"/>
    <x v="0"/>
    <x v="0"/>
    <x v="6"/>
    <x v="1"/>
    <n v="876524.68"/>
    <n v="945557.54"/>
    <n v="69032.859999999986"/>
    <n v="7.8757462938750314E-2"/>
  </r>
  <r>
    <x v="0"/>
    <d v="2010-02-22T00:00:00"/>
    <x v="1"/>
    <x v="0"/>
    <x v="0"/>
    <x v="7"/>
    <x v="1"/>
    <n v="149540.37"/>
    <n v="164236.53"/>
    <n v="14696.160000000003"/>
    <n v="9.8275535897095909E-2"/>
  </r>
  <r>
    <x v="0"/>
    <d v="2010-02-22T00:00:00"/>
    <x v="1"/>
    <x v="0"/>
    <x v="0"/>
    <x v="8"/>
    <x v="1"/>
    <n v="329764.09999999998"/>
    <n v="354092.76"/>
    <n v="24328.660000000033"/>
    <n v="7.3775950747822561E-2"/>
  </r>
  <r>
    <x v="0"/>
    <d v="2010-02-22T00:00:00"/>
    <x v="1"/>
    <x v="0"/>
    <x v="0"/>
    <x v="9"/>
    <x v="2"/>
    <n v="887055.34"/>
    <n v="942093.14"/>
    <n v="55037.800000000047"/>
    <n v="6.204550890815904E-2"/>
  </r>
  <r>
    <x v="0"/>
    <d v="2010-02-22T00:00:00"/>
    <x v="1"/>
    <x v="0"/>
    <x v="0"/>
    <x v="10"/>
    <x v="2"/>
    <n v="194078.29"/>
    <n v="205201.58"/>
    <n v="11123.289999999979"/>
    <n v="5.7313417178191224E-2"/>
  </r>
  <r>
    <x v="0"/>
    <d v="2010-02-22T00:00:00"/>
    <x v="1"/>
    <x v="0"/>
    <x v="0"/>
    <x v="11"/>
    <x v="2"/>
    <n v="206769"/>
    <n v="219848.54"/>
    <n v="13079.540000000008"/>
    <n v="6.3256774468126303E-2"/>
  </r>
  <r>
    <x v="0"/>
    <d v="2010-02-22T00:00:00"/>
    <x v="1"/>
    <x v="0"/>
    <x v="0"/>
    <x v="12"/>
    <x v="2"/>
    <n v="16978.400000000001"/>
    <n v="17496.84"/>
    <n v="518.43999999999869"/>
    <n v="3.0535268340950775E-2"/>
  </r>
  <r>
    <x v="0"/>
    <d v="2010-02-22T00:00:00"/>
    <x v="1"/>
    <x v="0"/>
    <x v="0"/>
    <x v="26"/>
    <x v="3"/>
    <n v="18224"/>
    <n v="20385.61"/>
    <n v="2161.6100000000006"/>
    <n v="0.11861336698858652"/>
  </r>
  <r>
    <x v="0"/>
    <d v="2010-02-22T00:00:00"/>
    <x v="1"/>
    <x v="0"/>
    <x v="0"/>
    <x v="13"/>
    <x v="3"/>
    <n v="236336.13"/>
    <n v="267116.88"/>
    <n v="30780.75"/>
    <n v="0.13024140659322805"/>
  </r>
  <r>
    <x v="0"/>
    <d v="2010-02-22T00:00:00"/>
    <x v="1"/>
    <x v="0"/>
    <x v="0"/>
    <x v="14"/>
    <x v="3"/>
    <n v="127016.73"/>
    <n v="141542.98000000001"/>
    <n v="14526.250000000015"/>
    <n v="0.11436485571625105"/>
  </r>
  <r>
    <x v="0"/>
    <d v="2010-02-22T00:00:00"/>
    <x v="1"/>
    <x v="0"/>
    <x v="0"/>
    <x v="15"/>
    <x v="3"/>
    <n v="915303.52"/>
    <n v="998393.41"/>
    <n v="83089.890000000014"/>
    <n v="9.0778510280393118E-2"/>
  </r>
  <r>
    <x v="0"/>
    <d v="2010-02-22T00:00:00"/>
    <x v="1"/>
    <x v="0"/>
    <x v="0"/>
    <x v="16"/>
    <x v="3"/>
    <n v="134627.26"/>
    <n v="152650.37"/>
    <n v="18023.109999999986"/>
    <n v="0.13387415000498401"/>
  </r>
  <r>
    <x v="0"/>
    <d v="2010-02-22T00:00:00"/>
    <x v="1"/>
    <x v="0"/>
    <x v="0"/>
    <x v="17"/>
    <x v="4"/>
    <n v="728454.52"/>
    <n v="863806.6"/>
    <n v="135352.07999999996"/>
    <n v="0.18580717983601772"/>
  </r>
  <r>
    <x v="0"/>
    <d v="2010-02-22T00:00:00"/>
    <x v="1"/>
    <x v="0"/>
    <x v="0"/>
    <x v="18"/>
    <x v="5"/>
    <n v="12510.1"/>
    <n v="27455.8"/>
    <n v="14945.699999999999"/>
    <n v="1.1946906899225425"/>
  </r>
  <r>
    <x v="0"/>
    <d v="2010-02-22T00:00:00"/>
    <x v="1"/>
    <x v="0"/>
    <x v="0"/>
    <x v="19"/>
    <x v="5"/>
    <n v="24471.8"/>
    <n v="27178.720000000001"/>
    <n v="2706.9200000000019"/>
    <n v="0.11061384941034177"/>
  </r>
  <r>
    <x v="0"/>
    <d v="2010-02-22T00:00:00"/>
    <x v="1"/>
    <x v="0"/>
    <x v="0"/>
    <x v="20"/>
    <x v="5"/>
    <n v="218939.83"/>
    <n v="427388.97"/>
    <n v="208449.13999999998"/>
    <n v="0.95208414110854112"/>
  </r>
  <r>
    <x v="0"/>
    <d v="2010-02-22T00:00:00"/>
    <x v="1"/>
    <x v="0"/>
    <x v="0"/>
    <x v="21"/>
    <x v="5"/>
    <n v="114"/>
    <n v="353.96"/>
    <n v="239.95999999999998"/>
    <n v="2.1049122807017544"/>
  </r>
  <r>
    <x v="0"/>
    <d v="2010-02-22T00:00:00"/>
    <x v="1"/>
    <x v="0"/>
    <x v="0"/>
    <x v="22"/>
    <x v="6"/>
    <n v="3247.72"/>
    <n v="4037.44"/>
    <n v="789.72000000000025"/>
    <n v="0.24316135627455579"/>
  </r>
  <r>
    <x v="0"/>
    <d v="2010-02-22T00:00:00"/>
    <x v="1"/>
    <x v="0"/>
    <x v="0"/>
    <x v="23"/>
    <x v="6"/>
    <n v="219850.83"/>
    <n v="244437.35"/>
    <n v="24586.520000000019"/>
    <n v="0.11183273676974528"/>
  </r>
  <r>
    <x v="0"/>
    <d v="2010-02-22T00:00:00"/>
    <x v="1"/>
    <x v="0"/>
    <x v="0"/>
    <x v="24"/>
    <x v="6"/>
    <n v="561850.92000000004"/>
    <n v="602406.26"/>
    <n v="40555.339999999967"/>
    <n v="7.2181674099599163E-2"/>
  </r>
  <r>
    <x v="0"/>
    <d v="2010-02-22T00:00:00"/>
    <x v="1"/>
    <x v="0"/>
    <x v="0"/>
    <x v="25"/>
    <x v="6"/>
    <n v="474667.3"/>
    <n v="503102.33"/>
    <n v="28435.030000000028"/>
    <n v="5.9905179901796543E-2"/>
  </r>
  <r>
    <x v="0"/>
    <d v="2010-02-23T00:00:00"/>
    <x v="1"/>
    <x v="0"/>
    <x v="0"/>
    <x v="0"/>
    <x v="0"/>
    <n v="12621"/>
    <n v="14962.47"/>
    <n v="2341.4699999999993"/>
    <n v="0.18552174946517702"/>
  </r>
  <r>
    <x v="0"/>
    <d v="2010-02-23T00:00:00"/>
    <x v="1"/>
    <x v="0"/>
    <x v="0"/>
    <x v="1"/>
    <x v="0"/>
    <n v="407225.14"/>
    <n v="532651.27"/>
    <n v="125426.13"/>
    <n v="0.30800193229720541"/>
  </r>
  <r>
    <x v="0"/>
    <d v="2010-02-23T00:00:00"/>
    <x v="1"/>
    <x v="0"/>
    <x v="0"/>
    <x v="2"/>
    <x v="0"/>
    <n v="138949.54999999999"/>
    <n v="151901.03"/>
    <n v="12951.48000000001"/>
    <n v="9.3209945624149276E-2"/>
  </r>
  <r>
    <x v="0"/>
    <d v="2010-02-23T00:00:00"/>
    <x v="1"/>
    <x v="0"/>
    <x v="0"/>
    <x v="3"/>
    <x v="0"/>
    <n v="3156"/>
    <n v="3413"/>
    <n v="257"/>
    <n v="8.1432192648922694E-2"/>
  </r>
  <r>
    <x v="0"/>
    <d v="2010-02-23T00:00:00"/>
    <x v="1"/>
    <x v="0"/>
    <x v="0"/>
    <x v="5"/>
    <x v="1"/>
    <n v="142190.32"/>
    <n v="157484.01"/>
    <n v="15293.690000000002"/>
    <n v="0.10755788439044234"/>
  </r>
  <r>
    <x v="0"/>
    <d v="2010-02-23T00:00:00"/>
    <x v="1"/>
    <x v="0"/>
    <x v="0"/>
    <x v="6"/>
    <x v="1"/>
    <n v="745202.73"/>
    <n v="792493.42"/>
    <n v="47290.690000000061"/>
    <n v="6.3460167409746415E-2"/>
  </r>
  <r>
    <x v="0"/>
    <d v="2010-02-23T00:00:00"/>
    <x v="1"/>
    <x v="0"/>
    <x v="0"/>
    <x v="7"/>
    <x v="1"/>
    <n v="95463.98"/>
    <n v="105153.44"/>
    <n v="9689.4600000000064"/>
    <n v="0.10149859664346707"/>
  </r>
  <r>
    <x v="0"/>
    <d v="2010-02-23T00:00:00"/>
    <x v="1"/>
    <x v="0"/>
    <x v="0"/>
    <x v="8"/>
    <x v="1"/>
    <n v="276111.99"/>
    <n v="297672.14"/>
    <n v="21560.150000000023"/>
    <n v="7.8084801750188476E-2"/>
  </r>
  <r>
    <x v="0"/>
    <d v="2010-02-23T00:00:00"/>
    <x v="1"/>
    <x v="0"/>
    <x v="0"/>
    <x v="9"/>
    <x v="2"/>
    <n v="631649.68999999994"/>
    <n v="679536.74"/>
    <n v="47887.050000000047"/>
    <n v="7.5812670785922576E-2"/>
  </r>
  <r>
    <x v="0"/>
    <d v="2010-02-23T00:00:00"/>
    <x v="1"/>
    <x v="0"/>
    <x v="0"/>
    <x v="10"/>
    <x v="2"/>
    <n v="209240.9"/>
    <n v="220266.55"/>
    <n v="11025.649999999994"/>
    <n v="5.2693569947366861E-2"/>
  </r>
  <r>
    <x v="0"/>
    <d v="2010-02-23T00:00:00"/>
    <x v="1"/>
    <x v="0"/>
    <x v="0"/>
    <x v="11"/>
    <x v="2"/>
    <n v="191582"/>
    <n v="203957.02"/>
    <n v="12375.01999999999"/>
    <n v="6.4593855372634124E-2"/>
  </r>
  <r>
    <x v="0"/>
    <d v="2010-02-23T00:00:00"/>
    <x v="1"/>
    <x v="0"/>
    <x v="0"/>
    <x v="12"/>
    <x v="2"/>
    <n v="7830.8"/>
    <n v="8215.58"/>
    <n v="384.77999999999975"/>
    <n v="4.9136742095315898E-2"/>
  </r>
  <r>
    <x v="0"/>
    <d v="2010-02-23T00:00:00"/>
    <x v="1"/>
    <x v="0"/>
    <x v="0"/>
    <x v="26"/>
    <x v="3"/>
    <n v="14543"/>
    <n v="16349.6"/>
    <n v="1806.6000000000004"/>
    <n v="0.12422471292030533"/>
  </r>
  <r>
    <x v="0"/>
    <d v="2010-02-23T00:00:00"/>
    <x v="1"/>
    <x v="0"/>
    <x v="0"/>
    <x v="13"/>
    <x v="3"/>
    <n v="212585.87"/>
    <n v="241807.01"/>
    <n v="29221.140000000014"/>
    <n v="0.13745570201820101"/>
  </r>
  <r>
    <x v="0"/>
    <d v="2010-02-23T00:00:00"/>
    <x v="1"/>
    <x v="0"/>
    <x v="0"/>
    <x v="14"/>
    <x v="3"/>
    <n v="54263.66"/>
    <n v="65106.64"/>
    <n v="10842.979999999996"/>
    <n v="0.19982028488310585"/>
  </r>
  <r>
    <x v="0"/>
    <d v="2010-02-23T00:00:00"/>
    <x v="1"/>
    <x v="0"/>
    <x v="0"/>
    <x v="15"/>
    <x v="3"/>
    <n v="626836.66"/>
    <n v="692735.98"/>
    <n v="65899.319999999949"/>
    <n v="0.10512997117941369"/>
  </r>
  <r>
    <x v="0"/>
    <d v="2010-02-23T00:00:00"/>
    <x v="1"/>
    <x v="0"/>
    <x v="0"/>
    <x v="16"/>
    <x v="3"/>
    <n v="99099.6"/>
    <n v="112605.32"/>
    <n v="13505.720000000001"/>
    <n v="0.13628430387206406"/>
  </r>
  <r>
    <x v="0"/>
    <d v="2010-02-23T00:00:00"/>
    <x v="1"/>
    <x v="0"/>
    <x v="0"/>
    <x v="17"/>
    <x v="4"/>
    <n v="784023.65"/>
    <n v="932959.62"/>
    <n v="148935.96999999997"/>
    <n v="0.18996361908215392"/>
  </r>
  <r>
    <x v="0"/>
    <d v="2010-02-23T00:00:00"/>
    <x v="1"/>
    <x v="0"/>
    <x v="0"/>
    <x v="18"/>
    <x v="5"/>
    <n v="11367.86"/>
    <n v="24978.07"/>
    <n v="13610.21"/>
    <n v="1.1972534848247602"/>
  </r>
  <r>
    <x v="0"/>
    <d v="2010-02-23T00:00:00"/>
    <x v="1"/>
    <x v="0"/>
    <x v="0"/>
    <x v="19"/>
    <x v="5"/>
    <n v="9428.77"/>
    <n v="10503.01"/>
    <n v="1074.2399999999998"/>
    <n v="0.11393214597450142"/>
  </r>
  <r>
    <x v="0"/>
    <d v="2010-02-23T00:00:00"/>
    <x v="1"/>
    <x v="0"/>
    <x v="0"/>
    <x v="20"/>
    <x v="5"/>
    <n v="232231.89"/>
    <n v="466240.44"/>
    <n v="234008.55"/>
    <n v="1.0076503704982118"/>
  </r>
  <r>
    <x v="0"/>
    <d v="2010-02-23T00:00:00"/>
    <x v="1"/>
    <x v="0"/>
    <x v="0"/>
    <x v="21"/>
    <x v="5"/>
    <n v="133"/>
    <n v="412.94"/>
    <n v="279.94"/>
    <n v="2.104812030075188"/>
  </r>
  <r>
    <x v="0"/>
    <d v="2010-02-23T00:00:00"/>
    <x v="1"/>
    <x v="0"/>
    <x v="0"/>
    <x v="22"/>
    <x v="6"/>
    <n v="2740.72"/>
    <n v="3484.79"/>
    <n v="744.07000000000016"/>
    <n v="0.27148705449662869"/>
  </r>
  <r>
    <x v="0"/>
    <d v="2010-02-23T00:00:00"/>
    <x v="1"/>
    <x v="0"/>
    <x v="0"/>
    <x v="23"/>
    <x v="6"/>
    <n v="199352.67"/>
    <n v="223393.39"/>
    <n v="24040.720000000001"/>
    <n v="0.12059392031217842"/>
  </r>
  <r>
    <x v="0"/>
    <d v="2010-02-23T00:00:00"/>
    <x v="1"/>
    <x v="0"/>
    <x v="0"/>
    <x v="24"/>
    <x v="6"/>
    <n v="422931.65"/>
    <n v="456978.86"/>
    <n v="34047.209999999963"/>
    <n v="8.0502866125058178E-2"/>
  </r>
  <r>
    <x v="0"/>
    <d v="2010-02-23T00:00:00"/>
    <x v="1"/>
    <x v="0"/>
    <x v="0"/>
    <x v="25"/>
    <x v="6"/>
    <n v="335197.64"/>
    <n v="357190.14"/>
    <n v="21992.5"/>
    <n v="6.5610545468040876E-2"/>
  </r>
  <r>
    <x v="0"/>
    <d v="2010-02-24T00:00:00"/>
    <x v="1"/>
    <x v="0"/>
    <x v="0"/>
    <x v="0"/>
    <x v="0"/>
    <n v="10299"/>
    <n v="12110.39"/>
    <n v="1811.3899999999994"/>
    <n v="0.17588018254199431"/>
  </r>
  <r>
    <x v="0"/>
    <d v="2010-02-24T00:00:00"/>
    <x v="1"/>
    <x v="0"/>
    <x v="0"/>
    <x v="1"/>
    <x v="0"/>
    <n v="265835.34000000003"/>
    <n v="343377.41"/>
    <n v="77542.069999999949"/>
    <n v="0.29169210534611367"/>
  </r>
  <r>
    <x v="0"/>
    <d v="2010-02-24T00:00:00"/>
    <x v="1"/>
    <x v="0"/>
    <x v="0"/>
    <x v="2"/>
    <x v="0"/>
    <n v="86174.43"/>
    <n v="93472.58"/>
    <n v="7298.1500000000087"/>
    <n v="8.4690435434269878E-2"/>
  </r>
  <r>
    <x v="0"/>
    <d v="2010-02-24T00:00:00"/>
    <x v="1"/>
    <x v="0"/>
    <x v="0"/>
    <x v="3"/>
    <x v="0"/>
    <n v="4234"/>
    <n v="4776.6400000000003"/>
    <n v="542.64000000000033"/>
    <n v="0.12816249409541813"/>
  </r>
  <r>
    <x v="0"/>
    <d v="2010-02-24T00:00:00"/>
    <x v="1"/>
    <x v="0"/>
    <x v="0"/>
    <x v="4"/>
    <x v="0"/>
    <n v="1422"/>
    <n v="1635"/>
    <n v="213"/>
    <n v="0.14978902953586498"/>
  </r>
  <r>
    <x v="0"/>
    <d v="2010-02-24T00:00:00"/>
    <x v="1"/>
    <x v="0"/>
    <x v="0"/>
    <x v="5"/>
    <x v="1"/>
    <n v="155948.17000000001"/>
    <n v="170652.16"/>
    <n v="14703.989999999991"/>
    <n v="9.4287672628668801E-2"/>
  </r>
  <r>
    <x v="0"/>
    <d v="2010-02-24T00:00:00"/>
    <x v="1"/>
    <x v="0"/>
    <x v="0"/>
    <x v="6"/>
    <x v="1"/>
    <n v="660077.09"/>
    <n v="702987.63"/>
    <n v="42910.540000000037"/>
    <n v="6.5008376521596953E-2"/>
  </r>
  <r>
    <x v="0"/>
    <d v="2010-02-24T00:00:00"/>
    <x v="1"/>
    <x v="0"/>
    <x v="0"/>
    <x v="7"/>
    <x v="1"/>
    <n v="137820.67000000001"/>
    <n v="150626.95000000001"/>
    <n v="12806.279999999999"/>
    <n v="9.2919879144398282E-2"/>
  </r>
  <r>
    <x v="0"/>
    <d v="2010-02-24T00:00:00"/>
    <x v="1"/>
    <x v="0"/>
    <x v="0"/>
    <x v="8"/>
    <x v="1"/>
    <n v="278578.14"/>
    <n v="298280.33"/>
    <n v="19702.190000000002"/>
    <n v="7.072410634947883E-2"/>
  </r>
  <r>
    <x v="0"/>
    <d v="2010-02-24T00:00:00"/>
    <x v="1"/>
    <x v="0"/>
    <x v="0"/>
    <x v="9"/>
    <x v="2"/>
    <n v="458429.94"/>
    <n v="493993.56"/>
    <n v="35563.619999999995"/>
    <n v="7.7577001188011405E-2"/>
  </r>
  <r>
    <x v="0"/>
    <d v="2010-02-24T00:00:00"/>
    <x v="1"/>
    <x v="0"/>
    <x v="0"/>
    <x v="10"/>
    <x v="2"/>
    <n v="180457.89"/>
    <n v="187772.39"/>
    <n v="7314.5"/>
    <n v="4.0533001909753015E-2"/>
  </r>
  <r>
    <x v="0"/>
    <d v="2010-02-24T00:00:00"/>
    <x v="1"/>
    <x v="0"/>
    <x v="0"/>
    <x v="11"/>
    <x v="2"/>
    <n v="173752.99"/>
    <n v="184410.54"/>
    <n v="10657.550000000017"/>
    <n v="6.1337361734034146E-2"/>
  </r>
  <r>
    <x v="0"/>
    <d v="2010-02-24T00:00:00"/>
    <x v="1"/>
    <x v="0"/>
    <x v="0"/>
    <x v="12"/>
    <x v="2"/>
    <n v="11204.2"/>
    <n v="11616.31"/>
    <n v="412.10999999999876"/>
    <n v="3.6781742560825295E-2"/>
  </r>
  <r>
    <x v="0"/>
    <d v="2010-02-24T00:00:00"/>
    <x v="1"/>
    <x v="0"/>
    <x v="0"/>
    <x v="26"/>
    <x v="3"/>
    <n v="9402"/>
    <n v="10519.37"/>
    <n v="1117.3700000000008"/>
    <n v="0.11884386300787075"/>
  </r>
  <r>
    <x v="0"/>
    <d v="2010-02-24T00:00:00"/>
    <x v="1"/>
    <x v="0"/>
    <x v="0"/>
    <x v="13"/>
    <x v="3"/>
    <n v="175229.51"/>
    <n v="199212.11"/>
    <n v="23982.599999999977"/>
    <n v="0.13686393347787126"/>
  </r>
  <r>
    <x v="0"/>
    <d v="2010-02-24T00:00:00"/>
    <x v="1"/>
    <x v="0"/>
    <x v="0"/>
    <x v="14"/>
    <x v="3"/>
    <n v="123858.26"/>
    <n v="138772.26999999999"/>
    <n v="14914.009999999995"/>
    <n v="0.12041191277836452"/>
  </r>
  <r>
    <x v="0"/>
    <d v="2010-02-24T00:00:00"/>
    <x v="1"/>
    <x v="0"/>
    <x v="0"/>
    <x v="15"/>
    <x v="3"/>
    <n v="794108.24"/>
    <n v="869424.37"/>
    <n v="75316.13"/>
    <n v="9.484365758501638E-2"/>
  </r>
  <r>
    <x v="0"/>
    <d v="2010-02-24T00:00:00"/>
    <x v="1"/>
    <x v="0"/>
    <x v="0"/>
    <x v="16"/>
    <x v="3"/>
    <n v="89895"/>
    <n v="102469.19"/>
    <n v="12574.190000000002"/>
    <n v="0.1398764113688192"/>
  </r>
  <r>
    <x v="0"/>
    <d v="2010-02-24T00:00:00"/>
    <x v="1"/>
    <x v="0"/>
    <x v="0"/>
    <x v="17"/>
    <x v="4"/>
    <n v="741810.34"/>
    <n v="879421.88"/>
    <n v="137611.54000000004"/>
    <n v="0.18550771346756914"/>
  </r>
  <r>
    <x v="0"/>
    <d v="2010-02-24T00:00:00"/>
    <x v="1"/>
    <x v="0"/>
    <x v="0"/>
    <x v="18"/>
    <x v="5"/>
    <n v="11037.35"/>
    <n v="24481.63"/>
    <n v="13444.28"/>
    <n v="1.2180713667682914"/>
  </r>
  <r>
    <x v="0"/>
    <d v="2010-02-24T00:00:00"/>
    <x v="1"/>
    <x v="0"/>
    <x v="0"/>
    <x v="19"/>
    <x v="5"/>
    <n v="8652"/>
    <n v="9639.4699999999993"/>
    <n v="987.46999999999935"/>
    <n v="0.11413199260286631"/>
  </r>
  <r>
    <x v="0"/>
    <d v="2010-02-24T00:00:00"/>
    <x v="1"/>
    <x v="0"/>
    <x v="0"/>
    <x v="20"/>
    <x v="5"/>
    <n v="188259.46"/>
    <n v="364961.58"/>
    <n v="176702.12000000002"/>
    <n v="0.93860951263750592"/>
  </r>
  <r>
    <x v="0"/>
    <d v="2010-02-24T00:00:00"/>
    <x v="1"/>
    <x v="0"/>
    <x v="0"/>
    <x v="21"/>
    <x v="5"/>
    <n v="76"/>
    <n v="235.91"/>
    <n v="159.91"/>
    <n v="2.1040789473684209"/>
  </r>
  <r>
    <x v="0"/>
    <d v="2010-02-24T00:00:00"/>
    <x v="1"/>
    <x v="0"/>
    <x v="0"/>
    <x v="22"/>
    <x v="6"/>
    <n v="2148.64"/>
    <n v="2793.54"/>
    <n v="644.90000000000009"/>
    <n v="0.30014334648894192"/>
  </r>
  <r>
    <x v="0"/>
    <d v="2010-02-24T00:00:00"/>
    <x v="1"/>
    <x v="0"/>
    <x v="0"/>
    <x v="23"/>
    <x v="6"/>
    <n v="141382.29999999999"/>
    <n v="156524.13"/>
    <n v="15141.830000000016"/>
    <n v="0.10709848403937422"/>
  </r>
  <r>
    <x v="0"/>
    <d v="2010-02-24T00:00:00"/>
    <x v="1"/>
    <x v="0"/>
    <x v="0"/>
    <x v="24"/>
    <x v="6"/>
    <n v="392714.46"/>
    <n v="422080.78"/>
    <n v="29366.320000000007"/>
    <n v="7.4777791477298808E-2"/>
  </r>
  <r>
    <x v="0"/>
    <d v="2010-02-24T00:00:00"/>
    <x v="1"/>
    <x v="0"/>
    <x v="0"/>
    <x v="25"/>
    <x v="6"/>
    <n v="306469.40999999997"/>
    <n v="325990.5"/>
    <n v="19521.090000000026"/>
    <n v="6.3696699778291177E-2"/>
  </r>
  <r>
    <x v="0"/>
    <d v="2010-02-25T00:00:00"/>
    <x v="1"/>
    <x v="0"/>
    <x v="0"/>
    <x v="0"/>
    <x v="0"/>
    <n v="10607"/>
    <n v="12454.84"/>
    <n v="1847.8400000000001"/>
    <n v="0.17420948430281891"/>
  </r>
  <r>
    <x v="0"/>
    <d v="2010-02-25T00:00:00"/>
    <x v="1"/>
    <x v="0"/>
    <x v="0"/>
    <x v="1"/>
    <x v="0"/>
    <n v="284122.39"/>
    <n v="344579.75"/>
    <n v="60457.359999999986"/>
    <n v="0.21278632775122011"/>
  </r>
  <r>
    <x v="0"/>
    <d v="2010-02-25T00:00:00"/>
    <x v="1"/>
    <x v="0"/>
    <x v="0"/>
    <x v="2"/>
    <x v="0"/>
    <n v="128450.94"/>
    <n v="144687.81"/>
    <n v="16236.869999999995"/>
    <n v="0.12640522521672473"/>
  </r>
  <r>
    <x v="0"/>
    <d v="2010-02-25T00:00:00"/>
    <x v="1"/>
    <x v="0"/>
    <x v="0"/>
    <x v="3"/>
    <x v="0"/>
    <n v="2245"/>
    <n v="2491.64"/>
    <n v="246.63999999999987"/>
    <n v="0.10986191536748324"/>
  </r>
  <r>
    <x v="0"/>
    <d v="2010-02-25T00:00:00"/>
    <x v="1"/>
    <x v="0"/>
    <x v="0"/>
    <x v="5"/>
    <x v="1"/>
    <n v="139197.93"/>
    <n v="152119.04999999999"/>
    <n v="12921.119999999995"/>
    <n v="9.2825518310509336E-2"/>
  </r>
  <r>
    <x v="0"/>
    <d v="2010-02-25T00:00:00"/>
    <x v="1"/>
    <x v="0"/>
    <x v="0"/>
    <x v="6"/>
    <x v="1"/>
    <n v="731962.54"/>
    <n v="780520.99"/>
    <n v="48558.449999999953"/>
    <n v="6.6340075272157989E-2"/>
  </r>
  <r>
    <x v="0"/>
    <d v="2010-02-25T00:00:00"/>
    <x v="1"/>
    <x v="0"/>
    <x v="0"/>
    <x v="7"/>
    <x v="1"/>
    <n v="131298.91"/>
    <n v="143302.09"/>
    <n v="12003.179999999993"/>
    <n v="9.1418733026801161E-2"/>
  </r>
  <r>
    <x v="0"/>
    <d v="2010-02-25T00:00:00"/>
    <x v="1"/>
    <x v="0"/>
    <x v="0"/>
    <x v="8"/>
    <x v="1"/>
    <n v="273562.40999999997"/>
    <n v="294085.84000000003"/>
    <n v="20523.430000000051"/>
    <n v="7.5022843964563893E-2"/>
  </r>
  <r>
    <x v="0"/>
    <d v="2010-02-25T00:00:00"/>
    <x v="1"/>
    <x v="0"/>
    <x v="0"/>
    <x v="9"/>
    <x v="2"/>
    <n v="556262.94999999995"/>
    <n v="596896.75"/>
    <n v="40633.800000000047"/>
    <n v="7.3047827470803239E-2"/>
  </r>
  <r>
    <x v="0"/>
    <d v="2010-02-25T00:00:00"/>
    <x v="1"/>
    <x v="0"/>
    <x v="0"/>
    <x v="10"/>
    <x v="2"/>
    <n v="185506.28"/>
    <n v="193081.42"/>
    <n v="7575.140000000014"/>
    <n v="4.0834951787077044E-2"/>
  </r>
  <r>
    <x v="0"/>
    <d v="2010-02-25T00:00:00"/>
    <x v="1"/>
    <x v="0"/>
    <x v="0"/>
    <x v="11"/>
    <x v="2"/>
    <n v="163691"/>
    <n v="172972.05"/>
    <n v="9281.0499999999884"/>
    <n v="5.6698596746308526E-2"/>
  </r>
  <r>
    <x v="0"/>
    <d v="2010-02-25T00:00:00"/>
    <x v="1"/>
    <x v="0"/>
    <x v="0"/>
    <x v="12"/>
    <x v="2"/>
    <n v="15134.4"/>
    <n v="16735.580000000002"/>
    <n v="1601.1800000000021"/>
    <n v="0.1057973887303099"/>
  </r>
  <r>
    <x v="0"/>
    <d v="2010-02-25T00:00:00"/>
    <x v="1"/>
    <x v="0"/>
    <x v="0"/>
    <x v="26"/>
    <x v="3"/>
    <n v="20006"/>
    <n v="22442.31"/>
    <n v="2436.3100000000013"/>
    <n v="0.12177896631010704"/>
  </r>
  <r>
    <x v="0"/>
    <d v="2010-02-25T00:00:00"/>
    <x v="1"/>
    <x v="0"/>
    <x v="0"/>
    <x v="13"/>
    <x v="3"/>
    <n v="192461.89"/>
    <n v="218141.77"/>
    <n v="25679.879999999976"/>
    <n v="0.13342838938139895"/>
  </r>
  <r>
    <x v="0"/>
    <d v="2010-02-25T00:00:00"/>
    <x v="1"/>
    <x v="0"/>
    <x v="0"/>
    <x v="14"/>
    <x v="3"/>
    <n v="97786.36"/>
    <n v="113806.04"/>
    <n v="16019.679999999993"/>
    <n v="0.16382325714956558"/>
  </r>
  <r>
    <x v="0"/>
    <d v="2010-02-25T00:00:00"/>
    <x v="1"/>
    <x v="0"/>
    <x v="0"/>
    <x v="15"/>
    <x v="3"/>
    <n v="744603.9"/>
    <n v="822747.3"/>
    <n v="78143.400000000023"/>
    <n v="0.10494626740472353"/>
  </r>
  <r>
    <x v="0"/>
    <d v="2010-02-25T00:00:00"/>
    <x v="1"/>
    <x v="0"/>
    <x v="0"/>
    <x v="16"/>
    <x v="3"/>
    <n v="90469.54"/>
    <n v="102669.1"/>
    <n v="12199.560000000012"/>
    <n v="0.13484715408081011"/>
  </r>
  <r>
    <x v="0"/>
    <d v="2010-02-25T00:00:00"/>
    <x v="1"/>
    <x v="0"/>
    <x v="0"/>
    <x v="17"/>
    <x v="4"/>
    <n v="720360.39"/>
    <n v="839732.94"/>
    <n v="119372.54999999993"/>
    <n v="0.16571226244130377"/>
  </r>
  <r>
    <x v="0"/>
    <d v="2010-02-25T00:00:00"/>
    <x v="1"/>
    <x v="0"/>
    <x v="0"/>
    <x v="18"/>
    <x v="5"/>
    <n v="17073.98"/>
    <n v="37269.339999999997"/>
    <n v="20195.359999999997"/>
    <n v="1.1828150202823242"/>
  </r>
  <r>
    <x v="0"/>
    <d v="2010-02-25T00:00:00"/>
    <x v="1"/>
    <x v="0"/>
    <x v="0"/>
    <x v="19"/>
    <x v="5"/>
    <n v="5578.3"/>
    <n v="6214.14"/>
    <n v="635.84000000000015"/>
    <n v="0.11398454726350324"/>
  </r>
  <r>
    <x v="0"/>
    <d v="2010-02-25T00:00:00"/>
    <x v="1"/>
    <x v="0"/>
    <x v="0"/>
    <x v="20"/>
    <x v="5"/>
    <n v="192006.52"/>
    <n v="380226.3"/>
    <n v="188219.78"/>
    <n v="0.98027806555735719"/>
  </r>
  <r>
    <x v="0"/>
    <d v="2010-02-25T00:00:00"/>
    <x v="1"/>
    <x v="0"/>
    <x v="0"/>
    <x v="21"/>
    <x v="5"/>
    <n v="152"/>
    <n v="471.99"/>
    <n v="319.99"/>
    <n v="2.1051973684210528"/>
  </r>
  <r>
    <x v="0"/>
    <d v="2010-02-25T00:00:00"/>
    <x v="1"/>
    <x v="0"/>
    <x v="0"/>
    <x v="22"/>
    <x v="6"/>
    <n v="4563.92"/>
    <n v="5856.82"/>
    <n v="1292.8999999999996"/>
    <n v="0.28328717418359645"/>
  </r>
  <r>
    <x v="0"/>
    <d v="2010-02-25T00:00:00"/>
    <x v="1"/>
    <x v="0"/>
    <x v="0"/>
    <x v="23"/>
    <x v="6"/>
    <n v="161464.59"/>
    <n v="180083.31"/>
    <n v="18618.72"/>
    <n v="0.11531147479456642"/>
  </r>
  <r>
    <x v="0"/>
    <d v="2010-02-25T00:00:00"/>
    <x v="1"/>
    <x v="0"/>
    <x v="0"/>
    <x v="24"/>
    <x v="6"/>
    <n v="399187.35"/>
    <n v="432703.85"/>
    <n v="33516.5"/>
    <n v="8.3961828950742057E-2"/>
  </r>
  <r>
    <x v="0"/>
    <d v="2010-02-25T00:00:00"/>
    <x v="1"/>
    <x v="0"/>
    <x v="0"/>
    <x v="25"/>
    <x v="6"/>
    <n v="303607.75"/>
    <n v="322131.23"/>
    <n v="18523.479999999981"/>
    <n v="6.1011222539609021E-2"/>
  </r>
  <r>
    <x v="0"/>
    <d v="2010-02-26T00:00:00"/>
    <x v="1"/>
    <x v="0"/>
    <x v="0"/>
    <x v="0"/>
    <x v="0"/>
    <n v="16610"/>
    <n v="19573.54"/>
    <n v="2963.5400000000009"/>
    <n v="0.1784190246839254"/>
  </r>
  <r>
    <x v="0"/>
    <d v="2010-02-26T00:00:00"/>
    <x v="1"/>
    <x v="0"/>
    <x v="0"/>
    <x v="1"/>
    <x v="0"/>
    <n v="379990.91"/>
    <n v="458666.13"/>
    <n v="78675.22000000003"/>
    <n v="0.2070450053660495"/>
  </r>
  <r>
    <x v="0"/>
    <d v="2010-02-26T00:00:00"/>
    <x v="1"/>
    <x v="0"/>
    <x v="0"/>
    <x v="2"/>
    <x v="0"/>
    <n v="171432.56"/>
    <n v="193125.61"/>
    <n v="21693.049999999988"/>
    <n v="0.12653984750621461"/>
  </r>
  <r>
    <x v="0"/>
    <d v="2010-02-26T00:00:00"/>
    <x v="1"/>
    <x v="0"/>
    <x v="0"/>
    <x v="3"/>
    <x v="0"/>
    <n v="1793"/>
    <n v="2061.88"/>
    <n v="268.88000000000011"/>
    <n v="0.14996095928611272"/>
  </r>
  <r>
    <x v="0"/>
    <d v="2010-02-26T00:00:00"/>
    <x v="1"/>
    <x v="0"/>
    <x v="0"/>
    <x v="5"/>
    <x v="1"/>
    <n v="231030.34"/>
    <n v="254043.42"/>
    <n v="23013.080000000016"/>
    <n v="9.9610639883921812E-2"/>
  </r>
  <r>
    <x v="0"/>
    <d v="2010-02-26T00:00:00"/>
    <x v="1"/>
    <x v="0"/>
    <x v="0"/>
    <x v="6"/>
    <x v="1"/>
    <n v="875078.31"/>
    <n v="933154.08"/>
    <n v="58075.769999999902"/>
    <n v="6.6366368971023743E-2"/>
  </r>
  <r>
    <x v="0"/>
    <d v="2010-02-26T00:00:00"/>
    <x v="1"/>
    <x v="0"/>
    <x v="0"/>
    <x v="7"/>
    <x v="1"/>
    <n v="183271.75"/>
    <n v="196326.46"/>
    <n v="13054.709999999992"/>
    <n v="7.1231436377946905E-2"/>
  </r>
  <r>
    <x v="0"/>
    <d v="2010-02-26T00:00:00"/>
    <x v="1"/>
    <x v="0"/>
    <x v="0"/>
    <x v="8"/>
    <x v="1"/>
    <n v="346553.17"/>
    <n v="370609.15"/>
    <n v="24055.98000000004"/>
    <n v="6.9414976062692021E-2"/>
  </r>
  <r>
    <x v="0"/>
    <d v="2010-02-26T00:00:00"/>
    <x v="1"/>
    <x v="0"/>
    <x v="0"/>
    <x v="9"/>
    <x v="2"/>
    <n v="761982.41"/>
    <n v="823836.68"/>
    <n v="61854.270000000019"/>
    <n v="8.1175456530551693E-2"/>
  </r>
  <r>
    <x v="0"/>
    <d v="2010-02-26T00:00:00"/>
    <x v="1"/>
    <x v="0"/>
    <x v="0"/>
    <x v="10"/>
    <x v="2"/>
    <n v="356954"/>
    <n v="369740.64"/>
    <n v="12786.640000000014"/>
    <n v="3.5821534427405252E-2"/>
  </r>
  <r>
    <x v="0"/>
    <d v="2010-02-26T00:00:00"/>
    <x v="1"/>
    <x v="0"/>
    <x v="0"/>
    <x v="11"/>
    <x v="2"/>
    <n v="223403.99"/>
    <n v="237031.66"/>
    <n v="13627.670000000013"/>
    <n v="6.1000119111570092E-2"/>
  </r>
  <r>
    <x v="0"/>
    <d v="2010-02-26T00:00:00"/>
    <x v="1"/>
    <x v="0"/>
    <x v="0"/>
    <x v="12"/>
    <x v="2"/>
    <n v="62433.2"/>
    <n v="63228.81"/>
    <n v="795.61000000000058"/>
    <n v="1.2743380124677265E-2"/>
  </r>
  <r>
    <x v="0"/>
    <d v="2010-02-26T00:00:00"/>
    <x v="1"/>
    <x v="0"/>
    <x v="0"/>
    <x v="26"/>
    <x v="3"/>
    <n v="17191"/>
    <n v="19344.14"/>
    <n v="2153.1399999999994"/>
    <n v="0.12524809493339534"/>
  </r>
  <r>
    <x v="0"/>
    <d v="2010-02-26T00:00:00"/>
    <x v="1"/>
    <x v="0"/>
    <x v="0"/>
    <x v="13"/>
    <x v="3"/>
    <n v="272519.43"/>
    <n v="309377.75"/>
    <n v="36858.320000000007"/>
    <n v="0.13525024619345494"/>
  </r>
  <r>
    <x v="0"/>
    <d v="2010-02-26T00:00:00"/>
    <x v="1"/>
    <x v="0"/>
    <x v="0"/>
    <x v="14"/>
    <x v="3"/>
    <n v="97920.41"/>
    <n v="113738.34"/>
    <n v="15817.929999999993"/>
    <n v="0.16153864143338445"/>
  </r>
  <r>
    <x v="0"/>
    <d v="2010-02-26T00:00:00"/>
    <x v="1"/>
    <x v="0"/>
    <x v="0"/>
    <x v="15"/>
    <x v="3"/>
    <n v="1027577.89"/>
    <n v="1130670.98"/>
    <n v="103093.08999999997"/>
    <n v="0.1003263022718404"/>
  </r>
  <r>
    <x v="0"/>
    <d v="2010-02-26T00:00:00"/>
    <x v="1"/>
    <x v="0"/>
    <x v="0"/>
    <x v="16"/>
    <x v="3"/>
    <n v="147779.1"/>
    <n v="167064.19"/>
    <n v="19285.089999999997"/>
    <n v="0.13049944139597544"/>
  </r>
  <r>
    <x v="0"/>
    <d v="2010-02-26T00:00:00"/>
    <x v="1"/>
    <x v="0"/>
    <x v="0"/>
    <x v="17"/>
    <x v="4"/>
    <n v="1052790.9099999999"/>
    <n v="1210235.52"/>
    <n v="157444.6100000001"/>
    <n v="0.14954974297792914"/>
  </r>
  <r>
    <x v="0"/>
    <d v="2010-02-26T00:00:00"/>
    <x v="1"/>
    <x v="0"/>
    <x v="0"/>
    <x v="18"/>
    <x v="5"/>
    <n v="19954.71"/>
    <n v="43545.24"/>
    <n v="23590.53"/>
    <n v="1.1822036000523184"/>
  </r>
  <r>
    <x v="0"/>
    <d v="2010-02-26T00:00:00"/>
    <x v="1"/>
    <x v="0"/>
    <x v="0"/>
    <x v="19"/>
    <x v="5"/>
    <n v="9678.9"/>
    <n v="10783.42"/>
    <n v="1104.5200000000004"/>
    <n v="0.11411627354348124"/>
  </r>
  <r>
    <x v="0"/>
    <d v="2010-02-26T00:00:00"/>
    <x v="1"/>
    <x v="0"/>
    <x v="0"/>
    <x v="20"/>
    <x v="5"/>
    <n v="202521.66"/>
    <n v="399552.87"/>
    <n v="197031.21"/>
    <n v="0.97288956647896319"/>
  </r>
  <r>
    <x v="0"/>
    <d v="2010-02-26T00:00:00"/>
    <x v="1"/>
    <x v="0"/>
    <x v="0"/>
    <x v="21"/>
    <x v="5"/>
    <n v="209"/>
    <n v="648.98"/>
    <n v="439.98"/>
    <n v="2.1051674641148326"/>
  </r>
  <r>
    <x v="0"/>
    <d v="2010-02-26T00:00:00"/>
    <x v="1"/>
    <x v="0"/>
    <x v="0"/>
    <x v="22"/>
    <x v="6"/>
    <n v="4828.32"/>
    <n v="6170.37"/>
    <n v="1342.0500000000002"/>
    <n v="0.27795382244755945"/>
  </r>
  <r>
    <x v="0"/>
    <d v="2010-02-26T00:00:00"/>
    <x v="1"/>
    <x v="0"/>
    <x v="0"/>
    <x v="23"/>
    <x v="6"/>
    <n v="227563.67"/>
    <n v="254126.67"/>
    <n v="26563"/>
    <n v="0.11672777117718307"/>
  </r>
  <r>
    <x v="0"/>
    <d v="2010-02-26T00:00:00"/>
    <x v="1"/>
    <x v="0"/>
    <x v="0"/>
    <x v="24"/>
    <x v="6"/>
    <n v="561308.91"/>
    <n v="602028.07999999996"/>
    <n v="40719.169999999925"/>
    <n v="7.2543245394055697E-2"/>
  </r>
  <r>
    <x v="0"/>
    <d v="2010-02-26T00:00:00"/>
    <x v="1"/>
    <x v="0"/>
    <x v="0"/>
    <x v="25"/>
    <x v="6"/>
    <n v="426845.68"/>
    <n v="453796.39"/>
    <n v="26950.710000000021"/>
    <n v="6.3139235706918762E-2"/>
  </r>
  <r>
    <x v="0"/>
    <d v="2010-02-27T00:00:00"/>
    <x v="1"/>
    <x v="0"/>
    <x v="0"/>
    <x v="0"/>
    <x v="0"/>
    <n v="13833"/>
    <n v="15688.08"/>
    <n v="1855.08"/>
    <n v="0.13410540013012362"/>
  </r>
  <r>
    <x v="0"/>
    <d v="2010-02-27T00:00:00"/>
    <x v="1"/>
    <x v="0"/>
    <x v="0"/>
    <x v="1"/>
    <x v="0"/>
    <n v="521829.37"/>
    <n v="625422.68999999994"/>
    <n v="103593.31999999995"/>
    <n v="0.19851952756127919"/>
  </r>
  <r>
    <x v="0"/>
    <d v="2010-02-27T00:00:00"/>
    <x v="1"/>
    <x v="0"/>
    <x v="0"/>
    <x v="2"/>
    <x v="0"/>
    <n v="186159.65"/>
    <n v="207678.93"/>
    <n v="21519.279999999999"/>
    <n v="0.11559583400591911"/>
  </r>
  <r>
    <x v="0"/>
    <d v="2010-02-27T00:00:00"/>
    <x v="1"/>
    <x v="0"/>
    <x v="0"/>
    <x v="3"/>
    <x v="0"/>
    <n v="1871"/>
    <n v="2030.31"/>
    <n v="159.30999999999995"/>
    <n v="8.5146980224478863E-2"/>
  </r>
  <r>
    <x v="0"/>
    <d v="2010-02-27T00:00:00"/>
    <x v="1"/>
    <x v="0"/>
    <x v="0"/>
    <x v="5"/>
    <x v="1"/>
    <n v="347203.69"/>
    <n v="378908.57"/>
    <n v="31704.880000000005"/>
    <n v="9.1314928133396298E-2"/>
  </r>
  <r>
    <x v="0"/>
    <d v="2010-02-27T00:00:00"/>
    <x v="1"/>
    <x v="0"/>
    <x v="0"/>
    <x v="6"/>
    <x v="1"/>
    <n v="1020902.61"/>
    <n v="1092157.3400000001"/>
    <n v="71254.730000000098"/>
    <n v="6.9795815293292374E-2"/>
  </r>
  <r>
    <x v="0"/>
    <d v="2010-02-27T00:00:00"/>
    <x v="1"/>
    <x v="0"/>
    <x v="0"/>
    <x v="7"/>
    <x v="1"/>
    <n v="180597.07"/>
    <n v="197712.05"/>
    <n v="17114.979999999981"/>
    <n v="9.4768868620072194E-2"/>
  </r>
  <r>
    <x v="0"/>
    <d v="2010-02-27T00:00:00"/>
    <x v="1"/>
    <x v="0"/>
    <x v="0"/>
    <x v="8"/>
    <x v="1"/>
    <n v="445883.46"/>
    <n v="475193.37"/>
    <n v="29309.909999999974"/>
    <n v="6.5734463440289922E-2"/>
  </r>
  <r>
    <x v="0"/>
    <d v="2010-02-27T00:00:00"/>
    <x v="1"/>
    <x v="0"/>
    <x v="0"/>
    <x v="9"/>
    <x v="2"/>
    <n v="770041.4"/>
    <n v="826741.98"/>
    <n v="56700.579999999958"/>
    <n v="7.3633157905535929E-2"/>
  </r>
  <r>
    <x v="0"/>
    <d v="2010-02-27T00:00:00"/>
    <x v="1"/>
    <x v="0"/>
    <x v="0"/>
    <x v="10"/>
    <x v="2"/>
    <n v="330115.84000000003"/>
    <n v="343403.7"/>
    <n v="13287.859999999986"/>
    <n v="4.0252112712919154E-2"/>
  </r>
  <r>
    <x v="0"/>
    <d v="2010-02-27T00:00:00"/>
    <x v="1"/>
    <x v="0"/>
    <x v="0"/>
    <x v="11"/>
    <x v="2"/>
    <n v="274616.99"/>
    <n v="291530.03000000003"/>
    <n v="16913.040000000037"/>
    <n v="6.1587740802198865E-2"/>
  </r>
  <r>
    <x v="0"/>
    <d v="2010-02-27T00:00:00"/>
    <x v="1"/>
    <x v="0"/>
    <x v="0"/>
    <x v="12"/>
    <x v="2"/>
    <n v="24993.200000000001"/>
    <n v="25514.39"/>
    <n v="521.18999999999869"/>
    <n v="2.085327209000843E-2"/>
  </r>
  <r>
    <x v="0"/>
    <d v="2010-02-27T00:00:00"/>
    <x v="1"/>
    <x v="0"/>
    <x v="0"/>
    <x v="26"/>
    <x v="3"/>
    <n v="30251"/>
    <n v="33757.410000000003"/>
    <n v="3506.4100000000035"/>
    <n v="0.11591054841162288"/>
  </r>
  <r>
    <x v="0"/>
    <d v="2010-02-27T00:00:00"/>
    <x v="1"/>
    <x v="0"/>
    <x v="0"/>
    <x v="13"/>
    <x v="3"/>
    <n v="417673.89"/>
    <n v="474399.94"/>
    <n v="56726.049999999988"/>
    <n v="0.135814211417429"/>
  </r>
  <r>
    <x v="0"/>
    <d v="2010-02-27T00:00:00"/>
    <x v="1"/>
    <x v="0"/>
    <x v="0"/>
    <x v="14"/>
    <x v="3"/>
    <n v="275586.89"/>
    <n v="298797.44"/>
    <n v="23210.549999999988"/>
    <n v="8.4222257452087029E-2"/>
  </r>
  <r>
    <x v="0"/>
    <d v="2010-02-27T00:00:00"/>
    <x v="1"/>
    <x v="0"/>
    <x v="0"/>
    <x v="15"/>
    <x v="3"/>
    <n v="1169548.9099999999"/>
    <n v="1281555.27"/>
    <n v="112006.3600000001"/>
    <n v="9.576885501949646E-2"/>
  </r>
  <r>
    <x v="0"/>
    <d v="2010-02-27T00:00:00"/>
    <x v="1"/>
    <x v="0"/>
    <x v="0"/>
    <x v="16"/>
    <x v="3"/>
    <n v="204069.04"/>
    <n v="230417.57"/>
    <n v="26348.53"/>
    <n v="0.12911576395909932"/>
  </r>
  <r>
    <x v="0"/>
    <d v="2010-02-27T00:00:00"/>
    <x v="1"/>
    <x v="0"/>
    <x v="0"/>
    <x v="17"/>
    <x v="4"/>
    <n v="1017193.7"/>
    <n v="1220667.25"/>
    <n v="203473.55000000005"/>
    <n v="0.20003422160400725"/>
  </r>
  <r>
    <x v="0"/>
    <d v="2010-02-27T00:00:00"/>
    <x v="1"/>
    <x v="0"/>
    <x v="0"/>
    <x v="18"/>
    <x v="5"/>
    <n v="17522.990000000002"/>
    <n v="38948.769999999997"/>
    <n v="21425.779999999995"/>
    <n v="1.2227239757598443"/>
  </r>
  <r>
    <x v="0"/>
    <d v="2010-02-27T00:00:00"/>
    <x v="1"/>
    <x v="0"/>
    <x v="0"/>
    <x v="19"/>
    <x v="5"/>
    <n v="7866.6"/>
    <n v="8764.5"/>
    <n v="897.89999999999964"/>
    <n v="0.11414079780337116"/>
  </r>
  <r>
    <x v="0"/>
    <d v="2010-02-27T00:00:00"/>
    <x v="1"/>
    <x v="0"/>
    <x v="0"/>
    <x v="20"/>
    <x v="5"/>
    <n v="261118.86"/>
    <n v="517472.77"/>
    <n v="256353.91000000003"/>
    <n v="0.98175179686369662"/>
  </r>
  <r>
    <x v="0"/>
    <d v="2010-02-27T00:00:00"/>
    <x v="1"/>
    <x v="0"/>
    <x v="0"/>
    <x v="21"/>
    <x v="5"/>
    <n v="152"/>
    <n v="471.75"/>
    <n v="319.75"/>
    <n v="2.1036184210526314"/>
  </r>
  <r>
    <x v="0"/>
    <d v="2010-02-27T00:00:00"/>
    <x v="1"/>
    <x v="0"/>
    <x v="0"/>
    <x v="22"/>
    <x v="6"/>
    <n v="5754.16"/>
    <n v="7483.28"/>
    <n v="1729.12"/>
    <n v="0.30049911716045435"/>
  </r>
  <r>
    <x v="0"/>
    <d v="2010-02-27T00:00:00"/>
    <x v="1"/>
    <x v="0"/>
    <x v="0"/>
    <x v="23"/>
    <x v="6"/>
    <n v="315371.5"/>
    <n v="346482.05"/>
    <n v="31110.549999999988"/>
    <n v="9.8647309601533395E-2"/>
  </r>
  <r>
    <x v="0"/>
    <d v="2010-02-27T00:00:00"/>
    <x v="1"/>
    <x v="0"/>
    <x v="0"/>
    <x v="24"/>
    <x v="6"/>
    <n v="630647.32999999996"/>
    <n v="678466.08"/>
    <n v="47818.75"/>
    <n v="7.5824867125022163E-2"/>
  </r>
  <r>
    <x v="0"/>
    <d v="2010-02-27T00:00:00"/>
    <x v="1"/>
    <x v="0"/>
    <x v="0"/>
    <x v="25"/>
    <x v="6"/>
    <n v="567505.80000000005"/>
    <n v="606323.47"/>
    <n v="38817.669999999925"/>
    <n v="6.8400481545739134E-2"/>
  </r>
  <r>
    <x v="0"/>
    <d v="2010-02-28T00:00:00"/>
    <x v="2"/>
    <x v="0"/>
    <x v="0"/>
    <x v="0"/>
    <x v="0"/>
    <n v="13628"/>
    <n v="16107.02"/>
    <n v="2479.0200000000004"/>
    <n v="0.18190636923980044"/>
  </r>
  <r>
    <x v="0"/>
    <d v="2010-02-28T00:00:00"/>
    <x v="2"/>
    <x v="0"/>
    <x v="0"/>
    <x v="1"/>
    <x v="0"/>
    <n v="384121.62"/>
    <n v="477150.62"/>
    <n v="93029"/>
    <n v="0.24218631588609879"/>
  </r>
  <r>
    <x v="0"/>
    <d v="2010-02-28T00:00:00"/>
    <x v="2"/>
    <x v="0"/>
    <x v="0"/>
    <x v="2"/>
    <x v="0"/>
    <n v="170422.8"/>
    <n v="192262.52"/>
    <n v="21839.72"/>
    <n v="0.12815022403105689"/>
  </r>
  <r>
    <x v="0"/>
    <d v="2010-02-28T00:00:00"/>
    <x v="2"/>
    <x v="0"/>
    <x v="0"/>
    <x v="3"/>
    <x v="0"/>
    <n v="3316"/>
    <n v="3811.92"/>
    <n v="495.92000000000007"/>
    <n v="0.14955367913148374"/>
  </r>
  <r>
    <x v="0"/>
    <d v="2010-02-28T00:00:00"/>
    <x v="2"/>
    <x v="0"/>
    <x v="0"/>
    <x v="5"/>
    <x v="1"/>
    <n v="271932.99"/>
    <n v="299806.46999999997"/>
    <n v="27873.479999999981"/>
    <n v="0.10250128165766126"/>
  </r>
  <r>
    <x v="0"/>
    <d v="2010-02-28T00:00:00"/>
    <x v="2"/>
    <x v="0"/>
    <x v="0"/>
    <x v="6"/>
    <x v="1"/>
    <n v="886450"/>
    <n v="954868.46"/>
    <n v="68418.459999999963"/>
    <n v="7.7182537086130029E-2"/>
  </r>
  <r>
    <x v="0"/>
    <d v="2010-02-28T00:00:00"/>
    <x v="2"/>
    <x v="0"/>
    <x v="0"/>
    <x v="7"/>
    <x v="1"/>
    <n v="138097"/>
    <n v="149468.76999999999"/>
    <n v="11371.76999999999"/>
    <n v="8.2346249375438926E-2"/>
  </r>
  <r>
    <x v="0"/>
    <d v="2010-02-28T00:00:00"/>
    <x v="2"/>
    <x v="0"/>
    <x v="0"/>
    <x v="8"/>
    <x v="1"/>
    <n v="395878"/>
    <n v="424522.5"/>
    <n v="28644.5"/>
    <n v="7.2356887728037431E-2"/>
  </r>
  <r>
    <x v="0"/>
    <d v="2010-02-28T00:00:00"/>
    <x v="2"/>
    <x v="0"/>
    <x v="0"/>
    <x v="9"/>
    <x v="2"/>
    <n v="498169.42"/>
    <n v="538846.13"/>
    <n v="40676.710000000021"/>
    <n v="8.1652362362988923E-2"/>
  </r>
  <r>
    <x v="0"/>
    <d v="2010-02-28T00:00:00"/>
    <x v="2"/>
    <x v="0"/>
    <x v="0"/>
    <x v="10"/>
    <x v="2"/>
    <n v="226196.59"/>
    <n v="237541.01"/>
    <n v="11344.420000000013"/>
    <n v="5.0152922287643738E-2"/>
  </r>
  <r>
    <x v="0"/>
    <d v="2010-02-28T00:00:00"/>
    <x v="2"/>
    <x v="0"/>
    <x v="0"/>
    <x v="11"/>
    <x v="2"/>
    <n v="201623.99"/>
    <n v="215317.28"/>
    <n v="13693.290000000008"/>
    <n v="6.7914983727878853E-2"/>
  </r>
  <r>
    <x v="0"/>
    <d v="2010-02-28T00:00:00"/>
    <x v="2"/>
    <x v="0"/>
    <x v="0"/>
    <x v="12"/>
    <x v="2"/>
    <n v="16439.8"/>
    <n v="16850.490000000002"/>
    <n v="410.69000000000233"/>
    <n v="2.4981447462864653E-2"/>
  </r>
  <r>
    <x v="0"/>
    <d v="2010-02-28T00:00:00"/>
    <x v="2"/>
    <x v="0"/>
    <x v="0"/>
    <x v="26"/>
    <x v="3"/>
    <n v="17875"/>
    <n v="19979.689999999999"/>
    <n v="2104.6899999999987"/>
    <n v="0.11774489510489503"/>
  </r>
  <r>
    <x v="0"/>
    <d v="2010-02-28T00:00:00"/>
    <x v="2"/>
    <x v="0"/>
    <x v="0"/>
    <x v="13"/>
    <x v="3"/>
    <n v="268971.65000000002"/>
    <n v="305413.46999999997"/>
    <n v="36441.819999999949"/>
    <n v="0.13548572870040373"/>
  </r>
  <r>
    <x v="0"/>
    <d v="2010-02-28T00:00:00"/>
    <x v="2"/>
    <x v="0"/>
    <x v="0"/>
    <x v="14"/>
    <x v="3"/>
    <n v="126422.78"/>
    <n v="144243.87"/>
    <n v="17821.089999999997"/>
    <n v="0.14096423128806373"/>
  </r>
  <r>
    <x v="0"/>
    <d v="2010-02-28T00:00:00"/>
    <x v="2"/>
    <x v="0"/>
    <x v="0"/>
    <x v="15"/>
    <x v="3"/>
    <n v="893624.03"/>
    <n v="984380.96"/>
    <n v="90756.929999999935"/>
    <n v="0.10156052987966308"/>
  </r>
  <r>
    <x v="0"/>
    <d v="2010-02-28T00:00:00"/>
    <x v="2"/>
    <x v="0"/>
    <x v="0"/>
    <x v="16"/>
    <x v="3"/>
    <n v="148000.48000000001"/>
    <n v="166432.35999999999"/>
    <n v="18431.879999999976"/>
    <n v="0.12453932581840257"/>
  </r>
  <r>
    <x v="0"/>
    <d v="2010-02-28T00:00:00"/>
    <x v="2"/>
    <x v="0"/>
    <x v="0"/>
    <x v="17"/>
    <x v="4"/>
    <n v="732357.92"/>
    <n v="895548.79"/>
    <n v="163190.87"/>
    <n v="0.22282939194540285"/>
  </r>
  <r>
    <x v="0"/>
    <d v="2010-02-28T00:00:00"/>
    <x v="2"/>
    <x v="0"/>
    <x v="0"/>
    <x v="18"/>
    <x v="5"/>
    <n v="10304.700000000001"/>
    <n v="22079.52"/>
    <n v="11774.82"/>
    <n v="1.1426649975254008"/>
  </r>
  <r>
    <x v="0"/>
    <d v="2010-02-28T00:00:00"/>
    <x v="2"/>
    <x v="0"/>
    <x v="0"/>
    <x v="19"/>
    <x v="5"/>
    <n v="5517.4"/>
    <n v="6147.46"/>
    <n v="630.0600000000004"/>
    <n v="0.11419509189110821"/>
  </r>
  <r>
    <x v="0"/>
    <d v="2010-02-28T00:00:00"/>
    <x v="2"/>
    <x v="0"/>
    <x v="0"/>
    <x v="20"/>
    <x v="5"/>
    <n v="230156.25"/>
    <n v="444247.42"/>
    <n v="214091.16999999998"/>
    <n v="0.93019924507807195"/>
  </r>
  <r>
    <x v="0"/>
    <d v="2010-02-28T00:00:00"/>
    <x v="2"/>
    <x v="0"/>
    <x v="0"/>
    <x v="21"/>
    <x v="5"/>
    <n v="38"/>
    <n v="118"/>
    <n v="80"/>
    <n v="2.1052631578947367"/>
  </r>
  <r>
    <x v="0"/>
    <d v="2010-02-28T00:00:00"/>
    <x v="2"/>
    <x v="0"/>
    <x v="0"/>
    <x v="22"/>
    <x v="6"/>
    <n v="5485.6"/>
    <n v="7054.31"/>
    <n v="1568.71"/>
    <n v="0.28596871809829372"/>
  </r>
  <r>
    <x v="0"/>
    <d v="2010-02-28T00:00:00"/>
    <x v="2"/>
    <x v="0"/>
    <x v="0"/>
    <x v="23"/>
    <x v="6"/>
    <n v="297810.48"/>
    <n v="322662.28999999998"/>
    <n v="24851.809999999998"/>
    <n v="8.3448406516788795E-2"/>
  </r>
  <r>
    <x v="0"/>
    <d v="2010-02-28T00:00:00"/>
    <x v="2"/>
    <x v="0"/>
    <x v="0"/>
    <x v="24"/>
    <x v="6"/>
    <n v="546210.89"/>
    <n v="585613.52"/>
    <n v="39402.630000000005"/>
    <n v="7.2138125990128102E-2"/>
  </r>
  <r>
    <x v="0"/>
    <d v="2010-02-28T00:00:00"/>
    <x v="2"/>
    <x v="0"/>
    <x v="0"/>
    <x v="25"/>
    <x v="6"/>
    <n v="531187.43000000005"/>
    <n v="566536.48"/>
    <n v="35349.04999999993"/>
    <n v="6.6547226089291922E-2"/>
  </r>
  <r>
    <x v="0"/>
    <d v="2010-03-01T00:00:00"/>
    <x v="2"/>
    <x v="1"/>
    <x v="0"/>
    <x v="0"/>
    <x v="0"/>
    <n v="8316"/>
    <n v="9891.85"/>
    <n v="1575.8500000000004"/>
    <n v="0.18949615199615205"/>
  </r>
  <r>
    <x v="0"/>
    <d v="2010-03-01T00:00:00"/>
    <x v="2"/>
    <x v="1"/>
    <x v="0"/>
    <x v="1"/>
    <x v="0"/>
    <n v="320200.55"/>
    <n v="393798.01"/>
    <n v="73597.460000000021"/>
    <n v="0.2298480124409531"/>
  </r>
  <r>
    <x v="0"/>
    <d v="2010-03-01T00:00:00"/>
    <x v="2"/>
    <x v="1"/>
    <x v="0"/>
    <x v="2"/>
    <x v="0"/>
    <n v="131559.66"/>
    <n v="148146.32999999999"/>
    <n v="16586.669999999984"/>
    <n v="0.12607717289631171"/>
  </r>
  <r>
    <x v="0"/>
    <d v="2010-03-01T00:00:00"/>
    <x v="2"/>
    <x v="1"/>
    <x v="0"/>
    <x v="3"/>
    <x v="0"/>
    <n v="2149"/>
    <n v="2471.92"/>
    <n v="322.92000000000007"/>
    <n v="0.15026523964634717"/>
  </r>
  <r>
    <x v="0"/>
    <d v="2010-03-01T00:00:00"/>
    <x v="2"/>
    <x v="1"/>
    <x v="0"/>
    <x v="4"/>
    <x v="0"/>
    <n v="1512"/>
    <n v="1739"/>
    <n v="227"/>
    <n v="0.15013227513227514"/>
  </r>
  <r>
    <x v="0"/>
    <d v="2010-03-01T00:00:00"/>
    <x v="2"/>
    <x v="1"/>
    <x v="0"/>
    <x v="5"/>
    <x v="1"/>
    <n v="436341.51"/>
    <n v="462894.58"/>
    <n v="26553.070000000007"/>
    <n v="6.085387108826755E-2"/>
  </r>
  <r>
    <x v="0"/>
    <d v="2010-03-01T00:00:00"/>
    <x v="2"/>
    <x v="1"/>
    <x v="0"/>
    <x v="6"/>
    <x v="1"/>
    <n v="778942.91"/>
    <n v="825651.52"/>
    <n v="46708.609999999986"/>
    <n v="5.9964099294516952E-2"/>
  </r>
  <r>
    <x v="0"/>
    <d v="2010-03-01T00:00:00"/>
    <x v="2"/>
    <x v="1"/>
    <x v="0"/>
    <x v="7"/>
    <x v="1"/>
    <n v="110758.45"/>
    <n v="120605.06"/>
    <n v="9846.61"/>
    <n v="8.8901659421922213E-2"/>
  </r>
  <r>
    <x v="0"/>
    <d v="2010-03-01T00:00:00"/>
    <x v="2"/>
    <x v="1"/>
    <x v="0"/>
    <x v="8"/>
    <x v="1"/>
    <n v="301966.59000000003"/>
    <n v="321419.19"/>
    <n v="19452.599999999977"/>
    <n v="6.4419709478455794E-2"/>
  </r>
  <r>
    <x v="0"/>
    <d v="2010-03-01T00:00:00"/>
    <x v="2"/>
    <x v="1"/>
    <x v="0"/>
    <x v="9"/>
    <x v="2"/>
    <n v="407780.47"/>
    <n v="433262.74"/>
    <n v="25482.270000000019"/>
    <n v="6.249016781014554E-2"/>
  </r>
  <r>
    <x v="0"/>
    <d v="2010-03-01T00:00:00"/>
    <x v="2"/>
    <x v="1"/>
    <x v="0"/>
    <x v="10"/>
    <x v="2"/>
    <n v="198548.5"/>
    <n v="206672.65"/>
    <n v="8124.1499999999942"/>
    <n v="4.0917710282374301E-2"/>
  </r>
  <r>
    <x v="0"/>
    <d v="2010-03-01T00:00:00"/>
    <x v="2"/>
    <x v="1"/>
    <x v="0"/>
    <x v="11"/>
    <x v="2"/>
    <n v="176819"/>
    <n v="187228.47"/>
    <n v="10409.470000000001"/>
    <n v="5.8870766150696481E-2"/>
  </r>
  <r>
    <x v="0"/>
    <d v="2010-03-01T00:00:00"/>
    <x v="2"/>
    <x v="1"/>
    <x v="0"/>
    <x v="12"/>
    <x v="2"/>
    <n v="12335"/>
    <n v="12565.79"/>
    <n v="230.79000000000087"/>
    <n v="1.8710174300770238E-2"/>
  </r>
  <r>
    <x v="0"/>
    <d v="2010-03-01T00:00:00"/>
    <x v="2"/>
    <x v="1"/>
    <x v="0"/>
    <x v="26"/>
    <x v="3"/>
    <n v="17996"/>
    <n v="20066.580000000002"/>
    <n v="2070.5800000000017"/>
    <n v="0.11505779062013791"/>
  </r>
  <r>
    <x v="0"/>
    <d v="2010-03-01T00:00:00"/>
    <x v="2"/>
    <x v="1"/>
    <x v="0"/>
    <x v="13"/>
    <x v="3"/>
    <n v="238156.37"/>
    <n v="270248.96999999997"/>
    <n v="32092.599999999977"/>
    <n v="0.13475432128899167"/>
  </r>
  <r>
    <x v="0"/>
    <d v="2010-03-01T00:00:00"/>
    <x v="2"/>
    <x v="1"/>
    <x v="0"/>
    <x v="14"/>
    <x v="3"/>
    <n v="150617.34"/>
    <n v="163279.37"/>
    <n v="12662.029999999999"/>
    <n v="8.4067544945356218E-2"/>
  </r>
  <r>
    <x v="0"/>
    <d v="2010-03-01T00:00:00"/>
    <x v="2"/>
    <x v="1"/>
    <x v="0"/>
    <x v="15"/>
    <x v="3"/>
    <n v="721656.6"/>
    <n v="784985"/>
    <n v="63328.400000000023"/>
    <n v="8.7754203314983917E-2"/>
  </r>
  <r>
    <x v="0"/>
    <d v="2010-03-01T00:00:00"/>
    <x v="2"/>
    <x v="1"/>
    <x v="0"/>
    <x v="16"/>
    <x v="3"/>
    <n v="127359.48"/>
    <n v="143474.51"/>
    <n v="16115.030000000013"/>
    <n v="0.1265318451363025"/>
  </r>
  <r>
    <x v="0"/>
    <d v="2010-03-01T00:00:00"/>
    <x v="2"/>
    <x v="1"/>
    <x v="0"/>
    <x v="17"/>
    <x v="4"/>
    <n v="698705.27"/>
    <n v="831774.8"/>
    <n v="133069.53000000003"/>
    <n v="0.19045159055405439"/>
  </r>
  <r>
    <x v="0"/>
    <d v="2010-03-01T00:00:00"/>
    <x v="2"/>
    <x v="1"/>
    <x v="0"/>
    <x v="18"/>
    <x v="5"/>
    <n v="6577.92"/>
    <n v="14349.78"/>
    <n v="7771.8600000000006"/>
    <n v="1.1815072241681261"/>
  </r>
  <r>
    <x v="0"/>
    <d v="2010-03-01T00:00:00"/>
    <x v="2"/>
    <x v="1"/>
    <x v="0"/>
    <x v="19"/>
    <x v="5"/>
    <n v="1881.6"/>
    <n v="2096.33"/>
    <n v="214.73000000000002"/>
    <n v="0.11412096088435375"/>
  </r>
  <r>
    <x v="0"/>
    <d v="2010-03-01T00:00:00"/>
    <x v="2"/>
    <x v="1"/>
    <x v="0"/>
    <x v="20"/>
    <x v="5"/>
    <n v="193535.6"/>
    <n v="371485.45"/>
    <n v="177949.85"/>
    <n v="0.91946830453931994"/>
  </r>
  <r>
    <x v="0"/>
    <d v="2010-03-01T00:00:00"/>
    <x v="2"/>
    <x v="1"/>
    <x v="0"/>
    <x v="21"/>
    <x v="5"/>
    <n v="114"/>
    <n v="353.87"/>
    <n v="239.87"/>
    <n v="2.1041228070175437"/>
  </r>
  <r>
    <x v="0"/>
    <d v="2010-03-01T00:00:00"/>
    <x v="2"/>
    <x v="1"/>
    <x v="0"/>
    <x v="22"/>
    <x v="6"/>
    <n v="4468.2"/>
    <n v="5702.85"/>
    <n v="1234.6500000000005"/>
    <n v="0.2763193232174031"/>
  </r>
  <r>
    <x v="0"/>
    <d v="2010-03-01T00:00:00"/>
    <x v="2"/>
    <x v="1"/>
    <x v="0"/>
    <x v="23"/>
    <x v="6"/>
    <n v="207416.08"/>
    <n v="222729.08"/>
    <n v="15313"/>
    <n v="7.3827448672253382E-2"/>
  </r>
  <r>
    <x v="0"/>
    <d v="2010-03-01T00:00:00"/>
    <x v="2"/>
    <x v="1"/>
    <x v="0"/>
    <x v="24"/>
    <x v="6"/>
    <n v="424705.39"/>
    <n v="457325.1"/>
    <n v="32619.709999999963"/>
    <n v="7.6805500396404103E-2"/>
  </r>
  <r>
    <x v="0"/>
    <d v="2010-03-01T00:00:00"/>
    <x v="2"/>
    <x v="1"/>
    <x v="0"/>
    <x v="25"/>
    <x v="6"/>
    <n v="363894.68"/>
    <n v="385200.6"/>
    <n v="21305.919999999984"/>
    <n v="5.8549688058094129E-2"/>
  </r>
  <r>
    <x v="0"/>
    <d v="2010-03-02T00:00:00"/>
    <x v="2"/>
    <x v="1"/>
    <x v="0"/>
    <x v="0"/>
    <x v="0"/>
    <n v="9156.36"/>
    <n v="11042.82"/>
    <n v="1886.4599999999991"/>
    <n v="0.20602728595205944"/>
  </r>
  <r>
    <x v="0"/>
    <d v="2010-03-02T00:00:00"/>
    <x v="2"/>
    <x v="1"/>
    <x v="0"/>
    <x v="1"/>
    <x v="0"/>
    <n v="316567.18"/>
    <n v="383470.95"/>
    <n v="66903.770000000019"/>
    <n v="0.21134145997067674"/>
  </r>
  <r>
    <x v="0"/>
    <d v="2010-03-02T00:00:00"/>
    <x v="2"/>
    <x v="1"/>
    <x v="0"/>
    <x v="2"/>
    <x v="0"/>
    <n v="166826.54"/>
    <n v="186855.02"/>
    <n v="20028.479999999981"/>
    <n v="0.1200557177533022"/>
  </r>
  <r>
    <x v="0"/>
    <d v="2010-03-02T00:00:00"/>
    <x v="2"/>
    <x v="1"/>
    <x v="0"/>
    <x v="3"/>
    <x v="0"/>
    <n v="309"/>
    <n v="313.86"/>
    <n v="4.8600000000000136"/>
    <n v="1.5728155339805868E-2"/>
  </r>
  <r>
    <x v="0"/>
    <d v="2010-03-02T00:00:00"/>
    <x v="2"/>
    <x v="1"/>
    <x v="0"/>
    <x v="5"/>
    <x v="1"/>
    <n v="216064.82"/>
    <n v="239550.99"/>
    <n v="23486.169999999984"/>
    <n v="0.10869964855916842"/>
  </r>
  <r>
    <x v="0"/>
    <d v="2010-03-02T00:00:00"/>
    <x v="2"/>
    <x v="1"/>
    <x v="0"/>
    <x v="6"/>
    <x v="1"/>
    <n v="792596.97"/>
    <n v="846778.35"/>
    <n v="54181.380000000005"/>
    <n v="6.8359307505301226E-2"/>
  </r>
  <r>
    <x v="0"/>
    <d v="2010-03-02T00:00:00"/>
    <x v="2"/>
    <x v="1"/>
    <x v="0"/>
    <x v="7"/>
    <x v="1"/>
    <n v="144933.9"/>
    <n v="157815.21"/>
    <n v="12881.309999999998"/>
    <n v="8.8877136404940452E-2"/>
  </r>
  <r>
    <x v="0"/>
    <d v="2010-03-02T00:00:00"/>
    <x v="2"/>
    <x v="1"/>
    <x v="0"/>
    <x v="8"/>
    <x v="1"/>
    <n v="337763.82"/>
    <n v="357901.11"/>
    <n v="20137.289999999979"/>
    <n v="5.9619440590173274E-2"/>
  </r>
  <r>
    <x v="0"/>
    <d v="2010-03-02T00:00:00"/>
    <x v="2"/>
    <x v="1"/>
    <x v="0"/>
    <x v="9"/>
    <x v="2"/>
    <n v="427832.47"/>
    <n v="456917.93"/>
    <n v="29085.460000000021"/>
    <n v="6.7983292619188118E-2"/>
  </r>
  <r>
    <x v="0"/>
    <d v="2010-03-02T00:00:00"/>
    <x v="2"/>
    <x v="1"/>
    <x v="0"/>
    <x v="10"/>
    <x v="2"/>
    <n v="195618.3"/>
    <n v="203472.25"/>
    <n v="7853.9500000000116"/>
    <n v="4.014936230403808E-2"/>
  </r>
  <r>
    <x v="0"/>
    <d v="2010-03-02T00:00:00"/>
    <x v="2"/>
    <x v="1"/>
    <x v="0"/>
    <x v="11"/>
    <x v="2"/>
    <n v="170376"/>
    <n v="179748.14"/>
    <n v="9372.140000000014"/>
    <n v="5.5008569282058585E-2"/>
  </r>
  <r>
    <x v="0"/>
    <d v="2010-03-02T00:00:00"/>
    <x v="2"/>
    <x v="1"/>
    <x v="0"/>
    <x v="12"/>
    <x v="2"/>
    <n v="14643.6"/>
    <n v="15246.82"/>
    <n v="603.21999999999935"/>
    <n v="4.1193422382474212E-2"/>
  </r>
  <r>
    <x v="0"/>
    <d v="2010-03-02T00:00:00"/>
    <x v="2"/>
    <x v="1"/>
    <x v="0"/>
    <x v="26"/>
    <x v="3"/>
    <n v="15590"/>
    <n v="17331.740000000002"/>
    <n v="1741.7400000000016"/>
    <n v="0.11172161642078265"/>
  </r>
  <r>
    <x v="0"/>
    <d v="2010-03-02T00:00:00"/>
    <x v="2"/>
    <x v="1"/>
    <x v="0"/>
    <x v="13"/>
    <x v="3"/>
    <n v="223876.28"/>
    <n v="253966.47"/>
    <n v="30090.190000000002"/>
    <n v="0.13440544036197136"/>
  </r>
  <r>
    <x v="0"/>
    <d v="2010-03-02T00:00:00"/>
    <x v="2"/>
    <x v="1"/>
    <x v="0"/>
    <x v="14"/>
    <x v="3"/>
    <n v="118410.5"/>
    <n v="128594.94"/>
    <n v="10184.440000000002"/>
    <n v="8.6009602188995088E-2"/>
  </r>
  <r>
    <x v="0"/>
    <d v="2010-03-02T00:00:00"/>
    <x v="2"/>
    <x v="1"/>
    <x v="0"/>
    <x v="15"/>
    <x v="3"/>
    <n v="895232.6"/>
    <n v="975226.23"/>
    <n v="79993.63"/>
    <n v="8.9355135190563886E-2"/>
  </r>
  <r>
    <x v="0"/>
    <d v="2010-03-02T00:00:00"/>
    <x v="2"/>
    <x v="1"/>
    <x v="0"/>
    <x v="16"/>
    <x v="3"/>
    <n v="182187.88"/>
    <n v="205676.56"/>
    <n v="23488.679999999993"/>
    <n v="0.12892559043993482"/>
  </r>
  <r>
    <x v="0"/>
    <d v="2010-03-02T00:00:00"/>
    <x v="2"/>
    <x v="1"/>
    <x v="0"/>
    <x v="17"/>
    <x v="4"/>
    <n v="938882.49"/>
    <n v="1071606.3899999999"/>
    <n v="132723.89999999991"/>
    <n v="0.14136369717577746"/>
  </r>
  <r>
    <x v="0"/>
    <d v="2010-03-02T00:00:00"/>
    <x v="2"/>
    <x v="1"/>
    <x v="0"/>
    <x v="18"/>
    <x v="5"/>
    <n v="12004.36"/>
    <n v="25840.720000000001"/>
    <n v="13836.36"/>
    <n v="1.1526112179241541"/>
  </r>
  <r>
    <x v="0"/>
    <d v="2010-03-02T00:00:00"/>
    <x v="2"/>
    <x v="1"/>
    <x v="0"/>
    <x v="19"/>
    <x v="5"/>
    <n v="4442.8999999999996"/>
    <n v="4949.59"/>
    <n v="506.69000000000051"/>
    <n v="0.11404488059600723"/>
  </r>
  <r>
    <x v="0"/>
    <d v="2010-03-02T00:00:00"/>
    <x v="2"/>
    <x v="1"/>
    <x v="0"/>
    <x v="20"/>
    <x v="5"/>
    <n v="192673.31"/>
    <n v="370978.78"/>
    <n v="178305.47000000003"/>
    <n v="0.92542900726623756"/>
  </r>
  <r>
    <x v="0"/>
    <d v="2010-03-02T00:00:00"/>
    <x v="2"/>
    <x v="1"/>
    <x v="0"/>
    <x v="21"/>
    <x v="5"/>
    <n v="171"/>
    <n v="530.94000000000005"/>
    <n v="359.94000000000005"/>
    <n v="2.1049122807017548"/>
  </r>
  <r>
    <x v="0"/>
    <d v="2010-03-02T00:00:00"/>
    <x v="2"/>
    <x v="1"/>
    <x v="0"/>
    <x v="22"/>
    <x v="6"/>
    <n v="4003.72"/>
    <n v="4882.03"/>
    <n v="878.31"/>
    <n v="0.21937348266112516"/>
  </r>
  <r>
    <x v="0"/>
    <d v="2010-03-02T00:00:00"/>
    <x v="2"/>
    <x v="1"/>
    <x v="0"/>
    <x v="23"/>
    <x v="6"/>
    <n v="185523.78"/>
    <n v="204535.93"/>
    <n v="19012.149999999994"/>
    <n v="0.10247823756070512"/>
  </r>
  <r>
    <x v="0"/>
    <d v="2010-03-02T00:00:00"/>
    <x v="2"/>
    <x v="1"/>
    <x v="0"/>
    <x v="24"/>
    <x v="6"/>
    <n v="494779.37"/>
    <n v="535945.04"/>
    <n v="41165.670000000042"/>
    <n v="8.3200053389453243E-2"/>
  </r>
  <r>
    <x v="0"/>
    <d v="2010-03-02T00:00:00"/>
    <x v="2"/>
    <x v="1"/>
    <x v="0"/>
    <x v="25"/>
    <x v="6"/>
    <n v="415778.08"/>
    <n v="435844.69"/>
    <n v="20066.609999999986"/>
    <n v="4.8262789611227187E-2"/>
  </r>
  <r>
    <x v="0"/>
    <d v="2010-03-03T00:00:00"/>
    <x v="2"/>
    <x v="1"/>
    <x v="0"/>
    <x v="0"/>
    <x v="0"/>
    <n v="12194.75"/>
    <n v="14449.78"/>
    <n v="2255.0300000000007"/>
    <n v="0.18491810000205011"/>
  </r>
  <r>
    <x v="0"/>
    <d v="2010-03-03T00:00:00"/>
    <x v="2"/>
    <x v="1"/>
    <x v="0"/>
    <x v="1"/>
    <x v="0"/>
    <n v="343114.38"/>
    <n v="449918.17"/>
    <n v="106803.78999999998"/>
    <n v="0.31127751043252683"/>
  </r>
  <r>
    <x v="0"/>
    <d v="2010-03-03T00:00:00"/>
    <x v="2"/>
    <x v="1"/>
    <x v="0"/>
    <x v="2"/>
    <x v="0"/>
    <n v="185118.94"/>
    <n v="206953.23"/>
    <n v="21834.290000000008"/>
    <n v="0.1179473586009082"/>
  </r>
  <r>
    <x v="0"/>
    <d v="2010-03-03T00:00:00"/>
    <x v="2"/>
    <x v="1"/>
    <x v="0"/>
    <x v="3"/>
    <x v="0"/>
    <n v="944"/>
    <n v="1085.95"/>
    <n v="141.95000000000005"/>
    <n v="0.15037076271186445"/>
  </r>
  <r>
    <x v="0"/>
    <d v="2010-03-03T00:00:00"/>
    <x v="2"/>
    <x v="1"/>
    <x v="0"/>
    <x v="5"/>
    <x v="1"/>
    <n v="204872.76"/>
    <n v="227002.17"/>
    <n v="22129.410000000003"/>
    <n v="0.10801538476857539"/>
  </r>
  <r>
    <x v="0"/>
    <d v="2010-03-03T00:00:00"/>
    <x v="2"/>
    <x v="1"/>
    <x v="0"/>
    <x v="6"/>
    <x v="1"/>
    <n v="1033466.7"/>
    <n v="1116133.83"/>
    <n v="82667.130000000121"/>
    <n v="7.9990124500383147E-2"/>
  </r>
  <r>
    <x v="0"/>
    <d v="2010-03-03T00:00:00"/>
    <x v="2"/>
    <x v="1"/>
    <x v="0"/>
    <x v="7"/>
    <x v="1"/>
    <n v="136715.56"/>
    <n v="151046.93"/>
    <n v="14331.369999999995"/>
    <n v="0.10482618072149209"/>
  </r>
  <r>
    <x v="0"/>
    <d v="2010-03-03T00:00:00"/>
    <x v="2"/>
    <x v="1"/>
    <x v="0"/>
    <x v="8"/>
    <x v="1"/>
    <n v="278397.03999999998"/>
    <n v="297937.75"/>
    <n v="19540.710000000021"/>
    <n v="7.0190078170371428E-2"/>
  </r>
  <r>
    <x v="0"/>
    <d v="2010-03-03T00:00:00"/>
    <x v="2"/>
    <x v="1"/>
    <x v="0"/>
    <x v="9"/>
    <x v="2"/>
    <n v="606967.91"/>
    <n v="648116.24"/>
    <n v="41148.329999999958"/>
    <n v="6.7793254506650857E-2"/>
  </r>
  <r>
    <x v="0"/>
    <d v="2010-03-03T00:00:00"/>
    <x v="2"/>
    <x v="1"/>
    <x v="0"/>
    <x v="10"/>
    <x v="2"/>
    <n v="272978.40000000002"/>
    <n v="285226.57"/>
    <n v="12248.169999999984"/>
    <n v="4.4868641621461564E-2"/>
  </r>
  <r>
    <x v="0"/>
    <d v="2010-03-03T00:00:00"/>
    <x v="2"/>
    <x v="1"/>
    <x v="0"/>
    <x v="11"/>
    <x v="2"/>
    <n v="230473"/>
    <n v="241512.62"/>
    <n v="11039.619999999995"/>
    <n v="4.7899840762258464E-2"/>
  </r>
  <r>
    <x v="0"/>
    <d v="2010-03-03T00:00:00"/>
    <x v="2"/>
    <x v="1"/>
    <x v="0"/>
    <x v="12"/>
    <x v="2"/>
    <n v="12756.8"/>
    <n v="13204.27"/>
    <n v="447.47000000000116"/>
    <n v="3.5076978552615171E-2"/>
  </r>
  <r>
    <x v="0"/>
    <d v="2010-03-03T00:00:00"/>
    <x v="2"/>
    <x v="1"/>
    <x v="0"/>
    <x v="26"/>
    <x v="3"/>
    <n v="13114"/>
    <n v="14556.29"/>
    <n v="1442.2900000000009"/>
    <n v="0.10998093640384329"/>
  </r>
  <r>
    <x v="0"/>
    <d v="2010-03-03T00:00:00"/>
    <x v="2"/>
    <x v="1"/>
    <x v="0"/>
    <x v="13"/>
    <x v="3"/>
    <n v="173195.48"/>
    <n v="196417.83"/>
    <n v="23222.349999999977"/>
    <n v="0.13408173238701135"/>
  </r>
  <r>
    <x v="0"/>
    <d v="2010-03-03T00:00:00"/>
    <x v="2"/>
    <x v="1"/>
    <x v="0"/>
    <x v="14"/>
    <x v="3"/>
    <n v="429398.65"/>
    <n v="445149.43"/>
    <n v="15750.77999999997"/>
    <n v="3.668101890865276E-2"/>
  </r>
  <r>
    <x v="0"/>
    <d v="2010-03-03T00:00:00"/>
    <x v="2"/>
    <x v="1"/>
    <x v="0"/>
    <x v="15"/>
    <x v="3"/>
    <n v="931616.79"/>
    <n v="1020764.83"/>
    <n v="89148.039999999921"/>
    <n v="9.5691748964721768E-2"/>
  </r>
  <r>
    <x v="0"/>
    <d v="2010-03-03T00:00:00"/>
    <x v="2"/>
    <x v="1"/>
    <x v="0"/>
    <x v="16"/>
    <x v="3"/>
    <n v="135498.78"/>
    <n v="153102.15"/>
    <n v="17603.369999999995"/>
    <n v="0.12991533945914491"/>
  </r>
  <r>
    <x v="0"/>
    <d v="2010-03-03T00:00:00"/>
    <x v="2"/>
    <x v="1"/>
    <x v="0"/>
    <x v="17"/>
    <x v="4"/>
    <n v="971682.3"/>
    <n v="1141345.01"/>
    <n v="169662.70999999996"/>
    <n v="0.17460718385011229"/>
  </r>
  <r>
    <x v="0"/>
    <d v="2010-03-03T00:00:00"/>
    <x v="2"/>
    <x v="1"/>
    <x v="0"/>
    <x v="18"/>
    <x v="5"/>
    <n v="9552.25"/>
    <n v="21154.07"/>
    <n v="11601.82"/>
    <n v="1.2145641079326859"/>
  </r>
  <r>
    <x v="0"/>
    <d v="2010-03-03T00:00:00"/>
    <x v="2"/>
    <x v="1"/>
    <x v="0"/>
    <x v="20"/>
    <x v="5"/>
    <n v="205397.37"/>
    <n v="402037.33"/>
    <n v="196639.96000000002"/>
    <n v="0.95736357286366436"/>
  </r>
  <r>
    <x v="0"/>
    <d v="2010-03-03T00:00:00"/>
    <x v="2"/>
    <x v="1"/>
    <x v="0"/>
    <x v="21"/>
    <x v="5"/>
    <n v="76"/>
    <n v="-235.94"/>
    <n v="-311.94"/>
    <n v="-4.1044736842105261"/>
  </r>
  <r>
    <x v="0"/>
    <d v="2010-03-03T00:00:00"/>
    <x v="2"/>
    <x v="1"/>
    <x v="0"/>
    <x v="22"/>
    <x v="6"/>
    <n v="1855.52"/>
    <n v="2412.4"/>
    <n v="556.88000000000011"/>
    <n v="0.30012072087608871"/>
  </r>
  <r>
    <x v="0"/>
    <d v="2010-03-03T00:00:00"/>
    <x v="2"/>
    <x v="1"/>
    <x v="0"/>
    <x v="23"/>
    <x v="6"/>
    <n v="248880.43"/>
    <n v="277319.49"/>
    <n v="28439.059999999998"/>
    <n v="0.11426796393754221"/>
  </r>
  <r>
    <x v="0"/>
    <d v="2010-03-03T00:00:00"/>
    <x v="2"/>
    <x v="1"/>
    <x v="0"/>
    <x v="24"/>
    <x v="6"/>
    <n v="511141.32"/>
    <n v="553080.74"/>
    <n v="41939.419999999984"/>
    <n v="8.2050537413019126E-2"/>
  </r>
  <r>
    <x v="0"/>
    <d v="2010-03-03T00:00:00"/>
    <x v="2"/>
    <x v="1"/>
    <x v="0"/>
    <x v="25"/>
    <x v="6"/>
    <n v="452115.68"/>
    <n v="478832.09"/>
    <n v="26716.410000000033"/>
    <n v="5.9091978406942296E-2"/>
  </r>
  <r>
    <x v="0"/>
    <d v="2010-03-04T00:00:00"/>
    <x v="2"/>
    <x v="1"/>
    <x v="0"/>
    <x v="0"/>
    <x v="0"/>
    <n v="11282.79"/>
    <n v="13388.48"/>
    <n v="2105.6899999999987"/>
    <n v="0.18662848462126819"/>
  </r>
  <r>
    <x v="0"/>
    <d v="2010-03-04T00:00:00"/>
    <x v="2"/>
    <x v="1"/>
    <x v="0"/>
    <x v="1"/>
    <x v="0"/>
    <n v="497739.66"/>
    <n v="690547.35"/>
    <n v="192807.69"/>
    <n v="0.38736654017081945"/>
  </r>
  <r>
    <x v="0"/>
    <d v="2010-03-04T00:00:00"/>
    <x v="2"/>
    <x v="1"/>
    <x v="0"/>
    <x v="2"/>
    <x v="0"/>
    <n v="289477.38"/>
    <n v="321613.57"/>
    <n v="32136.190000000002"/>
    <n v="0.11101451173836105"/>
  </r>
  <r>
    <x v="0"/>
    <d v="2010-03-04T00:00:00"/>
    <x v="2"/>
    <x v="1"/>
    <x v="0"/>
    <x v="3"/>
    <x v="0"/>
    <n v="2828"/>
    <n v="3212.8"/>
    <n v="384.80000000000018"/>
    <n v="0.13606789250353613"/>
  </r>
  <r>
    <x v="0"/>
    <d v="2010-03-04T00:00:00"/>
    <x v="2"/>
    <x v="1"/>
    <x v="0"/>
    <x v="5"/>
    <x v="1"/>
    <n v="233307.21"/>
    <n v="261504.44"/>
    <n v="28197.23000000001"/>
    <n v="0.12085880243478121"/>
  </r>
  <r>
    <x v="0"/>
    <d v="2010-03-04T00:00:00"/>
    <x v="2"/>
    <x v="1"/>
    <x v="0"/>
    <x v="6"/>
    <x v="1"/>
    <n v="872963.45"/>
    <n v="927569.08"/>
    <n v="54605.630000000005"/>
    <n v="6.2552023226172884E-2"/>
  </r>
  <r>
    <x v="0"/>
    <d v="2010-03-04T00:00:00"/>
    <x v="2"/>
    <x v="1"/>
    <x v="0"/>
    <x v="7"/>
    <x v="1"/>
    <n v="203929.73"/>
    <n v="223751.18"/>
    <n v="19821.449999999983"/>
    <n v="9.7197451298542792E-2"/>
  </r>
  <r>
    <x v="0"/>
    <d v="2010-03-04T00:00:00"/>
    <x v="2"/>
    <x v="1"/>
    <x v="0"/>
    <x v="8"/>
    <x v="1"/>
    <n v="277148.81"/>
    <n v="299970.96999999997"/>
    <n v="22822.159999999974"/>
    <n v="8.2346231253888388E-2"/>
  </r>
  <r>
    <x v="0"/>
    <d v="2010-03-04T00:00:00"/>
    <x v="2"/>
    <x v="1"/>
    <x v="0"/>
    <x v="9"/>
    <x v="2"/>
    <n v="1127346.18"/>
    <n v="1206372.47"/>
    <n v="79026.290000000037"/>
    <n v="7.0099399281239455E-2"/>
  </r>
  <r>
    <x v="0"/>
    <d v="2010-03-04T00:00:00"/>
    <x v="2"/>
    <x v="1"/>
    <x v="0"/>
    <x v="10"/>
    <x v="2"/>
    <n v="258119"/>
    <n v="268640.73"/>
    <n v="10521.729999999981"/>
    <n v="4.0763097641010472E-2"/>
  </r>
  <r>
    <x v="0"/>
    <d v="2010-03-04T00:00:00"/>
    <x v="2"/>
    <x v="1"/>
    <x v="0"/>
    <x v="11"/>
    <x v="2"/>
    <n v="288686.99"/>
    <n v="305821.13"/>
    <n v="17134.140000000014"/>
    <n v="5.9351964562033135E-2"/>
  </r>
  <r>
    <x v="0"/>
    <d v="2010-03-04T00:00:00"/>
    <x v="2"/>
    <x v="1"/>
    <x v="0"/>
    <x v="12"/>
    <x v="2"/>
    <n v="12744.2"/>
    <n v="13261.55"/>
    <n v="517.34999999999854"/>
    <n v="4.0594937304813054E-2"/>
  </r>
  <r>
    <x v="0"/>
    <d v="2010-03-04T00:00:00"/>
    <x v="2"/>
    <x v="1"/>
    <x v="0"/>
    <x v="26"/>
    <x v="3"/>
    <n v="23767"/>
    <n v="26661.61"/>
    <n v="2894.6100000000006"/>
    <n v="0.12179113897420796"/>
  </r>
  <r>
    <x v="0"/>
    <d v="2010-03-04T00:00:00"/>
    <x v="2"/>
    <x v="1"/>
    <x v="0"/>
    <x v="13"/>
    <x v="3"/>
    <n v="182498.01"/>
    <n v="206530.44"/>
    <n v="24032.429999999993"/>
    <n v="0.13168598386360483"/>
  </r>
  <r>
    <x v="0"/>
    <d v="2010-03-04T00:00:00"/>
    <x v="2"/>
    <x v="1"/>
    <x v="0"/>
    <x v="14"/>
    <x v="3"/>
    <n v="179471.63"/>
    <n v="199016.57"/>
    <n v="19544.940000000002"/>
    <n v="0.10890267169245636"/>
  </r>
  <r>
    <x v="0"/>
    <d v="2010-03-04T00:00:00"/>
    <x v="2"/>
    <x v="1"/>
    <x v="0"/>
    <x v="15"/>
    <x v="3"/>
    <n v="1079538.23"/>
    <n v="1182615.96"/>
    <n v="103077.72999999998"/>
    <n v="9.5483167835566124E-2"/>
  </r>
  <r>
    <x v="0"/>
    <d v="2010-03-04T00:00:00"/>
    <x v="2"/>
    <x v="1"/>
    <x v="0"/>
    <x v="16"/>
    <x v="3"/>
    <n v="161436.32"/>
    <n v="182248.03"/>
    <n v="20811.709999999992"/>
    <n v="0.12891590938148237"/>
  </r>
  <r>
    <x v="0"/>
    <d v="2010-03-04T00:00:00"/>
    <x v="2"/>
    <x v="1"/>
    <x v="0"/>
    <x v="17"/>
    <x v="4"/>
    <n v="1189403.76"/>
    <n v="1415693.97"/>
    <n v="226290.20999999996"/>
    <n v="0.19025516616829929"/>
  </r>
  <r>
    <x v="0"/>
    <d v="2010-03-04T00:00:00"/>
    <x v="2"/>
    <x v="1"/>
    <x v="0"/>
    <x v="18"/>
    <x v="5"/>
    <n v="12711.82"/>
    <n v="27933.39"/>
    <n v="15221.57"/>
    <n v="1.1974343563706848"/>
  </r>
  <r>
    <x v="0"/>
    <d v="2010-03-04T00:00:00"/>
    <x v="2"/>
    <x v="1"/>
    <x v="0"/>
    <x v="20"/>
    <x v="5"/>
    <n v="230239.51"/>
    <n v="464305.56"/>
    <n v="234066.05"/>
    <n v="1.0166198234177966"/>
  </r>
  <r>
    <x v="0"/>
    <d v="2010-03-04T00:00:00"/>
    <x v="2"/>
    <x v="1"/>
    <x v="0"/>
    <x v="21"/>
    <x v="5"/>
    <n v="57"/>
    <n v="177"/>
    <n v="120"/>
    <n v="2.1052631578947367"/>
  </r>
  <r>
    <x v="0"/>
    <d v="2010-03-04T00:00:00"/>
    <x v="2"/>
    <x v="1"/>
    <x v="0"/>
    <x v="22"/>
    <x v="6"/>
    <n v="4426.96"/>
    <n v="5755.63"/>
    <n v="1328.67"/>
    <n v="0.30013146719193307"/>
  </r>
  <r>
    <x v="0"/>
    <d v="2010-03-04T00:00:00"/>
    <x v="2"/>
    <x v="1"/>
    <x v="0"/>
    <x v="23"/>
    <x v="6"/>
    <n v="658028.68000000005"/>
    <n v="719707.87"/>
    <n v="61679.189999999944"/>
    <n v="9.3733285303005245E-2"/>
  </r>
  <r>
    <x v="0"/>
    <d v="2010-03-04T00:00:00"/>
    <x v="2"/>
    <x v="1"/>
    <x v="0"/>
    <x v="24"/>
    <x v="6"/>
    <n v="665707.81000000006"/>
    <n v="721675.37"/>
    <n v="55967.559999999939"/>
    <n v="8.4072259870287436E-2"/>
  </r>
  <r>
    <x v="0"/>
    <d v="2010-03-04T00:00:00"/>
    <x v="2"/>
    <x v="1"/>
    <x v="0"/>
    <x v="25"/>
    <x v="6"/>
    <n v="742660.17"/>
    <n v="781405.22"/>
    <n v="38745.04999999993"/>
    <n v="5.2170631420828624E-2"/>
  </r>
  <r>
    <x v="0"/>
    <d v="2010-03-05T00:00:00"/>
    <x v="2"/>
    <x v="1"/>
    <x v="0"/>
    <x v="0"/>
    <x v="0"/>
    <n v="7597.54"/>
    <n v="9191.86"/>
    <n v="1594.3200000000006"/>
    <n v="0.20984687148734993"/>
  </r>
  <r>
    <x v="0"/>
    <d v="2010-03-05T00:00:00"/>
    <x v="2"/>
    <x v="1"/>
    <x v="0"/>
    <x v="1"/>
    <x v="0"/>
    <n v="759887.52"/>
    <n v="974064.7"/>
    <n v="214177.17999999993"/>
    <n v="0.28185379330877802"/>
  </r>
  <r>
    <x v="0"/>
    <d v="2010-03-05T00:00:00"/>
    <x v="2"/>
    <x v="1"/>
    <x v="0"/>
    <x v="2"/>
    <x v="0"/>
    <n v="367371.79"/>
    <n v="405747.02"/>
    <n v="38375.23000000004"/>
    <n v="0.10445883719052038"/>
  </r>
  <r>
    <x v="0"/>
    <d v="2010-03-05T00:00:00"/>
    <x v="2"/>
    <x v="1"/>
    <x v="0"/>
    <x v="3"/>
    <x v="0"/>
    <n v="810"/>
    <n v="826.2"/>
    <n v="16.200000000000045"/>
    <n v="2.0000000000000056E-2"/>
  </r>
  <r>
    <x v="0"/>
    <d v="2010-03-05T00:00:00"/>
    <x v="2"/>
    <x v="1"/>
    <x v="0"/>
    <x v="4"/>
    <x v="0"/>
    <n v="3146"/>
    <n v="3617.79"/>
    <n v="471.78999999999996"/>
    <n v="0.14996503496503497"/>
  </r>
  <r>
    <x v="0"/>
    <d v="2010-03-05T00:00:00"/>
    <x v="2"/>
    <x v="1"/>
    <x v="0"/>
    <x v="5"/>
    <x v="1"/>
    <n v="260793.32"/>
    <n v="292155.76"/>
    <n v="31362.440000000002"/>
    <n v="0.1202578348249104"/>
  </r>
  <r>
    <x v="0"/>
    <d v="2010-03-05T00:00:00"/>
    <x v="2"/>
    <x v="1"/>
    <x v="0"/>
    <x v="6"/>
    <x v="1"/>
    <n v="1020691.45"/>
    <n v="1086221.29"/>
    <n v="65529.840000000084"/>
    <n v="6.4201419537706611E-2"/>
  </r>
  <r>
    <x v="0"/>
    <d v="2010-03-05T00:00:00"/>
    <x v="2"/>
    <x v="1"/>
    <x v="0"/>
    <x v="7"/>
    <x v="1"/>
    <n v="252487.49"/>
    <n v="274556.53000000003"/>
    <n v="22069.040000000037"/>
    <n v="8.740646912843103E-2"/>
  </r>
  <r>
    <x v="0"/>
    <d v="2010-03-05T00:00:00"/>
    <x v="2"/>
    <x v="1"/>
    <x v="0"/>
    <x v="8"/>
    <x v="1"/>
    <n v="308180.07"/>
    <n v="334504.82"/>
    <n v="26324.75"/>
    <n v="8.5420027323635822E-2"/>
  </r>
  <r>
    <x v="0"/>
    <d v="2010-03-05T00:00:00"/>
    <x v="2"/>
    <x v="1"/>
    <x v="0"/>
    <x v="9"/>
    <x v="2"/>
    <n v="1225095.8899999999"/>
    <n v="1311847.3400000001"/>
    <n v="86751.450000000186"/>
    <n v="7.081196721670513E-2"/>
  </r>
  <r>
    <x v="0"/>
    <d v="2010-03-05T00:00:00"/>
    <x v="2"/>
    <x v="1"/>
    <x v="0"/>
    <x v="10"/>
    <x v="2"/>
    <n v="362933.6"/>
    <n v="376308.56"/>
    <n v="13374.960000000021"/>
    <n v="3.6852360872622489E-2"/>
  </r>
  <r>
    <x v="0"/>
    <d v="2010-03-05T00:00:00"/>
    <x v="2"/>
    <x v="1"/>
    <x v="0"/>
    <x v="11"/>
    <x v="2"/>
    <n v="360076.99"/>
    <n v="377677.25"/>
    <n v="17600.260000000009"/>
    <n v="4.8879157760122381E-2"/>
  </r>
  <r>
    <x v="0"/>
    <d v="2010-03-05T00:00:00"/>
    <x v="2"/>
    <x v="1"/>
    <x v="0"/>
    <x v="12"/>
    <x v="2"/>
    <n v="28312.400000000001"/>
    <n v="28866.06"/>
    <n v="553.65999999999985"/>
    <n v="1.9555389158107395E-2"/>
  </r>
  <r>
    <x v="0"/>
    <d v="2010-03-05T00:00:00"/>
    <x v="2"/>
    <x v="1"/>
    <x v="0"/>
    <x v="26"/>
    <x v="3"/>
    <n v="24727"/>
    <n v="27212.62"/>
    <n v="2485.619999999999"/>
    <n v="0.10052250576293116"/>
  </r>
  <r>
    <x v="0"/>
    <d v="2010-03-05T00:00:00"/>
    <x v="2"/>
    <x v="1"/>
    <x v="0"/>
    <x v="13"/>
    <x v="3"/>
    <n v="340516.19"/>
    <n v="385362.16"/>
    <n v="44845.969999999972"/>
    <n v="0.13169996410449669"/>
  </r>
  <r>
    <x v="0"/>
    <d v="2010-03-05T00:00:00"/>
    <x v="2"/>
    <x v="1"/>
    <x v="0"/>
    <x v="14"/>
    <x v="3"/>
    <n v="294214.40000000002"/>
    <n v="319301.83"/>
    <n v="25087.429999999993"/>
    <n v="8.5269211840073064E-2"/>
  </r>
  <r>
    <x v="0"/>
    <d v="2010-03-05T00:00:00"/>
    <x v="2"/>
    <x v="1"/>
    <x v="0"/>
    <x v="15"/>
    <x v="3"/>
    <n v="1335561.72"/>
    <n v="1461849.61"/>
    <n v="126287.89000000013"/>
    <n v="9.4557883854293256E-2"/>
  </r>
  <r>
    <x v="0"/>
    <d v="2010-03-05T00:00:00"/>
    <x v="2"/>
    <x v="1"/>
    <x v="0"/>
    <x v="16"/>
    <x v="3"/>
    <n v="243986.62"/>
    <n v="275301.21000000002"/>
    <n v="31314.590000000026"/>
    <n v="0.1283455215699944"/>
  </r>
  <r>
    <x v="0"/>
    <d v="2010-03-05T00:00:00"/>
    <x v="2"/>
    <x v="1"/>
    <x v="0"/>
    <x v="17"/>
    <x v="4"/>
    <n v="1530877.08"/>
    <n v="1813293.29"/>
    <n v="282416.20999999996"/>
    <n v="0.18448000410326867"/>
  </r>
  <r>
    <x v="0"/>
    <d v="2010-03-05T00:00:00"/>
    <x v="2"/>
    <x v="1"/>
    <x v="0"/>
    <x v="18"/>
    <x v="5"/>
    <n v="16379.07"/>
    <n v="35482.79"/>
    <n v="19103.72"/>
    <n v="1.1663494935915166"/>
  </r>
  <r>
    <x v="0"/>
    <d v="2010-03-05T00:00:00"/>
    <x v="2"/>
    <x v="1"/>
    <x v="0"/>
    <x v="20"/>
    <x v="5"/>
    <n v="263232.17"/>
    <n v="543040.80000000005"/>
    <n v="279808.63000000006"/>
    <n v="1.0629727741863773"/>
  </r>
  <r>
    <x v="0"/>
    <d v="2010-03-05T00:00:00"/>
    <x v="2"/>
    <x v="1"/>
    <x v="0"/>
    <x v="21"/>
    <x v="5"/>
    <n v="76"/>
    <n v="236"/>
    <n v="160"/>
    <n v="2.1052631578947367"/>
  </r>
  <r>
    <x v="0"/>
    <d v="2010-03-05T00:00:00"/>
    <x v="2"/>
    <x v="1"/>
    <x v="0"/>
    <x v="22"/>
    <x v="6"/>
    <n v="5509.84"/>
    <n v="7088.45"/>
    <n v="1578.6099999999997"/>
    <n v="0.28650741219345743"/>
  </r>
  <r>
    <x v="0"/>
    <d v="2010-03-05T00:00:00"/>
    <x v="2"/>
    <x v="1"/>
    <x v="0"/>
    <x v="23"/>
    <x v="6"/>
    <n v="511439.23"/>
    <n v="566735.6"/>
    <n v="55296.369999999995"/>
    <n v="0.10811914056729673"/>
  </r>
  <r>
    <x v="0"/>
    <d v="2010-03-05T00:00:00"/>
    <x v="2"/>
    <x v="1"/>
    <x v="0"/>
    <x v="24"/>
    <x v="6"/>
    <n v="673269.74"/>
    <n v="727802.26"/>
    <n v="54532.520000000019"/>
    <n v="8.0996540851516682E-2"/>
  </r>
  <r>
    <x v="0"/>
    <d v="2010-03-05T00:00:00"/>
    <x v="2"/>
    <x v="1"/>
    <x v="0"/>
    <x v="25"/>
    <x v="6"/>
    <n v="518354.72"/>
    <n v="552978.07999999996"/>
    <n v="34623.359999999986"/>
    <n v="6.6794723119334168E-2"/>
  </r>
  <r>
    <x v="0"/>
    <d v="2010-03-06T00:00:00"/>
    <x v="2"/>
    <x v="1"/>
    <x v="0"/>
    <x v="0"/>
    <x v="0"/>
    <n v="18839.04"/>
    <n v="22039.13"/>
    <n v="3200.09"/>
    <n v="0.16986481264438102"/>
  </r>
  <r>
    <x v="0"/>
    <d v="2010-03-06T00:00:00"/>
    <x v="2"/>
    <x v="1"/>
    <x v="0"/>
    <x v="1"/>
    <x v="0"/>
    <n v="893727.88"/>
    <n v="1101437.18"/>
    <n v="207709.29999999993"/>
    <n v="0.23240776599696086"/>
  </r>
  <r>
    <x v="0"/>
    <d v="2010-03-06T00:00:00"/>
    <x v="2"/>
    <x v="1"/>
    <x v="0"/>
    <x v="2"/>
    <x v="0"/>
    <n v="279100.08"/>
    <n v="311638.01"/>
    <n v="32537.929999999993"/>
    <n v="0.11658158607478719"/>
  </r>
  <r>
    <x v="0"/>
    <d v="2010-03-06T00:00:00"/>
    <x v="2"/>
    <x v="1"/>
    <x v="0"/>
    <x v="3"/>
    <x v="0"/>
    <n v="6321"/>
    <n v="7129.32"/>
    <n v="808.31999999999971"/>
    <n v="0.12787850023730418"/>
  </r>
  <r>
    <x v="0"/>
    <d v="2010-03-06T00:00:00"/>
    <x v="2"/>
    <x v="1"/>
    <x v="0"/>
    <x v="5"/>
    <x v="1"/>
    <n v="308606.53999999998"/>
    <n v="342138.86"/>
    <n v="33532.320000000007"/>
    <n v="0.10865719177565067"/>
  </r>
  <r>
    <x v="0"/>
    <d v="2010-03-06T00:00:00"/>
    <x v="2"/>
    <x v="1"/>
    <x v="0"/>
    <x v="6"/>
    <x v="1"/>
    <n v="1031960.57"/>
    <n v="1105363.79"/>
    <n v="73403.220000000088"/>
    <n v="7.1129868847605388E-2"/>
  </r>
  <r>
    <x v="0"/>
    <d v="2010-03-06T00:00:00"/>
    <x v="2"/>
    <x v="1"/>
    <x v="0"/>
    <x v="7"/>
    <x v="1"/>
    <n v="298713.46999999997"/>
    <n v="329512.75"/>
    <n v="30799.280000000028"/>
    <n v="0.10310643172535885"/>
  </r>
  <r>
    <x v="0"/>
    <d v="2010-03-06T00:00:00"/>
    <x v="2"/>
    <x v="1"/>
    <x v="0"/>
    <x v="8"/>
    <x v="1"/>
    <n v="373267.19"/>
    <n v="405638.33"/>
    <n v="32371.140000000014"/>
    <n v="8.6723775534624445E-2"/>
  </r>
  <r>
    <x v="0"/>
    <d v="2010-03-06T00:00:00"/>
    <x v="2"/>
    <x v="1"/>
    <x v="0"/>
    <x v="9"/>
    <x v="2"/>
    <n v="944689.98"/>
    <n v="1030136.53"/>
    <n v="85446.550000000047"/>
    <n v="9.0449302743742507E-2"/>
  </r>
  <r>
    <x v="0"/>
    <d v="2010-03-06T00:00:00"/>
    <x v="2"/>
    <x v="1"/>
    <x v="0"/>
    <x v="10"/>
    <x v="2"/>
    <n v="453565.72"/>
    <n v="476762.12"/>
    <n v="23196.400000000023"/>
    <n v="5.1142312959630246E-2"/>
  </r>
  <r>
    <x v="0"/>
    <d v="2010-03-06T00:00:00"/>
    <x v="2"/>
    <x v="1"/>
    <x v="0"/>
    <x v="11"/>
    <x v="2"/>
    <n v="346911.93"/>
    <n v="365536.64"/>
    <n v="18624.710000000021"/>
    <n v="5.3687141863354257E-2"/>
  </r>
  <r>
    <x v="0"/>
    <d v="2010-03-06T00:00:00"/>
    <x v="2"/>
    <x v="1"/>
    <x v="0"/>
    <x v="12"/>
    <x v="2"/>
    <n v="7532.2"/>
    <n v="8228.85"/>
    <n v="696.65000000000055"/>
    <n v="9.2489578078118015E-2"/>
  </r>
  <r>
    <x v="0"/>
    <d v="2010-03-06T00:00:00"/>
    <x v="2"/>
    <x v="1"/>
    <x v="0"/>
    <x v="26"/>
    <x v="3"/>
    <n v="34328"/>
    <n v="37972.959999999999"/>
    <n v="3644.9599999999991"/>
    <n v="0.10618037753437425"/>
  </r>
  <r>
    <x v="0"/>
    <d v="2010-03-06T00:00:00"/>
    <x v="2"/>
    <x v="1"/>
    <x v="0"/>
    <x v="13"/>
    <x v="3"/>
    <n v="402317"/>
    <n v="452586.77"/>
    <n v="50269.770000000019"/>
    <n v="0.12495064836932075"/>
  </r>
  <r>
    <x v="0"/>
    <d v="2010-03-06T00:00:00"/>
    <x v="2"/>
    <x v="1"/>
    <x v="0"/>
    <x v="14"/>
    <x v="3"/>
    <n v="272899.59000000003"/>
    <n v="298706.76"/>
    <n v="25807.169999999984"/>
    <n v="9.456654002301719E-2"/>
  </r>
  <r>
    <x v="0"/>
    <d v="2010-03-06T00:00:00"/>
    <x v="2"/>
    <x v="1"/>
    <x v="0"/>
    <x v="15"/>
    <x v="3"/>
    <n v="1420366.08"/>
    <n v="1549165.12"/>
    <n v="128799.04000000004"/>
    <n v="9.0680171692075345E-2"/>
  </r>
  <r>
    <x v="0"/>
    <d v="2010-03-06T00:00:00"/>
    <x v="2"/>
    <x v="1"/>
    <x v="0"/>
    <x v="16"/>
    <x v="3"/>
    <n v="235634.62"/>
    <n v="266440.73"/>
    <n v="30806.109999999986"/>
    <n v="0.13073677373893525"/>
  </r>
  <r>
    <x v="0"/>
    <d v="2010-03-06T00:00:00"/>
    <x v="2"/>
    <x v="1"/>
    <x v="0"/>
    <x v="17"/>
    <x v="4"/>
    <n v="1768747.25"/>
    <n v="2105188.56"/>
    <n v="336441.31000000006"/>
    <n v="0.19021446393768249"/>
  </r>
  <r>
    <x v="0"/>
    <d v="2010-03-06T00:00:00"/>
    <x v="2"/>
    <x v="1"/>
    <x v="0"/>
    <x v="18"/>
    <x v="5"/>
    <n v="21924.91"/>
    <n v="47672.98"/>
    <n v="25748.070000000003"/>
    <n v="1.1743751741740334"/>
  </r>
  <r>
    <x v="0"/>
    <d v="2010-03-06T00:00:00"/>
    <x v="2"/>
    <x v="1"/>
    <x v="0"/>
    <x v="20"/>
    <x v="5"/>
    <n v="292852.88"/>
    <n v="597361.42000000004"/>
    <n v="304508.54000000004"/>
    <n v="1.0398003939725642"/>
  </r>
  <r>
    <x v="0"/>
    <d v="2010-03-06T00:00:00"/>
    <x v="2"/>
    <x v="1"/>
    <x v="0"/>
    <x v="21"/>
    <x v="5"/>
    <n v="247"/>
    <n v="766.97"/>
    <n v="519.97"/>
    <n v="2.1051417004048583"/>
  </r>
  <r>
    <x v="0"/>
    <d v="2010-03-06T00:00:00"/>
    <x v="2"/>
    <x v="1"/>
    <x v="0"/>
    <x v="22"/>
    <x v="6"/>
    <n v="4738.2"/>
    <n v="6161.01"/>
    <n v="1422.8100000000004"/>
    <n v="0.30028491832341403"/>
  </r>
  <r>
    <x v="0"/>
    <d v="2010-03-06T00:00:00"/>
    <x v="2"/>
    <x v="1"/>
    <x v="0"/>
    <x v="23"/>
    <x v="6"/>
    <n v="665856.37"/>
    <n v="738236.48"/>
    <n v="72380.109999999986"/>
    <n v="0.10870228665079826"/>
  </r>
  <r>
    <x v="0"/>
    <d v="2010-03-06T00:00:00"/>
    <x v="2"/>
    <x v="1"/>
    <x v="0"/>
    <x v="24"/>
    <x v="6"/>
    <n v="755946.89"/>
    <n v="815173.59"/>
    <n v="59226.699999999953"/>
    <n v="7.8347699796740944E-2"/>
  </r>
  <r>
    <x v="0"/>
    <d v="2010-03-06T00:00:00"/>
    <x v="2"/>
    <x v="1"/>
    <x v="0"/>
    <x v="25"/>
    <x v="6"/>
    <n v="703370.01"/>
    <n v="751029.89"/>
    <n v="47659.880000000005"/>
    <n v="6.7759329118965428E-2"/>
  </r>
  <r>
    <x v="0"/>
    <d v="2010-03-07T00:00:00"/>
    <x v="3"/>
    <x v="1"/>
    <x v="0"/>
    <x v="0"/>
    <x v="0"/>
    <n v="10591.54"/>
    <n v="12862.46"/>
    <n v="2270.9199999999983"/>
    <n v="0.21440885839075319"/>
  </r>
  <r>
    <x v="0"/>
    <d v="2010-03-07T00:00:00"/>
    <x v="3"/>
    <x v="1"/>
    <x v="0"/>
    <x v="1"/>
    <x v="0"/>
    <n v="884177.57"/>
    <n v="1247518.04"/>
    <n v="363340.47000000009"/>
    <n v="0.4109360860624412"/>
  </r>
  <r>
    <x v="0"/>
    <d v="2010-03-07T00:00:00"/>
    <x v="3"/>
    <x v="1"/>
    <x v="0"/>
    <x v="2"/>
    <x v="0"/>
    <n v="239654.75"/>
    <n v="268674.62"/>
    <n v="29019.869999999995"/>
    <n v="0.12109031846854693"/>
  </r>
  <r>
    <x v="0"/>
    <d v="2010-03-07T00:00:00"/>
    <x v="3"/>
    <x v="1"/>
    <x v="0"/>
    <x v="3"/>
    <x v="0"/>
    <n v="1130"/>
    <n v="1207.1500000000001"/>
    <n v="77.150000000000091"/>
    <n v="6.8274336283185924E-2"/>
  </r>
  <r>
    <x v="0"/>
    <d v="2010-03-07T00:00:00"/>
    <x v="3"/>
    <x v="1"/>
    <x v="0"/>
    <x v="5"/>
    <x v="1"/>
    <n v="266129.27"/>
    <n v="295869.43"/>
    <n v="29740.159999999974"/>
    <n v="0.11175080441170553"/>
  </r>
  <r>
    <x v="0"/>
    <d v="2010-03-07T00:00:00"/>
    <x v="3"/>
    <x v="1"/>
    <x v="0"/>
    <x v="6"/>
    <x v="1"/>
    <n v="908353.92"/>
    <n v="971195.49"/>
    <n v="62841.569999999949"/>
    <n v="6.9181811864696907E-2"/>
  </r>
  <r>
    <x v="0"/>
    <d v="2010-03-07T00:00:00"/>
    <x v="3"/>
    <x v="1"/>
    <x v="0"/>
    <x v="7"/>
    <x v="1"/>
    <n v="221327.7"/>
    <n v="242276.91"/>
    <n v="20949.209999999992"/>
    <n v="9.4652454256742333E-2"/>
  </r>
  <r>
    <x v="0"/>
    <d v="2010-03-07T00:00:00"/>
    <x v="3"/>
    <x v="1"/>
    <x v="0"/>
    <x v="8"/>
    <x v="1"/>
    <n v="307370.32"/>
    <n v="335437.08"/>
    <n v="28066.760000000009"/>
    <n v="9.1312524904811912E-2"/>
  </r>
  <r>
    <x v="0"/>
    <d v="2010-03-07T00:00:00"/>
    <x v="3"/>
    <x v="1"/>
    <x v="0"/>
    <x v="9"/>
    <x v="2"/>
    <n v="984477.5"/>
    <n v="1077008.9099999999"/>
    <n v="92531.409999999916"/>
    <n v="9.3990375605333715E-2"/>
  </r>
  <r>
    <x v="0"/>
    <d v="2010-03-07T00:00:00"/>
    <x v="3"/>
    <x v="1"/>
    <x v="0"/>
    <x v="10"/>
    <x v="2"/>
    <n v="395637.34"/>
    <n v="417339.82"/>
    <n v="21702.479999999981"/>
    <n v="5.4854478599011866E-2"/>
  </r>
  <r>
    <x v="0"/>
    <d v="2010-03-07T00:00:00"/>
    <x v="3"/>
    <x v="1"/>
    <x v="0"/>
    <x v="11"/>
    <x v="2"/>
    <n v="339083.05"/>
    <n v="358388.01"/>
    <n v="19304.960000000021"/>
    <n v="5.6932836955430305E-2"/>
  </r>
  <r>
    <x v="0"/>
    <d v="2010-03-07T00:00:00"/>
    <x v="3"/>
    <x v="1"/>
    <x v="0"/>
    <x v="12"/>
    <x v="2"/>
    <n v="36595.4"/>
    <n v="37225.49"/>
    <n v="630.08999999999651"/>
    <n v="1.7217737748460093E-2"/>
  </r>
  <r>
    <x v="0"/>
    <d v="2010-03-07T00:00:00"/>
    <x v="3"/>
    <x v="1"/>
    <x v="0"/>
    <x v="26"/>
    <x v="3"/>
    <n v="15100"/>
    <n v="17047.59"/>
    <n v="1947.5900000000001"/>
    <n v="0.12897947019867551"/>
  </r>
  <r>
    <x v="0"/>
    <d v="2010-03-07T00:00:00"/>
    <x v="3"/>
    <x v="1"/>
    <x v="0"/>
    <x v="13"/>
    <x v="3"/>
    <n v="238100.77"/>
    <n v="267275.3"/>
    <n v="29174.53"/>
    <n v="0.122530179133818"/>
  </r>
  <r>
    <x v="0"/>
    <d v="2010-03-07T00:00:00"/>
    <x v="3"/>
    <x v="1"/>
    <x v="0"/>
    <x v="14"/>
    <x v="3"/>
    <n v="262879.93"/>
    <n v="285360.09999999998"/>
    <n v="22480.169999999984"/>
    <n v="8.5514972558003888E-2"/>
  </r>
  <r>
    <x v="0"/>
    <d v="2010-03-07T00:00:00"/>
    <x v="3"/>
    <x v="1"/>
    <x v="0"/>
    <x v="15"/>
    <x v="3"/>
    <n v="1191606.2"/>
    <n v="1305835.94"/>
    <n v="114229.73999999999"/>
    <n v="9.586198863349317E-2"/>
  </r>
  <r>
    <x v="0"/>
    <d v="2010-03-07T00:00:00"/>
    <x v="3"/>
    <x v="1"/>
    <x v="0"/>
    <x v="16"/>
    <x v="3"/>
    <n v="178304.62"/>
    <n v="200777.72"/>
    <n v="22473.100000000006"/>
    <n v="0.12603767642139618"/>
  </r>
  <r>
    <x v="0"/>
    <d v="2010-03-07T00:00:00"/>
    <x v="3"/>
    <x v="1"/>
    <x v="0"/>
    <x v="17"/>
    <x v="4"/>
    <n v="1491153.16"/>
    <n v="1758036.23"/>
    <n v="266883.07000000007"/>
    <n v="0.1789776376827717"/>
  </r>
  <r>
    <x v="0"/>
    <d v="2010-03-07T00:00:00"/>
    <x v="3"/>
    <x v="1"/>
    <x v="0"/>
    <x v="18"/>
    <x v="5"/>
    <n v="11291.36"/>
    <n v="24858.81"/>
    <n v="13567.45"/>
    <n v="1.201578020716725"/>
  </r>
  <r>
    <x v="0"/>
    <d v="2010-03-07T00:00:00"/>
    <x v="3"/>
    <x v="1"/>
    <x v="0"/>
    <x v="20"/>
    <x v="5"/>
    <n v="283782.40999999997"/>
    <n v="573658.31000000006"/>
    <n v="289875.90000000008"/>
    <n v="1.0214724020421142"/>
  </r>
  <r>
    <x v="0"/>
    <d v="2010-03-07T00:00:00"/>
    <x v="3"/>
    <x v="1"/>
    <x v="0"/>
    <x v="21"/>
    <x v="5"/>
    <n v="418"/>
    <n v="1297.8699999999999"/>
    <n v="879.86999999999989"/>
    <n v="2.1049521531100477"/>
  </r>
  <r>
    <x v="0"/>
    <d v="2010-03-07T00:00:00"/>
    <x v="3"/>
    <x v="1"/>
    <x v="0"/>
    <x v="22"/>
    <x v="6"/>
    <n v="10092.6"/>
    <n v="12896.56"/>
    <n v="2803.9599999999991"/>
    <n v="0.27782335572597733"/>
  </r>
  <r>
    <x v="0"/>
    <d v="2010-03-07T00:00:00"/>
    <x v="3"/>
    <x v="1"/>
    <x v="0"/>
    <x v="23"/>
    <x v="6"/>
    <n v="567165.23"/>
    <n v="627134.39"/>
    <n v="59969.160000000033"/>
    <n v="0.10573490197909352"/>
  </r>
  <r>
    <x v="0"/>
    <d v="2010-03-07T00:00:00"/>
    <x v="3"/>
    <x v="1"/>
    <x v="0"/>
    <x v="24"/>
    <x v="6"/>
    <n v="580202.93999999994"/>
    <n v="625194.67000000004"/>
    <n v="44991.730000000098"/>
    <n v="7.7544815612275428E-2"/>
  </r>
  <r>
    <x v="0"/>
    <d v="2010-03-07T00:00:00"/>
    <x v="3"/>
    <x v="1"/>
    <x v="0"/>
    <x v="25"/>
    <x v="6"/>
    <n v="651129.53"/>
    <n v="692000.67"/>
    <n v="40871.140000000014"/>
    <n v="6.2769599775331975E-2"/>
  </r>
  <r>
    <x v="0"/>
    <d v="2010-03-08T00:00:00"/>
    <x v="3"/>
    <x v="1"/>
    <x v="0"/>
    <x v="0"/>
    <x v="0"/>
    <n v="8426"/>
    <n v="10446.49"/>
    <n v="2020.4899999999998"/>
    <n v="0.23979230951815805"/>
  </r>
  <r>
    <x v="0"/>
    <d v="2010-03-08T00:00:00"/>
    <x v="3"/>
    <x v="1"/>
    <x v="0"/>
    <x v="1"/>
    <x v="0"/>
    <n v="823759.51"/>
    <n v="1269124.1299999999"/>
    <n v="445364.61999999988"/>
    <n v="0.54064883572633948"/>
  </r>
  <r>
    <x v="0"/>
    <d v="2010-03-08T00:00:00"/>
    <x v="3"/>
    <x v="1"/>
    <x v="0"/>
    <x v="2"/>
    <x v="0"/>
    <n v="248279.18"/>
    <n v="278350.96999999997"/>
    <n v="30071.789999999979"/>
    <n v="0.12112086885416642"/>
  </r>
  <r>
    <x v="0"/>
    <d v="2010-03-08T00:00:00"/>
    <x v="3"/>
    <x v="1"/>
    <x v="0"/>
    <x v="3"/>
    <x v="0"/>
    <n v="944"/>
    <n v="1085.96"/>
    <n v="141.96000000000004"/>
    <n v="0.15038135593220342"/>
  </r>
  <r>
    <x v="0"/>
    <d v="2010-03-08T00:00:00"/>
    <x v="3"/>
    <x v="1"/>
    <x v="0"/>
    <x v="5"/>
    <x v="1"/>
    <n v="131850.44"/>
    <n v="147477.25"/>
    <n v="15626.809999999998"/>
    <n v="0.11851921009895755"/>
  </r>
  <r>
    <x v="0"/>
    <d v="2010-03-08T00:00:00"/>
    <x v="3"/>
    <x v="1"/>
    <x v="0"/>
    <x v="6"/>
    <x v="1"/>
    <n v="486847.37"/>
    <n v="525622.72"/>
    <n v="38775.349999999977"/>
    <n v="7.9645803570839821E-2"/>
  </r>
  <r>
    <x v="0"/>
    <d v="2010-03-08T00:00:00"/>
    <x v="3"/>
    <x v="1"/>
    <x v="0"/>
    <x v="7"/>
    <x v="1"/>
    <n v="138057.42000000001"/>
    <n v="151198.89000000001"/>
    <n v="13141.470000000001"/>
    <n v="9.5188436811291993E-2"/>
  </r>
  <r>
    <x v="0"/>
    <d v="2010-03-08T00:00:00"/>
    <x v="3"/>
    <x v="1"/>
    <x v="0"/>
    <x v="8"/>
    <x v="1"/>
    <n v="197673.04"/>
    <n v="213329.36"/>
    <n v="15656.319999999978"/>
    <n v="7.9203112371823578E-2"/>
  </r>
  <r>
    <x v="0"/>
    <d v="2010-03-08T00:00:00"/>
    <x v="3"/>
    <x v="1"/>
    <x v="0"/>
    <x v="9"/>
    <x v="2"/>
    <n v="769295.95"/>
    <n v="843256.9"/>
    <n v="73960.95000000007"/>
    <n v="9.6141088484867326E-2"/>
  </r>
  <r>
    <x v="0"/>
    <d v="2010-03-08T00:00:00"/>
    <x v="3"/>
    <x v="1"/>
    <x v="0"/>
    <x v="10"/>
    <x v="2"/>
    <n v="321835.76"/>
    <n v="340020.85"/>
    <n v="18185.089999999967"/>
    <n v="5.650425546247554E-2"/>
  </r>
  <r>
    <x v="0"/>
    <d v="2010-03-08T00:00:00"/>
    <x v="3"/>
    <x v="1"/>
    <x v="0"/>
    <x v="11"/>
    <x v="2"/>
    <n v="309525.01"/>
    <n v="331224.86"/>
    <n v="21699.849999999977"/>
    <n v="7.0106935785253593E-2"/>
  </r>
  <r>
    <x v="0"/>
    <d v="2010-03-08T00:00:00"/>
    <x v="3"/>
    <x v="1"/>
    <x v="0"/>
    <x v="12"/>
    <x v="2"/>
    <n v="29137"/>
    <n v="29630.83"/>
    <n v="493.83000000000175"/>
    <n v="1.6948553385729544E-2"/>
  </r>
  <r>
    <x v="0"/>
    <d v="2010-03-08T00:00:00"/>
    <x v="3"/>
    <x v="1"/>
    <x v="0"/>
    <x v="26"/>
    <x v="3"/>
    <n v="10199"/>
    <n v="11690.69"/>
    <n v="1491.6900000000005"/>
    <n v="0.14625845671144236"/>
  </r>
  <r>
    <x v="0"/>
    <d v="2010-03-08T00:00:00"/>
    <x v="3"/>
    <x v="1"/>
    <x v="0"/>
    <x v="13"/>
    <x v="3"/>
    <n v="113050.34"/>
    <n v="126304.92"/>
    <n v="13254.580000000002"/>
    <n v="0.11724493707847321"/>
  </r>
  <r>
    <x v="0"/>
    <d v="2010-03-08T00:00:00"/>
    <x v="3"/>
    <x v="1"/>
    <x v="0"/>
    <x v="14"/>
    <x v="3"/>
    <n v="169167.22"/>
    <n v="180291.55"/>
    <n v="11124.329999999987"/>
    <n v="6.5759371112204756E-2"/>
  </r>
  <r>
    <x v="0"/>
    <d v="2010-03-08T00:00:00"/>
    <x v="3"/>
    <x v="1"/>
    <x v="0"/>
    <x v="15"/>
    <x v="3"/>
    <n v="790987.71"/>
    <n v="865389.74"/>
    <n v="74402.030000000028"/>
    <n v="9.4062182078657117E-2"/>
  </r>
  <r>
    <x v="0"/>
    <d v="2010-03-08T00:00:00"/>
    <x v="3"/>
    <x v="1"/>
    <x v="0"/>
    <x v="16"/>
    <x v="3"/>
    <n v="78253.98"/>
    <n v="88293.45"/>
    <n v="10039.470000000001"/>
    <n v="0.12829341076326087"/>
  </r>
  <r>
    <x v="0"/>
    <d v="2010-03-08T00:00:00"/>
    <x v="3"/>
    <x v="1"/>
    <x v="0"/>
    <x v="17"/>
    <x v="4"/>
    <n v="911380.59"/>
    <n v="1075353.6000000001"/>
    <n v="163973.01000000013"/>
    <n v="0.1799171628177863"/>
  </r>
  <r>
    <x v="0"/>
    <d v="2010-03-08T00:00:00"/>
    <x v="3"/>
    <x v="1"/>
    <x v="0"/>
    <x v="18"/>
    <x v="5"/>
    <n v="7715.41"/>
    <n v="17160.52"/>
    <n v="9445.11"/>
    <n v="1.2241876970893317"/>
  </r>
  <r>
    <x v="0"/>
    <d v="2010-03-08T00:00:00"/>
    <x v="3"/>
    <x v="1"/>
    <x v="0"/>
    <x v="20"/>
    <x v="5"/>
    <n v="235649.36"/>
    <n v="485727.85"/>
    <n v="250078.49"/>
    <n v="1.0612313566223988"/>
  </r>
  <r>
    <x v="0"/>
    <d v="2010-03-08T00:00:00"/>
    <x v="3"/>
    <x v="1"/>
    <x v="0"/>
    <x v="22"/>
    <x v="6"/>
    <n v="2140"/>
    <n v="2783.9"/>
    <n v="643.90000000000009"/>
    <n v="0.30088785046728977"/>
  </r>
  <r>
    <x v="0"/>
    <d v="2010-03-08T00:00:00"/>
    <x v="3"/>
    <x v="1"/>
    <x v="0"/>
    <x v="23"/>
    <x v="6"/>
    <n v="433151.35"/>
    <n v="483791.01"/>
    <n v="50639.660000000033"/>
    <n v="0.11690985148724582"/>
  </r>
  <r>
    <x v="0"/>
    <d v="2010-03-08T00:00:00"/>
    <x v="3"/>
    <x v="1"/>
    <x v="0"/>
    <x v="24"/>
    <x v="6"/>
    <n v="402300.75"/>
    <n v="434186.61"/>
    <n v="31885.859999999986"/>
    <n v="7.9258763499695156E-2"/>
  </r>
  <r>
    <x v="0"/>
    <d v="2010-03-08T00:00:00"/>
    <x v="3"/>
    <x v="1"/>
    <x v="0"/>
    <x v="25"/>
    <x v="6"/>
    <n v="365403.97"/>
    <n v="390308.97"/>
    <n v="24905"/>
    <n v="6.8157442295988191E-2"/>
  </r>
  <r>
    <x v="0"/>
    <d v="2010-03-09T00:00:00"/>
    <x v="3"/>
    <x v="1"/>
    <x v="0"/>
    <x v="0"/>
    <x v="0"/>
    <n v="5242.43"/>
    <n v="6465.2"/>
    <n v="1222.7699999999995"/>
    <n v="0.23324488834376414"/>
  </r>
  <r>
    <x v="0"/>
    <d v="2010-03-09T00:00:00"/>
    <x v="3"/>
    <x v="1"/>
    <x v="0"/>
    <x v="1"/>
    <x v="0"/>
    <n v="165226.70000000001"/>
    <n v="253646.07"/>
    <n v="88419.37"/>
    <n v="0.53513972015418809"/>
  </r>
  <r>
    <x v="0"/>
    <d v="2010-03-09T00:00:00"/>
    <x v="3"/>
    <x v="1"/>
    <x v="0"/>
    <x v="2"/>
    <x v="0"/>
    <n v="78546.89"/>
    <n v="88497.14"/>
    <n v="9950.25"/>
    <n v="0.12667910849175568"/>
  </r>
  <r>
    <x v="0"/>
    <d v="2010-03-09T00:00:00"/>
    <x v="3"/>
    <x v="1"/>
    <x v="0"/>
    <x v="3"/>
    <x v="0"/>
    <n v="1766"/>
    <n v="2030.9"/>
    <n v="264.90000000000009"/>
    <n v="0.15000000000000005"/>
  </r>
  <r>
    <x v="0"/>
    <d v="2010-03-09T00:00:00"/>
    <x v="3"/>
    <x v="1"/>
    <x v="0"/>
    <x v="4"/>
    <x v="0"/>
    <n v="1760"/>
    <n v="2023.83"/>
    <n v="263.82999999999993"/>
    <n v="0.14990340909090905"/>
  </r>
  <r>
    <x v="0"/>
    <d v="2010-03-09T00:00:00"/>
    <x v="3"/>
    <x v="1"/>
    <x v="0"/>
    <x v="5"/>
    <x v="1"/>
    <n v="118110.27"/>
    <n v="134965.19"/>
    <n v="16854.919999999998"/>
    <n v="0.14270494851971804"/>
  </r>
  <r>
    <x v="0"/>
    <d v="2010-03-09T00:00:00"/>
    <x v="3"/>
    <x v="1"/>
    <x v="0"/>
    <x v="6"/>
    <x v="1"/>
    <n v="507303.73"/>
    <n v="541646.5"/>
    <n v="34342.770000000019"/>
    <n v="6.7696663692971504E-2"/>
  </r>
  <r>
    <x v="0"/>
    <d v="2010-03-09T00:00:00"/>
    <x v="3"/>
    <x v="1"/>
    <x v="0"/>
    <x v="7"/>
    <x v="1"/>
    <n v="89732.800000000003"/>
    <n v="97150.89"/>
    <n v="7418.0899999999965"/>
    <n v="8.2668656277303243E-2"/>
  </r>
  <r>
    <x v="0"/>
    <d v="2010-03-09T00:00:00"/>
    <x v="3"/>
    <x v="1"/>
    <x v="0"/>
    <x v="8"/>
    <x v="1"/>
    <n v="166634.54999999999"/>
    <n v="177981.5"/>
    <n v="11346.950000000012"/>
    <n v="6.8094821872174846E-2"/>
  </r>
  <r>
    <x v="0"/>
    <d v="2010-03-09T00:00:00"/>
    <x v="3"/>
    <x v="1"/>
    <x v="0"/>
    <x v="9"/>
    <x v="2"/>
    <n v="224477"/>
    <n v="245526.06"/>
    <n v="21049.059999999998"/>
    <n v="9.3769339397800217E-2"/>
  </r>
  <r>
    <x v="0"/>
    <d v="2010-03-09T00:00:00"/>
    <x v="3"/>
    <x v="1"/>
    <x v="0"/>
    <x v="10"/>
    <x v="2"/>
    <n v="165012.18"/>
    <n v="174421.98"/>
    <n v="9409.8000000000175"/>
    <n v="5.7024881436025014E-2"/>
  </r>
  <r>
    <x v="0"/>
    <d v="2010-03-09T00:00:00"/>
    <x v="3"/>
    <x v="1"/>
    <x v="0"/>
    <x v="11"/>
    <x v="2"/>
    <n v="130803.98"/>
    <n v="137782.23000000001"/>
    <n v="6978.2500000000146"/>
    <n v="5.3348911860327301E-2"/>
  </r>
  <r>
    <x v="0"/>
    <d v="2010-03-09T00:00:00"/>
    <x v="3"/>
    <x v="1"/>
    <x v="0"/>
    <x v="12"/>
    <x v="2"/>
    <n v="12133.8"/>
    <n v="13019.8"/>
    <n v="886"/>
    <n v="7.3019169592378322E-2"/>
  </r>
  <r>
    <x v="0"/>
    <d v="2010-03-09T00:00:00"/>
    <x v="3"/>
    <x v="1"/>
    <x v="0"/>
    <x v="26"/>
    <x v="3"/>
    <n v="5663.53"/>
    <n v="6482.12"/>
    <n v="818.59000000000015"/>
    <n v="0.14453706433973162"/>
  </r>
  <r>
    <x v="0"/>
    <d v="2010-03-09T00:00:00"/>
    <x v="3"/>
    <x v="1"/>
    <x v="0"/>
    <x v="13"/>
    <x v="3"/>
    <n v="91886.61"/>
    <n v="101129.49"/>
    <n v="9242.8800000000047"/>
    <n v="0.10059006421066143"/>
  </r>
  <r>
    <x v="0"/>
    <d v="2010-03-09T00:00:00"/>
    <x v="3"/>
    <x v="1"/>
    <x v="0"/>
    <x v="14"/>
    <x v="3"/>
    <n v="61025.31"/>
    <n v="69822.83"/>
    <n v="8797.5200000000041"/>
    <n v="0.14416182400384372"/>
  </r>
  <r>
    <x v="0"/>
    <d v="2010-03-09T00:00:00"/>
    <x v="3"/>
    <x v="1"/>
    <x v="0"/>
    <x v="15"/>
    <x v="3"/>
    <n v="633274.31999999995"/>
    <n v="690651.03"/>
    <n v="57376.710000000079"/>
    <n v="9.0603247578395538E-2"/>
  </r>
  <r>
    <x v="0"/>
    <d v="2010-03-09T00:00:00"/>
    <x v="3"/>
    <x v="1"/>
    <x v="0"/>
    <x v="16"/>
    <x v="3"/>
    <n v="46700.07"/>
    <n v="52817.11"/>
    <n v="6117.0400000000009"/>
    <n v="0.13098567089942265"/>
  </r>
  <r>
    <x v="0"/>
    <d v="2010-03-09T00:00:00"/>
    <x v="3"/>
    <x v="1"/>
    <x v="0"/>
    <x v="17"/>
    <x v="4"/>
    <n v="550172.62"/>
    <n v="664429.75"/>
    <n v="114257.13"/>
    <n v="0.20767505660314395"/>
  </r>
  <r>
    <x v="0"/>
    <d v="2010-03-09T00:00:00"/>
    <x v="3"/>
    <x v="1"/>
    <x v="0"/>
    <x v="18"/>
    <x v="5"/>
    <n v="10811.04"/>
    <n v="23660.33"/>
    <n v="12849.29"/>
    <n v="1.1885341280764847"/>
  </r>
  <r>
    <x v="0"/>
    <d v="2010-03-09T00:00:00"/>
    <x v="3"/>
    <x v="1"/>
    <x v="0"/>
    <x v="20"/>
    <x v="5"/>
    <n v="161290.73000000001"/>
    <n v="310800.42"/>
    <n v="149509.68999999997"/>
    <n v="0.92695773650475732"/>
  </r>
  <r>
    <x v="0"/>
    <d v="2010-03-09T00:00:00"/>
    <x v="3"/>
    <x v="1"/>
    <x v="0"/>
    <x v="21"/>
    <x v="5"/>
    <n v="76"/>
    <n v="236"/>
    <n v="160"/>
    <n v="2.1052631578947367"/>
  </r>
  <r>
    <x v="0"/>
    <d v="2010-03-09T00:00:00"/>
    <x v="3"/>
    <x v="1"/>
    <x v="0"/>
    <x v="22"/>
    <x v="6"/>
    <n v="3222.76"/>
    <n v="3953.13"/>
    <n v="730.36999999999989"/>
    <n v="0.22662872817088453"/>
  </r>
  <r>
    <x v="0"/>
    <d v="2010-03-09T00:00:00"/>
    <x v="3"/>
    <x v="1"/>
    <x v="0"/>
    <x v="23"/>
    <x v="6"/>
    <n v="164779.69"/>
    <n v="179584.05"/>
    <n v="14804.359999999986"/>
    <n v="8.9843353874497434E-2"/>
  </r>
  <r>
    <x v="0"/>
    <d v="2010-03-09T00:00:00"/>
    <x v="3"/>
    <x v="1"/>
    <x v="0"/>
    <x v="24"/>
    <x v="6"/>
    <n v="342734.27"/>
    <n v="367672.84"/>
    <n v="24938.570000000007"/>
    <n v="7.2763572781910618E-2"/>
  </r>
  <r>
    <x v="0"/>
    <d v="2010-03-09T00:00:00"/>
    <x v="3"/>
    <x v="1"/>
    <x v="0"/>
    <x v="25"/>
    <x v="6"/>
    <n v="278539.59999999998"/>
    <n v="295942.15999999997"/>
    <n v="17402.559999999998"/>
    <n v="6.247786670189804E-2"/>
  </r>
  <r>
    <x v="0"/>
    <d v="2010-03-10T00:00:00"/>
    <x v="3"/>
    <x v="1"/>
    <x v="0"/>
    <x v="0"/>
    <x v="0"/>
    <n v="8424.9500000000007"/>
    <n v="10356.65"/>
    <n v="1931.6999999999989"/>
    <n v="0.22928325984130454"/>
  </r>
  <r>
    <x v="0"/>
    <d v="2010-03-10T00:00:00"/>
    <x v="3"/>
    <x v="1"/>
    <x v="0"/>
    <x v="1"/>
    <x v="0"/>
    <n v="182760.27"/>
    <n v="285248.92"/>
    <n v="102488.65"/>
    <n v="0.56078189203813278"/>
  </r>
  <r>
    <x v="0"/>
    <d v="2010-03-10T00:00:00"/>
    <x v="3"/>
    <x v="1"/>
    <x v="0"/>
    <x v="2"/>
    <x v="0"/>
    <n v="54611.24"/>
    <n v="61444.23"/>
    <n v="6832.9900000000052"/>
    <n v="0.12512057957299644"/>
  </r>
  <r>
    <x v="0"/>
    <d v="2010-03-10T00:00:00"/>
    <x v="3"/>
    <x v="1"/>
    <x v="0"/>
    <x v="5"/>
    <x v="1"/>
    <n v="177154.64"/>
    <n v="193270.68"/>
    <n v="16116.039999999979"/>
    <n v="9.0971594082999901E-2"/>
  </r>
  <r>
    <x v="0"/>
    <d v="2010-03-10T00:00:00"/>
    <x v="3"/>
    <x v="1"/>
    <x v="0"/>
    <x v="6"/>
    <x v="1"/>
    <n v="717239.49"/>
    <n v="764565.57"/>
    <n v="47326.079999999958"/>
    <n v="6.5983650732895305E-2"/>
  </r>
  <r>
    <x v="0"/>
    <d v="2010-03-10T00:00:00"/>
    <x v="3"/>
    <x v="1"/>
    <x v="0"/>
    <x v="7"/>
    <x v="1"/>
    <n v="95300"/>
    <n v="103994.79"/>
    <n v="8694.7899999999936"/>
    <n v="9.1235991605456382E-2"/>
  </r>
  <r>
    <x v="0"/>
    <d v="2010-03-10T00:00:00"/>
    <x v="3"/>
    <x v="1"/>
    <x v="0"/>
    <x v="8"/>
    <x v="1"/>
    <n v="301641.39"/>
    <n v="318922.82"/>
    <n v="17281.429999999993"/>
    <n v="5.7291308729216478E-2"/>
  </r>
  <r>
    <x v="0"/>
    <d v="2010-03-10T00:00:00"/>
    <x v="3"/>
    <x v="1"/>
    <x v="0"/>
    <x v="9"/>
    <x v="2"/>
    <n v="317141.46999999997"/>
    <n v="341982.57"/>
    <n v="24841.100000000035"/>
    <n v="7.8328135390177883E-2"/>
  </r>
  <r>
    <x v="0"/>
    <d v="2010-03-10T00:00:00"/>
    <x v="3"/>
    <x v="1"/>
    <x v="0"/>
    <x v="10"/>
    <x v="2"/>
    <n v="150426"/>
    <n v="158994.38"/>
    <n v="8568.3800000000047"/>
    <n v="5.6960764761410959E-2"/>
  </r>
  <r>
    <x v="0"/>
    <d v="2010-03-10T00:00:00"/>
    <x v="3"/>
    <x v="1"/>
    <x v="0"/>
    <x v="11"/>
    <x v="2"/>
    <n v="154565.48000000001"/>
    <n v="163201.44"/>
    <n v="8635.9599999999919"/>
    <n v="5.5872501414934252E-2"/>
  </r>
  <r>
    <x v="0"/>
    <d v="2010-03-10T00:00:00"/>
    <x v="3"/>
    <x v="1"/>
    <x v="0"/>
    <x v="12"/>
    <x v="2"/>
    <n v="18797.8"/>
    <n v="19124.55"/>
    <n v="326.75"/>
    <n v="1.7382353254104203E-2"/>
  </r>
  <r>
    <x v="0"/>
    <d v="2010-03-10T00:00:00"/>
    <x v="3"/>
    <x v="1"/>
    <x v="0"/>
    <x v="26"/>
    <x v="3"/>
    <n v="12254"/>
    <n v="13772.87"/>
    <n v="1518.8700000000008"/>
    <n v="0.12394891464011758"/>
  </r>
  <r>
    <x v="0"/>
    <d v="2010-03-10T00:00:00"/>
    <x v="3"/>
    <x v="1"/>
    <x v="0"/>
    <x v="13"/>
    <x v="3"/>
    <n v="205830.02"/>
    <n v="230123.26"/>
    <n v="24293.24000000002"/>
    <n v="0.11802573793657514"/>
  </r>
  <r>
    <x v="0"/>
    <d v="2010-03-10T00:00:00"/>
    <x v="3"/>
    <x v="1"/>
    <x v="0"/>
    <x v="14"/>
    <x v="3"/>
    <n v="95914.47"/>
    <n v="105938.71"/>
    <n v="10024.240000000005"/>
    <n v="0.10451228057664297"/>
  </r>
  <r>
    <x v="0"/>
    <d v="2010-03-10T00:00:00"/>
    <x v="3"/>
    <x v="1"/>
    <x v="0"/>
    <x v="15"/>
    <x v="3"/>
    <n v="696036.38"/>
    <n v="763712.27"/>
    <n v="67675.890000000014"/>
    <n v="9.7230391894170834E-2"/>
  </r>
  <r>
    <x v="0"/>
    <d v="2010-03-10T00:00:00"/>
    <x v="3"/>
    <x v="1"/>
    <x v="0"/>
    <x v="16"/>
    <x v="3"/>
    <n v="50702.879999999997"/>
    <n v="57572.25"/>
    <n v="6869.3700000000026"/>
    <n v="0.13548283647792794"/>
  </r>
  <r>
    <x v="0"/>
    <d v="2010-03-10T00:00:00"/>
    <x v="3"/>
    <x v="1"/>
    <x v="0"/>
    <x v="17"/>
    <x v="4"/>
    <n v="719956.8"/>
    <n v="849023.66"/>
    <n v="129066.85999999999"/>
    <n v="0.17927028399481743"/>
  </r>
  <r>
    <x v="0"/>
    <d v="2010-03-10T00:00:00"/>
    <x v="3"/>
    <x v="1"/>
    <x v="0"/>
    <x v="18"/>
    <x v="5"/>
    <n v="9596.2099999999991"/>
    <n v="21325.81"/>
    <n v="11729.600000000002"/>
    <n v="1.2223158934621068"/>
  </r>
  <r>
    <x v="0"/>
    <d v="2010-03-10T00:00:00"/>
    <x v="3"/>
    <x v="1"/>
    <x v="0"/>
    <x v="20"/>
    <x v="5"/>
    <n v="181572.47"/>
    <n v="355177.66"/>
    <n v="173605.18999999997"/>
    <n v="0.95612066080281866"/>
  </r>
  <r>
    <x v="0"/>
    <d v="2010-03-10T00:00:00"/>
    <x v="3"/>
    <x v="1"/>
    <x v="0"/>
    <x v="21"/>
    <x v="5"/>
    <n v="38"/>
    <n v="117.97"/>
    <n v="79.97"/>
    <n v="2.1044736842105265"/>
  </r>
  <r>
    <x v="0"/>
    <d v="2010-03-10T00:00:00"/>
    <x v="3"/>
    <x v="1"/>
    <x v="0"/>
    <x v="22"/>
    <x v="6"/>
    <n v="3551.72"/>
    <n v="4540.99"/>
    <n v="989.27"/>
    <n v="0.27853265460115101"/>
  </r>
  <r>
    <x v="0"/>
    <d v="2010-03-10T00:00:00"/>
    <x v="3"/>
    <x v="1"/>
    <x v="0"/>
    <x v="23"/>
    <x v="6"/>
    <n v="160095.20000000001"/>
    <n v="174621.31"/>
    <n v="14526.109999999986"/>
    <n v="9.0734200650612787E-2"/>
  </r>
  <r>
    <x v="0"/>
    <d v="2010-03-10T00:00:00"/>
    <x v="3"/>
    <x v="1"/>
    <x v="0"/>
    <x v="24"/>
    <x v="6"/>
    <n v="379995.82"/>
    <n v="406075.34"/>
    <n v="26079.520000000019"/>
    <n v="6.863107073125177E-2"/>
  </r>
  <r>
    <x v="0"/>
    <d v="2010-03-10T00:00:00"/>
    <x v="3"/>
    <x v="1"/>
    <x v="0"/>
    <x v="25"/>
    <x v="6"/>
    <n v="308977.14"/>
    <n v="325594.06"/>
    <n v="16616.919999999984"/>
    <n v="5.3780418836163683E-2"/>
  </r>
  <r>
    <x v="0"/>
    <d v="2010-03-11T00:00:00"/>
    <x v="3"/>
    <x v="1"/>
    <x v="0"/>
    <x v="0"/>
    <x v="0"/>
    <n v="8435.98"/>
    <n v="10048.65"/>
    <n v="1612.67"/>
    <n v="0.19116569740563635"/>
  </r>
  <r>
    <x v="0"/>
    <d v="2010-03-11T00:00:00"/>
    <x v="3"/>
    <x v="1"/>
    <x v="0"/>
    <x v="1"/>
    <x v="0"/>
    <n v="262633.76"/>
    <n v="360121.42"/>
    <n v="97487.659999999974"/>
    <n v="0.37119241639003292"/>
  </r>
  <r>
    <x v="0"/>
    <d v="2010-03-11T00:00:00"/>
    <x v="3"/>
    <x v="1"/>
    <x v="0"/>
    <x v="2"/>
    <x v="0"/>
    <n v="40776.44"/>
    <n v="45667.08"/>
    <n v="4890.6399999999994"/>
    <n v="0.11993788570066438"/>
  </r>
  <r>
    <x v="0"/>
    <d v="2010-03-11T00:00:00"/>
    <x v="3"/>
    <x v="1"/>
    <x v="0"/>
    <x v="3"/>
    <x v="0"/>
    <n v="710"/>
    <n v="816.99"/>
    <n v="106.99000000000001"/>
    <n v="0.15069014084507043"/>
  </r>
  <r>
    <x v="0"/>
    <d v="2010-03-11T00:00:00"/>
    <x v="3"/>
    <x v="1"/>
    <x v="0"/>
    <x v="5"/>
    <x v="1"/>
    <n v="168313.02"/>
    <n v="181930.54"/>
    <n v="13617.520000000019"/>
    <n v="8.0905921597746983E-2"/>
  </r>
  <r>
    <x v="0"/>
    <d v="2010-03-11T00:00:00"/>
    <x v="3"/>
    <x v="1"/>
    <x v="0"/>
    <x v="6"/>
    <x v="1"/>
    <n v="524442.13"/>
    <n v="564859.37"/>
    <n v="40417.239999999991"/>
    <n v="7.7067111294052582E-2"/>
  </r>
  <r>
    <x v="0"/>
    <d v="2010-03-11T00:00:00"/>
    <x v="3"/>
    <x v="1"/>
    <x v="0"/>
    <x v="7"/>
    <x v="1"/>
    <n v="130737.03"/>
    <n v="125978.42"/>
    <n v="-4758.6100000000006"/>
    <n v="-3.6398333356662614E-2"/>
  </r>
  <r>
    <x v="0"/>
    <d v="2010-03-11T00:00:00"/>
    <x v="3"/>
    <x v="1"/>
    <x v="0"/>
    <x v="8"/>
    <x v="1"/>
    <n v="333543.14"/>
    <n v="350339.02"/>
    <n v="16795.880000000005"/>
    <n v="5.0355944961122584E-2"/>
  </r>
  <r>
    <x v="0"/>
    <d v="2010-03-11T00:00:00"/>
    <x v="3"/>
    <x v="1"/>
    <x v="0"/>
    <x v="9"/>
    <x v="2"/>
    <n v="461168.91"/>
    <n v="494324.04"/>
    <n v="33155.130000000005"/>
    <n v="7.1893679910035577E-2"/>
  </r>
  <r>
    <x v="0"/>
    <d v="2010-03-11T00:00:00"/>
    <x v="3"/>
    <x v="1"/>
    <x v="0"/>
    <x v="10"/>
    <x v="2"/>
    <n v="212313.27"/>
    <n v="222456.06"/>
    <n v="10142.790000000008"/>
    <n v="4.7772755796187436E-2"/>
  </r>
  <r>
    <x v="0"/>
    <d v="2010-03-11T00:00:00"/>
    <x v="3"/>
    <x v="1"/>
    <x v="0"/>
    <x v="11"/>
    <x v="2"/>
    <n v="140460"/>
    <n v="148844.66"/>
    <n v="8384.6600000000035"/>
    <n v="5.9694290189377781E-2"/>
  </r>
  <r>
    <x v="0"/>
    <d v="2010-03-11T00:00:00"/>
    <x v="3"/>
    <x v="1"/>
    <x v="0"/>
    <x v="12"/>
    <x v="2"/>
    <n v="14189.4"/>
    <n v="14461.98"/>
    <n v="272.57999999999993"/>
    <n v="1.9210114592583191E-2"/>
  </r>
  <r>
    <x v="0"/>
    <d v="2010-03-11T00:00:00"/>
    <x v="3"/>
    <x v="1"/>
    <x v="0"/>
    <x v="26"/>
    <x v="3"/>
    <n v="15779"/>
    <n v="17521.150000000001"/>
    <n v="1742.1500000000015"/>
    <n v="0.11040940490525392"/>
  </r>
  <r>
    <x v="0"/>
    <d v="2010-03-11T00:00:00"/>
    <x v="3"/>
    <x v="1"/>
    <x v="0"/>
    <x v="13"/>
    <x v="3"/>
    <n v="177945.25"/>
    <n v="199589.13"/>
    <n v="21643.880000000005"/>
    <n v="0.1216322436254972"/>
  </r>
  <r>
    <x v="0"/>
    <d v="2010-03-11T00:00:00"/>
    <x v="3"/>
    <x v="1"/>
    <x v="0"/>
    <x v="14"/>
    <x v="3"/>
    <n v="120769.71"/>
    <n v="131155.85999999999"/>
    <n v="10386.14999999998"/>
    <n v="8.5999626893200121E-2"/>
  </r>
  <r>
    <x v="0"/>
    <d v="2010-03-11T00:00:00"/>
    <x v="3"/>
    <x v="1"/>
    <x v="0"/>
    <x v="15"/>
    <x v="3"/>
    <n v="704758.31"/>
    <n v="774270.51"/>
    <n v="69512.199999999953"/>
    <n v="9.8632678768981019E-2"/>
  </r>
  <r>
    <x v="0"/>
    <d v="2010-03-11T00:00:00"/>
    <x v="3"/>
    <x v="1"/>
    <x v="0"/>
    <x v="16"/>
    <x v="3"/>
    <n v="80461.3"/>
    <n v="91304.43"/>
    <n v="10843.12999999999"/>
    <n v="0.13476205331010049"/>
  </r>
  <r>
    <x v="0"/>
    <d v="2010-03-11T00:00:00"/>
    <x v="3"/>
    <x v="1"/>
    <x v="0"/>
    <x v="17"/>
    <x v="4"/>
    <n v="757764.1"/>
    <n v="901843.88"/>
    <n v="144079.78000000003"/>
    <n v="0.19013803900184773"/>
  </r>
  <r>
    <x v="0"/>
    <d v="2010-03-11T00:00:00"/>
    <x v="3"/>
    <x v="1"/>
    <x v="0"/>
    <x v="18"/>
    <x v="5"/>
    <n v="10462.799999999999"/>
    <n v="22365.35"/>
    <n v="11902.55"/>
    <n v="1.1376065680315022"/>
  </r>
  <r>
    <x v="0"/>
    <d v="2010-03-11T00:00:00"/>
    <x v="3"/>
    <x v="1"/>
    <x v="0"/>
    <x v="20"/>
    <x v="5"/>
    <n v="189071.05"/>
    <n v="380002.71"/>
    <n v="190931.66000000003"/>
    <n v="1.009840797943419"/>
  </r>
  <r>
    <x v="0"/>
    <d v="2010-03-11T00:00:00"/>
    <x v="3"/>
    <x v="1"/>
    <x v="0"/>
    <x v="21"/>
    <x v="5"/>
    <n v="57"/>
    <n v="176.94"/>
    <n v="119.94"/>
    <n v="2.1042105263157893"/>
  </r>
  <r>
    <x v="0"/>
    <d v="2010-03-11T00:00:00"/>
    <x v="3"/>
    <x v="1"/>
    <x v="0"/>
    <x v="22"/>
    <x v="6"/>
    <n v="1330.64"/>
    <n v="1572.64"/>
    <n v="242"/>
    <n v="0.18186737209162507"/>
  </r>
  <r>
    <x v="0"/>
    <d v="2010-03-11T00:00:00"/>
    <x v="3"/>
    <x v="1"/>
    <x v="0"/>
    <x v="23"/>
    <x v="6"/>
    <n v="164983.32"/>
    <n v="172687.54"/>
    <n v="7704.2200000000012"/>
    <n v="4.6696963062690222E-2"/>
  </r>
  <r>
    <x v="0"/>
    <d v="2010-03-11T00:00:00"/>
    <x v="3"/>
    <x v="1"/>
    <x v="0"/>
    <x v="24"/>
    <x v="6"/>
    <n v="459153.32"/>
    <n v="492495.24"/>
    <n v="33341.919999999984"/>
    <n v="7.261609259408161E-2"/>
  </r>
  <r>
    <x v="0"/>
    <d v="2010-03-11T00:00:00"/>
    <x v="3"/>
    <x v="1"/>
    <x v="0"/>
    <x v="25"/>
    <x v="6"/>
    <n v="449315.41"/>
    <n v="458446.59"/>
    <n v="9131.1800000000512"/>
    <n v="2.0322427846398705E-2"/>
  </r>
  <r>
    <x v="0"/>
    <d v="2010-03-12T00:00:00"/>
    <x v="3"/>
    <x v="1"/>
    <x v="0"/>
    <x v="0"/>
    <x v="0"/>
    <n v="13151.95"/>
    <n v="15856.93"/>
    <n v="2704.9799999999996"/>
    <n v="0.20567140233957698"/>
  </r>
  <r>
    <x v="0"/>
    <d v="2010-03-12T00:00:00"/>
    <x v="3"/>
    <x v="1"/>
    <x v="0"/>
    <x v="1"/>
    <x v="0"/>
    <n v="306630.05"/>
    <n v="399453.02"/>
    <n v="92822.97000000003"/>
    <n v="0.30271974322151413"/>
  </r>
  <r>
    <x v="0"/>
    <d v="2010-03-12T00:00:00"/>
    <x v="3"/>
    <x v="1"/>
    <x v="0"/>
    <x v="2"/>
    <x v="0"/>
    <n v="46879.03"/>
    <n v="52500.38"/>
    <n v="5621.3499999999985"/>
    <n v="0.11991182411410814"/>
  </r>
  <r>
    <x v="0"/>
    <d v="2010-03-12T00:00:00"/>
    <x v="3"/>
    <x v="1"/>
    <x v="0"/>
    <x v="3"/>
    <x v="0"/>
    <n v="382"/>
    <n v="389.59"/>
    <n v="7.589999999999975"/>
    <n v="1.9869109947643914E-2"/>
  </r>
  <r>
    <x v="0"/>
    <d v="2010-03-12T00:00:00"/>
    <x v="3"/>
    <x v="1"/>
    <x v="0"/>
    <x v="5"/>
    <x v="1"/>
    <n v="144467.89000000001"/>
    <n v="160950.45000000001"/>
    <n v="16482.559999999998"/>
    <n v="0.11409151196158535"/>
  </r>
  <r>
    <x v="0"/>
    <d v="2010-03-12T00:00:00"/>
    <x v="3"/>
    <x v="1"/>
    <x v="0"/>
    <x v="6"/>
    <x v="1"/>
    <n v="843222.27"/>
    <n v="902676.82"/>
    <n v="59454.54999999993"/>
    <n v="7.0508752099253655E-2"/>
  </r>
  <r>
    <x v="0"/>
    <d v="2010-03-12T00:00:00"/>
    <x v="3"/>
    <x v="1"/>
    <x v="0"/>
    <x v="7"/>
    <x v="1"/>
    <n v="150000.26999999999"/>
    <n v="163912.82"/>
    <n v="13912.550000000017"/>
    <n v="9.2750166383033961E-2"/>
  </r>
  <r>
    <x v="0"/>
    <d v="2010-03-12T00:00:00"/>
    <x v="3"/>
    <x v="1"/>
    <x v="0"/>
    <x v="8"/>
    <x v="1"/>
    <n v="320041.17"/>
    <n v="338991.33"/>
    <n v="18950.160000000033"/>
    <n v="5.9211632053463727E-2"/>
  </r>
  <r>
    <x v="0"/>
    <d v="2010-03-12T00:00:00"/>
    <x v="3"/>
    <x v="1"/>
    <x v="0"/>
    <x v="9"/>
    <x v="2"/>
    <n v="680297.2"/>
    <n v="719234.88"/>
    <n v="38937.680000000051"/>
    <n v="5.7236278497103991E-2"/>
  </r>
  <r>
    <x v="0"/>
    <d v="2010-03-12T00:00:00"/>
    <x v="3"/>
    <x v="1"/>
    <x v="0"/>
    <x v="10"/>
    <x v="2"/>
    <n v="225952.4"/>
    <n v="236077.08"/>
    <n v="10124.679999999993"/>
    <n v="4.4808906654675913E-2"/>
  </r>
  <r>
    <x v="0"/>
    <d v="2010-03-12T00:00:00"/>
    <x v="3"/>
    <x v="1"/>
    <x v="0"/>
    <x v="11"/>
    <x v="2"/>
    <n v="159694.99"/>
    <n v="168590.92"/>
    <n v="8895.9300000000221"/>
    <n v="5.5705755077225798E-2"/>
  </r>
  <r>
    <x v="0"/>
    <d v="2010-03-12T00:00:00"/>
    <x v="3"/>
    <x v="1"/>
    <x v="0"/>
    <x v="12"/>
    <x v="2"/>
    <n v="11876.2"/>
    <n v="12755.77"/>
    <n v="879.56999999999971"/>
    <n v="7.40615685151816E-2"/>
  </r>
  <r>
    <x v="0"/>
    <d v="2010-03-12T00:00:00"/>
    <x v="3"/>
    <x v="1"/>
    <x v="0"/>
    <x v="26"/>
    <x v="3"/>
    <n v="14333"/>
    <n v="16057.26"/>
    <n v="1724.2600000000002"/>
    <n v="0.12030000697690646"/>
  </r>
  <r>
    <x v="0"/>
    <d v="2010-03-12T00:00:00"/>
    <x v="3"/>
    <x v="1"/>
    <x v="0"/>
    <x v="13"/>
    <x v="3"/>
    <n v="235648.82"/>
    <n v="263260.82"/>
    <n v="27612"/>
    <n v="0.11717436140779317"/>
  </r>
  <r>
    <x v="0"/>
    <d v="2010-03-12T00:00:00"/>
    <x v="3"/>
    <x v="1"/>
    <x v="0"/>
    <x v="14"/>
    <x v="3"/>
    <n v="183558.85"/>
    <n v="199419.46"/>
    <n v="15860.609999999986"/>
    <n v="8.6406130785848717E-2"/>
  </r>
  <r>
    <x v="0"/>
    <d v="2010-03-12T00:00:00"/>
    <x v="3"/>
    <x v="1"/>
    <x v="0"/>
    <x v="15"/>
    <x v="3"/>
    <n v="901618.68"/>
    <n v="985972.7"/>
    <n v="84354.019999999902"/>
    <n v="9.3558420950195814E-2"/>
  </r>
  <r>
    <x v="0"/>
    <d v="2010-03-12T00:00:00"/>
    <x v="3"/>
    <x v="1"/>
    <x v="0"/>
    <x v="16"/>
    <x v="3"/>
    <n v="171650.36"/>
    <n v="191744.83"/>
    <n v="20094.47"/>
    <n v="0.1170662852090727"/>
  </r>
  <r>
    <x v="0"/>
    <d v="2010-03-12T00:00:00"/>
    <x v="3"/>
    <x v="1"/>
    <x v="0"/>
    <x v="17"/>
    <x v="4"/>
    <n v="805989.64"/>
    <n v="958491.93"/>
    <n v="152502.29000000004"/>
    <n v="0.1892112285711266"/>
  </r>
  <r>
    <x v="0"/>
    <d v="2010-03-12T00:00:00"/>
    <x v="3"/>
    <x v="1"/>
    <x v="0"/>
    <x v="18"/>
    <x v="5"/>
    <n v="11703.23"/>
    <n v="25505.35"/>
    <n v="13802.119999999999"/>
    <n v="1.1793427968176307"/>
  </r>
  <r>
    <x v="0"/>
    <d v="2010-03-12T00:00:00"/>
    <x v="3"/>
    <x v="1"/>
    <x v="0"/>
    <x v="20"/>
    <x v="5"/>
    <n v="219967.24"/>
    <n v="421732.84"/>
    <n v="201765.60000000003"/>
    <n v="0.91725295093942194"/>
  </r>
  <r>
    <x v="0"/>
    <d v="2010-03-12T00:00:00"/>
    <x v="3"/>
    <x v="1"/>
    <x v="0"/>
    <x v="21"/>
    <x v="5"/>
    <n v="190"/>
    <n v="589.96"/>
    <n v="399.96000000000004"/>
    <n v="2.1050526315789475"/>
  </r>
  <r>
    <x v="0"/>
    <d v="2010-03-12T00:00:00"/>
    <x v="3"/>
    <x v="1"/>
    <x v="0"/>
    <x v="22"/>
    <x v="6"/>
    <n v="3470.88"/>
    <n v="4247.7700000000004"/>
    <n v="776.89000000000033"/>
    <n v="0.22383084405107648"/>
  </r>
  <r>
    <x v="0"/>
    <d v="2010-03-12T00:00:00"/>
    <x v="3"/>
    <x v="1"/>
    <x v="0"/>
    <x v="23"/>
    <x v="6"/>
    <n v="149717.81"/>
    <n v="161922.25"/>
    <n v="12204.440000000002"/>
    <n v="8.1516287207246768E-2"/>
  </r>
  <r>
    <x v="0"/>
    <d v="2010-03-12T00:00:00"/>
    <x v="3"/>
    <x v="1"/>
    <x v="0"/>
    <x v="24"/>
    <x v="6"/>
    <n v="416874.59"/>
    <n v="449076.3"/>
    <n v="32201.709999999963"/>
    <n v="7.7245557231012715E-2"/>
  </r>
  <r>
    <x v="0"/>
    <d v="2010-03-12T00:00:00"/>
    <x v="3"/>
    <x v="1"/>
    <x v="0"/>
    <x v="25"/>
    <x v="6"/>
    <n v="593738.52"/>
    <n v="613979.59"/>
    <n v="20241.069999999949"/>
    <n v="3.4090882296132559E-2"/>
  </r>
  <r>
    <x v="0"/>
    <d v="2010-03-13T00:00:00"/>
    <x v="3"/>
    <x v="1"/>
    <x v="0"/>
    <x v="0"/>
    <x v="0"/>
    <n v="16477.939999999999"/>
    <n v="19558.990000000002"/>
    <n v="3081.0500000000029"/>
    <n v="0.18698029001197985"/>
  </r>
  <r>
    <x v="0"/>
    <d v="2010-03-13T00:00:00"/>
    <x v="3"/>
    <x v="1"/>
    <x v="0"/>
    <x v="1"/>
    <x v="0"/>
    <n v="379801.51"/>
    <n v="491179.64"/>
    <n v="111378.13"/>
    <n v="0.29325352076667627"/>
  </r>
  <r>
    <x v="0"/>
    <d v="2010-03-13T00:00:00"/>
    <x v="3"/>
    <x v="1"/>
    <x v="0"/>
    <x v="2"/>
    <x v="0"/>
    <n v="78207.83"/>
    <n v="87398.9"/>
    <n v="9191.0699999999924"/>
    <n v="0.11752109731212325"/>
  </r>
  <r>
    <x v="0"/>
    <d v="2010-03-13T00:00:00"/>
    <x v="3"/>
    <x v="1"/>
    <x v="0"/>
    <x v="3"/>
    <x v="0"/>
    <n v="1583"/>
    <n v="1745.25"/>
    <n v="162.25"/>
    <n v="0.10249526216045483"/>
  </r>
  <r>
    <x v="0"/>
    <d v="2010-03-13T00:00:00"/>
    <x v="3"/>
    <x v="1"/>
    <x v="0"/>
    <x v="5"/>
    <x v="1"/>
    <n v="163962.23000000001"/>
    <n v="182124.32"/>
    <n v="18162.089999999997"/>
    <n v="0.11076996208212096"/>
  </r>
  <r>
    <x v="0"/>
    <d v="2010-03-13T00:00:00"/>
    <x v="3"/>
    <x v="1"/>
    <x v="0"/>
    <x v="6"/>
    <x v="1"/>
    <n v="951208.52"/>
    <n v="1016951.4"/>
    <n v="65742.880000000005"/>
    <n v="6.9115108430694044E-2"/>
  </r>
  <r>
    <x v="0"/>
    <d v="2010-03-13T00:00:00"/>
    <x v="3"/>
    <x v="1"/>
    <x v="0"/>
    <x v="7"/>
    <x v="1"/>
    <n v="161130.49"/>
    <n v="175561.47"/>
    <n v="14430.98000000001"/>
    <n v="8.9560827376618857E-2"/>
  </r>
  <r>
    <x v="0"/>
    <d v="2010-03-13T00:00:00"/>
    <x v="3"/>
    <x v="1"/>
    <x v="0"/>
    <x v="8"/>
    <x v="1"/>
    <n v="386398.09"/>
    <n v="411869.83"/>
    <n v="25471.739999999991"/>
    <n v="6.5920978025538354E-2"/>
  </r>
  <r>
    <x v="0"/>
    <d v="2010-03-13T00:00:00"/>
    <x v="3"/>
    <x v="1"/>
    <x v="0"/>
    <x v="9"/>
    <x v="2"/>
    <n v="813115.63"/>
    <n v="864169.89"/>
    <n v="51054.260000000009"/>
    <n v="6.2788437605116515E-2"/>
  </r>
  <r>
    <x v="0"/>
    <d v="2010-03-13T00:00:00"/>
    <x v="3"/>
    <x v="1"/>
    <x v="0"/>
    <x v="10"/>
    <x v="2"/>
    <n v="310129.19"/>
    <n v="324826.63"/>
    <n v="14697.440000000002"/>
    <n v="4.7391346812597684E-2"/>
  </r>
  <r>
    <x v="0"/>
    <d v="2010-03-13T00:00:00"/>
    <x v="3"/>
    <x v="1"/>
    <x v="0"/>
    <x v="11"/>
    <x v="2"/>
    <n v="212639.99"/>
    <n v="223460.84"/>
    <n v="10820.850000000006"/>
    <n v="5.0888123160652922E-2"/>
  </r>
  <r>
    <x v="0"/>
    <d v="2010-03-13T00:00:00"/>
    <x v="3"/>
    <x v="1"/>
    <x v="0"/>
    <x v="12"/>
    <x v="2"/>
    <n v="21592.6"/>
    <n v="22135.86"/>
    <n v="543.26000000000204"/>
    <n v="2.5159545399812994E-2"/>
  </r>
  <r>
    <x v="0"/>
    <d v="2010-03-13T00:00:00"/>
    <x v="3"/>
    <x v="1"/>
    <x v="0"/>
    <x v="26"/>
    <x v="3"/>
    <n v="19642"/>
    <n v="22002.77"/>
    <n v="2360.7700000000004"/>
    <n v="0.12018989919560129"/>
  </r>
  <r>
    <x v="0"/>
    <d v="2010-03-13T00:00:00"/>
    <x v="3"/>
    <x v="1"/>
    <x v="0"/>
    <x v="13"/>
    <x v="3"/>
    <n v="233789.98"/>
    <n v="260083.26"/>
    <n v="26293.279999999999"/>
    <n v="0.11246538453016676"/>
  </r>
  <r>
    <x v="0"/>
    <d v="2010-03-13T00:00:00"/>
    <x v="3"/>
    <x v="1"/>
    <x v="0"/>
    <x v="14"/>
    <x v="3"/>
    <n v="161962.26"/>
    <n v="176541.76"/>
    <n v="14579.5"/>
    <n v="9.0017884413319496E-2"/>
  </r>
  <r>
    <x v="0"/>
    <d v="2010-03-13T00:00:00"/>
    <x v="3"/>
    <x v="1"/>
    <x v="0"/>
    <x v="15"/>
    <x v="3"/>
    <n v="1071763.78"/>
    <n v="1176412.8"/>
    <n v="104649.02000000002"/>
    <n v="9.7641870300935171E-2"/>
  </r>
  <r>
    <x v="0"/>
    <d v="2010-03-13T00:00:00"/>
    <x v="3"/>
    <x v="1"/>
    <x v="0"/>
    <x v="16"/>
    <x v="3"/>
    <n v="158534.76"/>
    <n v="178424.31"/>
    <n v="19889.549999999988"/>
    <n v="0.1254586060495502"/>
  </r>
  <r>
    <x v="0"/>
    <d v="2010-03-13T00:00:00"/>
    <x v="3"/>
    <x v="1"/>
    <x v="0"/>
    <x v="17"/>
    <x v="4"/>
    <n v="998986.46"/>
    <n v="1187780.92"/>
    <n v="188794.45999999996"/>
    <n v="0.18898600487538136"/>
  </r>
  <r>
    <x v="0"/>
    <d v="2010-03-13T00:00:00"/>
    <x v="3"/>
    <x v="1"/>
    <x v="0"/>
    <x v="18"/>
    <x v="5"/>
    <n v="13517.37"/>
    <n v="29289.13"/>
    <n v="15771.76"/>
    <n v="1.1667772651040846"/>
  </r>
  <r>
    <x v="0"/>
    <d v="2010-03-13T00:00:00"/>
    <x v="3"/>
    <x v="1"/>
    <x v="0"/>
    <x v="20"/>
    <x v="5"/>
    <n v="242866.09"/>
    <n v="482886.91"/>
    <n v="240020.81999999998"/>
    <n v="0.98828461396154554"/>
  </r>
  <r>
    <x v="0"/>
    <d v="2010-03-13T00:00:00"/>
    <x v="3"/>
    <x v="1"/>
    <x v="0"/>
    <x v="21"/>
    <x v="5"/>
    <n v="95"/>
    <n v="294.58999999999997"/>
    <n v="199.58999999999997"/>
    <n v="2.1009473684210525"/>
  </r>
  <r>
    <x v="0"/>
    <d v="2010-03-13T00:00:00"/>
    <x v="3"/>
    <x v="1"/>
    <x v="0"/>
    <x v="22"/>
    <x v="6"/>
    <n v="1538.48"/>
    <n v="1999.87"/>
    <n v="461.38999999999987"/>
    <n v="0.29989990120118548"/>
  </r>
  <r>
    <x v="0"/>
    <d v="2010-03-13T00:00:00"/>
    <x v="3"/>
    <x v="1"/>
    <x v="0"/>
    <x v="23"/>
    <x v="6"/>
    <n v="255071.76"/>
    <n v="276147.78000000003"/>
    <n v="21076.020000000019"/>
    <n v="8.2627806386720418E-2"/>
  </r>
  <r>
    <x v="0"/>
    <d v="2010-03-13T00:00:00"/>
    <x v="3"/>
    <x v="1"/>
    <x v="0"/>
    <x v="24"/>
    <x v="6"/>
    <n v="589520.53"/>
    <n v="630584.25"/>
    <n v="41063.719999999972"/>
    <n v="6.9656132246997349E-2"/>
  </r>
  <r>
    <x v="0"/>
    <d v="2010-03-13T00:00:00"/>
    <x v="3"/>
    <x v="1"/>
    <x v="0"/>
    <x v="25"/>
    <x v="6"/>
    <n v="552149.46"/>
    <n v="575713.79"/>
    <n v="23564.330000000075"/>
    <n v="4.2677448240192206E-2"/>
  </r>
  <r>
    <x v="0"/>
    <d v="2010-03-14T00:00:00"/>
    <x v="4"/>
    <x v="1"/>
    <x v="0"/>
    <x v="0"/>
    <x v="0"/>
    <n v="3230.97"/>
    <n v="3729.38"/>
    <n v="498.41000000000031"/>
    <n v="0.15426017573669837"/>
  </r>
  <r>
    <x v="0"/>
    <d v="2010-03-14T00:00:00"/>
    <x v="4"/>
    <x v="1"/>
    <x v="0"/>
    <x v="1"/>
    <x v="0"/>
    <n v="254135.24"/>
    <n v="361499.32"/>
    <n v="107364.08000000002"/>
    <n v="0.42246828893151545"/>
  </r>
  <r>
    <x v="0"/>
    <d v="2010-03-14T00:00:00"/>
    <x v="4"/>
    <x v="1"/>
    <x v="0"/>
    <x v="2"/>
    <x v="0"/>
    <n v="48618.66"/>
    <n v="53945.9"/>
    <n v="5327.239999999998"/>
    <n v="0.10957192156262632"/>
  </r>
  <r>
    <x v="0"/>
    <d v="2010-03-14T00:00:00"/>
    <x v="4"/>
    <x v="1"/>
    <x v="0"/>
    <x v="3"/>
    <x v="0"/>
    <n v="1565"/>
    <n v="1706.94"/>
    <n v="141.94000000000005"/>
    <n v="9.0696485623003226E-2"/>
  </r>
  <r>
    <x v="0"/>
    <d v="2010-03-14T00:00:00"/>
    <x v="4"/>
    <x v="1"/>
    <x v="0"/>
    <x v="5"/>
    <x v="1"/>
    <n v="134827.4"/>
    <n v="150644.01999999999"/>
    <n v="15816.619999999995"/>
    <n v="0.117310131323455"/>
  </r>
  <r>
    <x v="0"/>
    <d v="2010-03-14T00:00:00"/>
    <x v="4"/>
    <x v="1"/>
    <x v="0"/>
    <x v="6"/>
    <x v="1"/>
    <n v="780338.4"/>
    <n v="836915.95"/>
    <n v="56577.54999999993"/>
    <n v="7.2503864989855588E-2"/>
  </r>
  <r>
    <x v="0"/>
    <d v="2010-03-14T00:00:00"/>
    <x v="4"/>
    <x v="1"/>
    <x v="0"/>
    <x v="7"/>
    <x v="1"/>
    <n v="131223.51"/>
    <n v="142085.99"/>
    <n v="10862.479999999981"/>
    <n v="8.2778459439165897E-2"/>
  </r>
  <r>
    <x v="0"/>
    <d v="2010-03-14T00:00:00"/>
    <x v="4"/>
    <x v="1"/>
    <x v="0"/>
    <x v="8"/>
    <x v="1"/>
    <n v="328199.15999999997"/>
    <n v="348645.64"/>
    <n v="20446.48000000004"/>
    <n v="6.2299001618407679E-2"/>
  </r>
  <r>
    <x v="0"/>
    <d v="2010-03-14T00:00:00"/>
    <x v="4"/>
    <x v="1"/>
    <x v="0"/>
    <x v="9"/>
    <x v="2"/>
    <n v="465034.93"/>
    <n v="502544.42"/>
    <n v="37509.489999999991"/>
    <n v="8.0659510888784189E-2"/>
  </r>
  <r>
    <x v="0"/>
    <d v="2010-03-14T00:00:00"/>
    <x v="4"/>
    <x v="1"/>
    <x v="0"/>
    <x v="10"/>
    <x v="2"/>
    <n v="215121.2"/>
    <n v="225950.85"/>
    <n v="10829.649999999994"/>
    <n v="5.0342086228600404E-2"/>
  </r>
  <r>
    <x v="0"/>
    <d v="2010-03-14T00:00:00"/>
    <x v="4"/>
    <x v="1"/>
    <x v="0"/>
    <x v="11"/>
    <x v="2"/>
    <n v="175689"/>
    <n v="184518.6"/>
    <n v="8829.6000000000058"/>
    <n v="5.0256988200741114E-2"/>
  </r>
  <r>
    <x v="0"/>
    <d v="2010-03-14T00:00:00"/>
    <x v="4"/>
    <x v="1"/>
    <x v="0"/>
    <x v="12"/>
    <x v="2"/>
    <n v="16963.2"/>
    <n v="17463.580000000002"/>
    <n v="500.38000000000102"/>
    <n v="2.9497972080739541E-2"/>
  </r>
  <r>
    <x v="0"/>
    <d v="2010-03-14T00:00:00"/>
    <x v="4"/>
    <x v="1"/>
    <x v="0"/>
    <x v="26"/>
    <x v="3"/>
    <n v="18822"/>
    <n v="21103.599999999999"/>
    <n v="2281.5999999999985"/>
    <n v="0.12121984911274034"/>
  </r>
  <r>
    <x v="0"/>
    <d v="2010-03-14T00:00:00"/>
    <x v="4"/>
    <x v="1"/>
    <x v="0"/>
    <x v="13"/>
    <x v="3"/>
    <n v="147236"/>
    <n v="163692.12"/>
    <n v="16456.119999999995"/>
    <n v="0.11176695916759485"/>
  </r>
  <r>
    <x v="0"/>
    <d v="2010-03-14T00:00:00"/>
    <x v="4"/>
    <x v="1"/>
    <x v="0"/>
    <x v="14"/>
    <x v="3"/>
    <n v="100061.02"/>
    <n v="110758.2"/>
    <n v="10697.179999999993"/>
    <n v="0.10690656561366246"/>
  </r>
  <r>
    <x v="0"/>
    <d v="2010-03-14T00:00:00"/>
    <x v="4"/>
    <x v="1"/>
    <x v="0"/>
    <x v="15"/>
    <x v="3"/>
    <n v="845040.91"/>
    <n v="926994.26"/>
    <n v="81953.349999999977"/>
    <n v="9.6981517735040754E-2"/>
  </r>
  <r>
    <x v="0"/>
    <d v="2010-03-14T00:00:00"/>
    <x v="4"/>
    <x v="1"/>
    <x v="0"/>
    <x v="16"/>
    <x v="3"/>
    <n v="130232.82"/>
    <n v="146638.60999999999"/>
    <n v="16405.789999999979"/>
    <n v="0.12597277706188023"/>
  </r>
  <r>
    <x v="0"/>
    <d v="2010-03-14T00:00:00"/>
    <x v="4"/>
    <x v="1"/>
    <x v="0"/>
    <x v="17"/>
    <x v="4"/>
    <n v="798496.2"/>
    <n v="935065.65"/>
    <n v="136569.45000000007"/>
    <n v="0.17103331236892558"/>
  </r>
  <r>
    <x v="0"/>
    <d v="2010-03-14T00:00:00"/>
    <x v="4"/>
    <x v="1"/>
    <x v="0"/>
    <x v="18"/>
    <x v="5"/>
    <n v="10412.68"/>
    <n v="23139.75"/>
    <n v="12727.07"/>
    <n v="1.2222665058371138"/>
  </r>
  <r>
    <x v="0"/>
    <d v="2010-03-14T00:00:00"/>
    <x v="4"/>
    <x v="1"/>
    <x v="0"/>
    <x v="19"/>
    <x v="5"/>
    <n v="235.23"/>
    <n v="261.36"/>
    <n v="26.130000000000024"/>
    <n v="0.11108277005484005"/>
  </r>
  <r>
    <x v="0"/>
    <d v="2010-03-14T00:00:00"/>
    <x v="4"/>
    <x v="1"/>
    <x v="0"/>
    <x v="20"/>
    <x v="5"/>
    <n v="198200.06"/>
    <n v="387134.15"/>
    <n v="188934.09000000003"/>
    <n v="0.95324940870350916"/>
  </r>
  <r>
    <x v="0"/>
    <d v="2010-03-14T00:00:00"/>
    <x v="4"/>
    <x v="1"/>
    <x v="0"/>
    <x v="21"/>
    <x v="5"/>
    <n v="76"/>
    <n v="235.96"/>
    <n v="159.96"/>
    <n v="2.1047368421052632"/>
  </r>
  <r>
    <x v="0"/>
    <d v="2010-03-14T00:00:00"/>
    <x v="4"/>
    <x v="1"/>
    <x v="0"/>
    <x v="22"/>
    <x v="6"/>
    <n v="2743.84"/>
    <n v="3488.87"/>
    <n v="745.02999999999975"/>
    <n v="0.27152822322001274"/>
  </r>
  <r>
    <x v="0"/>
    <d v="2010-03-14T00:00:00"/>
    <x v="4"/>
    <x v="1"/>
    <x v="0"/>
    <x v="23"/>
    <x v="6"/>
    <n v="243861.44"/>
    <n v="263037.09999999998"/>
    <n v="19175.659999999974"/>
    <n v="7.8633423964034554E-2"/>
  </r>
  <r>
    <x v="0"/>
    <d v="2010-03-14T00:00:00"/>
    <x v="4"/>
    <x v="1"/>
    <x v="0"/>
    <x v="24"/>
    <x v="6"/>
    <n v="503900.07"/>
    <n v="535098.28"/>
    <n v="31198.210000000021"/>
    <n v="6.1913486140218278E-2"/>
  </r>
  <r>
    <x v="0"/>
    <d v="2010-03-14T00:00:00"/>
    <x v="4"/>
    <x v="1"/>
    <x v="0"/>
    <x v="25"/>
    <x v="6"/>
    <n v="540760.86"/>
    <n v="557622.01"/>
    <n v="16861.150000000023"/>
    <n v="3.1180418641985338E-2"/>
  </r>
  <r>
    <x v="0"/>
    <d v="2010-03-15T00:00:00"/>
    <x v="4"/>
    <x v="1"/>
    <x v="0"/>
    <x v="0"/>
    <x v="0"/>
    <n v="8339.94"/>
    <n v="10304.459999999999"/>
    <n v="1964.5199999999986"/>
    <n v="0.23555565147950686"/>
  </r>
  <r>
    <x v="0"/>
    <d v="2010-03-15T00:00:00"/>
    <x v="4"/>
    <x v="1"/>
    <x v="0"/>
    <x v="1"/>
    <x v="0"/>
    <n v="181816.12"/>
    <n v="291707.92"/>
    <n v="109891.79999999999"/>
    <n v="0.60441175402929059"/>
  </r>
  <r>
    <x v="0"/>
    <d v="2010-03-15T00:00:00"/>
    <x v="4"/>
    <x v="1"/>
    <x v="0"/>
    <x v="2"/>
    <x v="0"/>
    <n v="31647.07"/>
    <n v="35202.49"/>
    <n v="3555.4199999999983"/>
    <n v="0.11234594545403408"/>
  </r>
  <r>
    <x v="0"/>
    <d v="2010-03-15T00:00:00"/>
    <x v="4"/>
    <x v="1"/>
    <x v="0"/>
    <x v="5"/>
    <x v="1"/>
    <n v="121051.87"/>
    <n v="132689.07999999999"/>
    <n v="11637.209999999992"/>
    <n v="9.6134078721790847E-2"/>
  </r>
  <r>
    <x v="0"/>
    <d v="2010-03-15T00:00:00"/>
    <x v="4"/>
    <x v="1"/>
    <x v="0"/>
    <x v="6"/>
    <x v="1"/>
    <n v="660629.15"/>
    <n v="708118.38"/>
    <n v="47489.229999999981"/>
    <n v="7.188485400621511E-2"/>
  </r>
  <r>
    <x v="0"/>
    <d v="2010-03-15T00:00:00"/>
    <x v="4"/>
    <x v="1"/>
    <x v="0"/>
    <x v="7"/>
    <x v="1"/>
    <n v="89927.58"/>
    <n v="98781.26"/>
    <n v="8853.679999999993"/>
    <n v="9.8453444427171202E-2"/>
  </r>
  <r>
    <x v="0"/>
    <d v="2010-03-15T00:00:00"/>
    <x v="4"/>
    <x v="1"/>
    <x v="0"/>
    <x v="8"/>
    <x v="1"/>
    <n v="240167.76"/>
    <n v="255056.05"/>
    <n v="14888.289999999979"/>
    <n v="6.1991209811008682E-2"/>
  </r>
  <r>
    <x v="0"/>
    <d v="2010-03-15T00:00:00"/>
    <x v="4"/>
    <x v="1"/>
    <x v="0"/>
    <x v="9"/>
    <x v="2"/>
    <n v="423272.41"/>
    <n v="456587.53"/>
    <n v="33315.120000000054"/>
    <n v="7.8708461059392124E-2"/>
  </r>
  <r>
    <x v="0"/>
    <d v="2010-03-15T00:00:00"/>
    <x v="4"/>
    <x v="1"/>
    <x v="0"/>
    <x v="10"/>
    <x v="2"/>
    <n v="198058"/>
    <n v="206150.6"/>
    <n v="8092.6000000000058"/>
    <n v="4.0859748154581009E-2"/>
  </r>
  <r>
    <x v="0"/>
    <d v="2010-03-15T00:00:00"/>
    <x v="4"/>
    <x v="1"/>
    <x v="0"/>
    <x v="11"/>
    <x v="2"/>
    <n v="176642"/>
    <n v="185212.35"/>
    <n v="8570.3500000000058"/>
    <n v="4.8518189332095459E-2"/>
  </r>
  <r>
    <x v="0"/>
    <d v="2010-03-15T00:00:00"/>
    <x v="4"/>
    <x v="1"/>
    <x v="0"/>
    <x v="12"/>
    <x v="2"/>
    <n v="6385.2"/>
    <n v="7121.42"/>
    <n v="736.22000000000025"/>
    <n v="0.11530100858234672"/>
  </r>
  <r>
    <x v="0"/>
    <d v="2010-03-15T00:00:00"/>
    <x v="4"/>
    <x v="1"/>
    <x v="0"/>
    <x v="26"/>
    <x v="3"/>
    <n v="7623"/>
    <n v="8340.56"/>
    <n v="717.55999999999949"/>
    <n v="9.4130919585464976E-2"/>
  </r>
  <r>
    <x v="0"/>
    <d v="2010-03-15T00:00:00"/>
    <x v="4"/>
    <x v="1"/>
    <x v="0"/>
    <x v="13"/>
    <x v="3"/>
    <n v="92796.75"/>
    <n v="103094.04"/>
    <n v="10297.289999999994"/>
    <n v="0.11096606292785031"/>
  </r>
  <r>
    <x v="0"/>
    <d v="2010-03-15T00:00:00"/>
    <x v="4"/>
    <x v="1"/>
    <x v="0"/>
    <x v="14"/>
    <x v="3"/>
    <n v="130679.63"/>
    <n v="140210.20000000001"/>
    <n v="9530.570000000007"/>
    <n v="7.293080030912244E-2"/>
  </r>
  <r>
    <x v="0"/>
    <d v="2010-03-15T00:00:00"/>
    <x v="4"/>
    <x v="1"/>
    <x v="0"/>
    <x v="15"/>
    <x v="3"/>
    <n v="723546.31"/>
    <n v="789999.95"/>
    <n v="66453.639999999898"/>
    <n v="9.1844349258031449E-2"/>
  </r>
  <r>
    <x v="0"/>
    <d v="2010-03-15T00:00:00"/>
    <x v="4"/>
    <x v="1"/>
    <x v="0"/>
    <x v="16"/>
    <x v="3"/>
    <n v="86314.44"/>
    <n v="97716.2"/>
    <n v="11401.759999999995"/>
    <n v="0.13209562617796042"/>
  </r>
  <r>
    <x v="0"/>
    <d v="2010-03-15T00:00:00"/>
    <x v="4"/>
    <x v="1"/>
    <x v="0"/>
    <x v="17"/>
    <x v="4"/>
    <n v="624240.79"/>
    <n v="723375.37"/>
    <n v="99134.579999999958"/>
    <n v="0.15880823808389699"/>
  </r>
  <r>
    <x v="0"/>
    <d v="2010-03-15T00:00:00"/>
    <x v="4"/>
    <x v="1"/>
    <x v="0"/>
    <x v="18"/>
    <x v="5"/>
    <n v="9765.4699999999993"/>
    <n v="21014.31"/>
    <n v="11248.840000000002"/>
    <n v="1.1518994989488476"/>
  </r>
  <r>
    <x v="0"/>
    <d v="2010-03-15T00:00:00"/>
    <x v="4"/>
    <x v="1"/>
    <x v="0"/>
    <x v="20"/>
    <x v="5"/>
    <n v="186802.1"/>
    <n v="365961.54"/>
    <n v="179159.43999999997"/>
    <n v="0.95908686251385811"/>
  </r>
  <r>
    <x v="0"/>
    <d v="2010-03-15T00:00:00"/>
    <x v="4"/>
    <x v="1"/>
    <x v="0"/>
    <x v="22"/>
    <x v="6"/>
    <n v="1683.32"/>
    <n v="2109.34"/>
    <n v="426.02000000000021"/>
    <n v="0.25308319273816043"/>
  </r>
  <r>
    <x v="0"/>
    <d v="2010-03-15T00:00:00"/>
    <x v="4"/>
    <x v="1"/>
    <x v="0"/>
    <x v="23"/>
    <x v="6"/>
    <n v="187559.46"/>
    <n v="200968.54"/>
    <n v="13409.080000000016"/>
    <n v="7.1492421656577695E-2"/>
  </r>
  <r>
    <x v="0"/>
    <d v="2010-03-15T00:00:00"/>
    <x v="4"/>
    <x v="1"/>
    <x v="0"/>
    <x v="24"/>
    <x v="6"/>
    <n v="328581.21000000002"/>
    <n v="353827.3"/>
    <n v="25246.089999999967"/>
    <n v="7.6833638782935781E-2"/>
  </r>
  <r>
    <x v="0"/>
    <d v="2010-03-15T00:00:00"/>
    <x v="4"/>
    <x v="1"/>
    <x v="0"/>
    <x v="25"/>
    <x v="6"/>
    <n v="355305.48"/>
    <n v="369304.89"/>
    <n v="13999.410000000033"/>
    <n v="3.9401052863018135E-2"/>
  </r>
  <r>
    <x v="0"/>
    <d v="2010-03-16T00:00:00"/>
    <x v="4"/>
    <x v="1"/>
    <x v="0"/>
    <x v="0"/>
    <x v="0"/>
    <n v="7776.95"/>
    <n v="9753.59"/>
    <n v="1976.6400000000003"/>
    <n v="0.25416647914670926"/>
  </r>
  <r>
    <x v="0"/>
    <d v="2010-03-16T00:00:00"/>
    <x v="4"/>
    <x v="1"/>
    <x v="0"/>
    <x v="1"/>
    <x v="0"/>
    <n v="182816.12"/>
    <n v="269508.95"/>
    <n v="86692.830000000016"/>
    <n v="0.47420779961854576"/>
  </r>
  <r>
    <x v="0"/>
    <d v="2010-03-16T00:00:00"/>
    <x v="4"/>
    <x v="1"/>
    <x v="0"/>
    <x v="2"/>
    <x v="0"/>
    <n v="35029.629999999997"/>
    <n v="38189.67"/>
    <n v="3160.0400000000009"/>
    <n v="9.0210487521563923E-2"/>
  </r>
  <r>
    <x v="0"/>
    <d v="2010-03-16T00:00:00"/>
    <x v="4"/>
    <x v="1"/>
    <x v="0"/>
    <x v="3"/>
    <x v="0"/>
    <n v="1172"/>
    <n v="1347.92"/>
    <n v="175.92000000000007"/>
    <n v="0.15010238907849835"/>
  </r>
  <r>
    <x v="0"/>
    <d v="2010-03-16T00:00:00"/>
    <x v="4"/>
    <x v="1"/>
    <x v="0"/>
    <x v="4"/>
    <x v="0"/>
    <n v="1760"/>
    <n v="2024"/>
    <n v="264"/>
    <n v="0.15"/>
  </r>
  <r>
    <x v="0"/>
    <d v="2010-03-16T00:00:00"/>
    <x v="4"/>
    <x v="1"/>
    <x v="0"/>
    <x v="5"/>
    <x v="1"/>
    <n v="140602.1"/>
    <n v="152898.06"/>
    <n v="12295.959999999992"/>
    <n v="8.7452178879262765E-2"/>
  </r>
  <r>
    <x v="0"/>
    <d v="2010-03-16T00:00:00"/>
    <x v="4"/>
    <x v="1"/>
    <x v="0"/>
    <x v="6"/>
    <x v="1"/>
    <n v="605040.81000000006"/>
    <n v="665182.38"/>
    <n v="60141.569999999949"/>
    <n v="9.9400848679942672E-2"/>
  </r>
  <r>
    <x v="0"/>
    <d v="2010-03-16T00:00:00"/>
    <x v="4"/>
    <x v="1"/>
    <x v="0"/>
    <x v="7"/>
    <x v="1"/>
    <n v="116087.26"/>
    <n v="127466.7"/>
    <n v="11379.440000000002"/>
    <n v="9.8024882316974343E-2"/>
  </r>
  <r>
    <x v="0"/>
    <d v="2010-03-16T00:00:00"/>
    <x v="4"/>
    <x v="1"/>
    <x v="0"/>
    <x v="8"/>
    <x v="1"/>
    <n v="237633.49"/>
    <n v="255567.43"/>
    <n v="17933.940000000002"/>
    <n v="7.5468908023023196E-2"/>
  </r>
  <r>
    <x v="0"/>
    <d v="2010-03-16T00:00:00"/>
    <x v="4"/>
    <x v="1"/>
    <x v="0"/>
    <x v="9"/>
    <x v="2"/>
    <n v="405379.43"/>
    <n v="432631.35"/>
    <n v="27251.919999999984"/>
    <n v="6.7225709997174712E-2"/>
  </r>
  <r>
    <x v="0"/>
    <d v="2010-03-16T00:00:00"/>
    <x v="4"/>
    <x v="1"/>
    <x v="0"/>
    <x v="10"/>
    <x v="2"/>
    <n v="181940.6"/>
    <n v="190450.59"/>
    <n v="8509.9899999999907"/>
    <n v="4.6773452434475817E-2"/>
  </r>
  <r>
    <x v="0"/>
    <d v="2010-03-16T00:00:00"/>
    <x v="4"/>
    <x v="1"/>
    <x v="0"/>
    <x v="11"/>
    <x v="2"/>
    <n v="131989"/>
    <n v="138490.29999999999"/>
    <n v="6501.2999999999884"/>
    <n v="4.925637742539142E-2"/>
  </r>
  <r>
    <x v="0"/>
    <d v="2010-03-16T00:00:00"/>
    <x v="4"/>
    <x v="1"/>
    <x v="0"/>
    <x v="12"/>
    <x v="2"/>
    <n v="14018.6"/>
    <n v="14543.69"/>
    <n v="525.09000000000015"/>
    <n v="3.7456664716876156E-2"/>
  </r>
  <r>
    <x v="0"/>
    <d v="2010-03-16T00:00:00"/>
    <x v="4"/>
    <x v="1"/>
    <x v="0"/>
    <x v="26"/>
    <x v="3"/>
    <n v="15276.75"/>
    <n v="16954.28"/>
    <n v="1677.5299999999988"/>
    <n v="0.10980935081087266"/>
  </r>
  <r>
    <x v="0"/>
    <d v="2010-03-16T00:00:00"/>
    <x v="4"/>
    <x v="1"/>
    <x v="0"/>
    <x v="13"/>
    <x v="3"/>
    <n v="69613.899999999994"/>
    <n v="77472.479999999996"/>
    <n v="7858.5800000000017"/>
    <n v="0.11288808700561243"/>
  </r>
  <r>
    <x v="0"/>
    <d v="2010-03-16T00:00:00"/>
    <x v="4"/>
    <x v="1"/>
    <x v="0"/>
    <x v="14"/>
    <x v="3"/>
    <n v="285502.03000000003"/>
    <n v="294167.55"/>
    <n v="8665.5199999999604"/>
    <n v="3.0351868251164309E-2"/>
  </r>
  <r>
    <x v="0"/>
    <d v="2010-03-16T00:00:00"/>
    <x v="4"/>
    <x v="1"/>
    <x v="0"/>
    <x v="15"/>
    <x v="3"/>
    <n v="637217.5"/>
    <n v="699900.56"/>
    <n v="62683.060000000056"/>
    <n v="9.8369960021499808E-2"/>
  </r>
  <r>
    <x v="0"/>
    <d v="2010-03-16T00:00:00"/>
    <x v="4"/>
    <x v="1"/>
    <x v="0"/>
    <x v="16"/>
    <x v="3"/>
    <n v="101427.12"/>
    <n v="114928.25"/>
    <n v="13501.130000000005"/>
    <n v="0.1331116372031465"/>
  </r>
  <r>
    <x v="0"/>
    <d v="2010-03-16T00:00:00"/>
    <x v="4"/>
    <x v="1"/>
    <x v="0"/>
    <x v="17"/>
    <x v="4"/>
    <n v="735441.24"/>
    <n v="875740.98"/>
    <n v="140299.74"/>
    <n v="0.19076947602231281"/>
  </r>
  <r>
    <x v="0"/>
    <d v="2010-03-16T00:00:00"/>
    <x v="4"/>
    <x v="1"/>
    <x v="0"/>
    <x v="18"/>
    <x v="5"/>
    <n v="6746.67"/>
    <n v="15114.1"/>
    <n v="8367.43"/>
    <n v="1.2402311066051845"/>
  </r>
  <r>
    <x v="0"/>
    <d v="2010-03-16T00:00:00"/>
    <x v="4"/>
    <x v="1"/>
    <x v="0"/>
    <x v="20"/>
    <x v="5"/>
    <n v="179221.25"/>
    <n v="340248.1"/>
    <n v="161026.84999999998"/>
    <n v="0.89848078841097234"/>
  </r>
  <r>
    <x v="0"/>
    <d v="2010-03-16T00:00:00"/>
    <x v="4"/>
    <x v="1"/>
    <x v="0"/>
    <x v="21"/>
    <x v="5"/>
    <n v="76"/>
    <n v="236"/>
    <n v="160"/>
    <n v="2.1052631578947367"/>
  </r>
  <r>
    <x v="0"/>
    <d v="2010-03-16T00:00:00"/>
    <x v="4"/>
    <x v="1"/>
    <x v="0"/>
    <x v="22"/>
    <x v="6"/>
    <n v="2981.44"/>
    <n v="3877.39"/>
    <n v="895.94999999999982"/>
    <n v="0.30050914994096806"/>
  </r>
  <r>
    <x v="0"/>
    <d v="2010-03-16T00:00:00"/>
    <x v="4"/>
    <x v="1"/>
    <x v="0"/>
    <x v="23"/>
    <x v="6"/>
    <n v="166699.57"/>
    <n v="181716.64"/>
    <n v="15017.070000000007"/>
    <n v="9.0084635491261347E-2"/>
  </r>
  <r>
    <x v="0"/>
    <d v="2010-03-16T00:00:00"/>
    <x v="4"/>
    <x v="1"/>
    <x v="0"/>
    <x v="24"/>
    <x v="6"/>
    <n v="328356.65000000002"/>
    <n v="356628.02"/>
    <n v="28271.369999999995"/>
    <n v="8.609958105005637E-2"/>
  </r>
  <r>
    <x v="0"/>
    <d v="2010-03-16T00:00:00"/>
    <x v="4"/>
    <x v="1"/>
    <x v="0"/>
    <x v="25"/>
    <x v="6"/>
    <n v="370060.04"/>
    <n v="385119.16"/>
    <n v="15059.119999999995"/>
    <n v="4.0693720943228553E-2"/>
  </r>
  <r>
    <x v="0"/>
    <d v="2010-03-17T00:00:00"/>
    <x v="4"/>
    <x v="1"/>
    <x v="0"/>
    <x v="0"/>
    <x v="0"/>
    <n v="9018"/>
    <n v="10656.05"/>
    <n v="1638.0499999999993"/>
    <n v="0.18164227101352842"/>
  </r>
  <r>
    <x v="0"/>
    <d v="2010-03-17T00:00:00"/>
    <x v="4"/>
    <x v="1"/>
    <x v="0"/>
    <x v="1"/>
    <x v="0"/>
    <n v="204419.07"/>
    <n v="277735.96000000002"/>
    <n v="73316.890000000014"/>
    <n v="0.35865973756753716"/>
  </r>
  <r>
    <x v="0"/>
    <d v="2010-03-17T00:00:00"/>
    <x v="4"/>
    <x v="1"/>
    <x v="0"/>
    <x v="2"/>
    <x v="0"/>
    <n v="13861.62"/>
    <n v="15243.2"/>
    <n v="1381.58"/>
    <n v="9.9669447005472658E-2"/>
  </r>
  <r>
    <x v="0"/>
    <d v="2010-03-17T00:00:00"/>
    <x v="4"/>
    <x v="1"/>
    <x v="0"/>
    <x v="3"/>
    <x v="0"/>
    <n v="1474"/>
    <n v="1601.78"/>
    <n v="127.77999999999997"/>
    <n v="8.6689280868385329E-2"/>
  </r>
  <r>
    <x v="0"/>
    <d v="2010-03-17T00:00:00"/>
    <x v="4"/>
    <x v="1"/>
    <x v="0"/>
    <x v="5"/>
    <x v="1"/>
    <n v="125345.52"/>
    <n v="133949.54"/>
    <n v="8604.0200000000041"/>
    <n v="6.864242136456096E-2"/>
  </r>
  <r>
    <x v="0"/>
    <d v="2010-03-17T00:00:00"/>
    <x v="4"/>
    <x v="1"/>
    <x v="0"/>
    <x v="6"/>
    <x v="1"/>
    <n v="526219.31000000006"/>
    <n v="560428.35"/>
    <n v="34209.039999999921"/>
    <n v="6.5009092881825103E-2"/>
  </r>
  <r>
    <x v="0"/>
    <d v="2010-03-17T00:00:00"/>
    <x v="4"/>
    <x v="1"/>
    <x v="0"/>
    <x v="7"/>
    <x v="1"/>
    <n v="80017.919999999998"/>
    <n v="87737.02"/>
    <n v="7719.1000000000058"/>
    <n v="9.6467141360335365E-2"/>
  </r>
  <r>
    <x v="0"/>
    <d v="2010-03-17T00:00:00"/>
    <x v="4"/>
    <x v="1"/>
    <x v="0"/>
    <x v="8"/>
    <x v="1"/>
    <n v="176765.7"/>
    <n v="193693.86"/>
    <n v="16928.159999999974"/>
    <n v="9.5766090367078976E-2"/>
  </r>
  <r>
    <x v="0"/>
    <d v="2010-03-17T00:00:00"/>
    <x v="4"/>
    <x v="1"/>
    <x v="0"/>
    <x v="9"/>
    <x v="2"/>
    <n v="634489.43000000005"/>
    <n v="669489.09"/>
    <n v="34999.659999999916"/>
    <n v="5.51619275990144E-2"/>
  </r>
  <r>
    <x v="0"/>
    <d v="2010-03-17T00:00:00"/>
    <x v="4"/>
    <x v="1"/>
    <x v="0"/>
    <x v="10"/>
    <x v="2"/>
    <n v="284257.8"/>
    <n v="294955.94"/>
    <n v="10698.140000000014"/>
    <n v="3.7635343691536392E-2"/>
  </r>
  <r>
    <x v="0"/>
    <d v="2010-03-17T00:00:00"/>
    <x v="4"/>
    <x v="1"/>
    <x v="0"/>
    <x v="11"/>
    <x v="2"/>
    <n v="138783.99"/>
    <n v="147254.73000000001"/>
    <n v="8470.7400000000198"/>
    <n v="6.1035426348529251E-2"/>
  </r>
  <r>
    <x v="0"/>
    <d v="2010-03-17T00:00:00"/>
    <x v="4"/>
    <x v="1"/>
    <x v="0"/>
    <x v="12"/>
    <x v="2"/>
    <n v="13294.8"/>
    <n v="13714.69"/>
    <n v="419.89000000000124"/>
    <n v="3.1583024942082712E-2"/>
  </r>
  <r>
    <x v="0"/>
    <d v="2010-03-17T00:00:00"/>
    <x v="4"/>
    <x v="1"/>
    <x v="0"/>
    <x v="26"/>
    <x v="3"/>
    <n v="8174"/>
    <n v="9229"/>
    <n v="1055"/>
    <n v="0.12906777587472473"/>
  </r>
  <r>
    <x v="0"/>
    <d v="2010-03-17T00:00:00"/>
    <x v="4"/>
    <x v="1"/>
    <x v="0"/>
    <x v="13"/>
    <x v="3"/>
    <n v="99492.46"/>
    <n v="112459.97"/>
    <n v="12967.509999999995"/>
    <n v="0.13033661043258951"/>
  </r>
  <r>
    <x v="0"/>
    <d v="2010-03-17T00:00:00"/>
    <x v="4"/>
    <x v="1"/>
    <x v="0"/>
    <x v="14"/>
    <x v="3"/>
    <n v="65948.17"/>
    <n v="52130.73"/>
    <n v="-13817.439999999995"/>
    <n v="-0.20951968796101539"/>
  </r>
  <r>
    <x v="0"/>
    <d v="2010-03-17T00:00:00"/>
    <x v="4"/>
    <x v="1"/>
    <x v="0"/>
    <x v="15"/>
    <x v="3"/>
    <n v="680529.84"/>
    <n v="746325.45"/>
    <n v="65795.609999999986"/>
    <n v="9.6682916946007821E-2"/>
  </r>
  <r>
    <x v="0"/>
    <d v="2010-03-17T00:00:00"/>
    <x v="4"/>
    <x v="1"/>
    <x v="0"/>
    <x v="16"/>
    <x v="3"/>
    <n v="77593.039999999994"/>
    <n v="87300.45"/>
    <n v="9707.4100000000035"/>
    <n v="0.12510671060187878"/>
  </r>
  <r>
    <x v="0"/>
    <d v="2010-03-17T00:00:00"/>
    <x v="4"/>
    <x v="1"/>
    <x v="0"/>
    <x v="17"/>
    <x v="4"/>
    <n v="574180.68000000005"/>
    <n v="686008.06"/>
    <n v="111827.38"/>
    <n v="0.19475991424859504"/>
  </r>
  <r>
    <x v="0"/>
    <d v="2010-03-17T00:00:00"/>
    <x v="4"/>
    <x v="1"/>
    <x v="0"/>
    <x v="18"/>
    <x v="5"/>
    <n v="5388.66"/>
    <n v="11633.71"/>
    <n v="6245.0499999999993"/>
    <n v="1.1589244821532625"/>
  </r>
  <r>
    <x v="0"/>
    <d v="2010-03-17T00:00:00"/>
    <x v="4"/>
    <x v="1"/>
    <x v="0"/>
    <x v="20"/>
    <x v="5"/>
    <n v="174536.27"/>
    <n v="333589.18"/>
    <n v="159052.91"/>
    <n v="0.91128858202366769"/>
  </r>
  <r>
    <x v="0"/>
    <d v="2010-03-17T00:00:00"/>
    <x v="4"/>
    <x v="1"/>
    <x v="0"/>
    <x v="23"/>
    <x v="6"/>
    <n v="115187.56"/>
    <n v="125211.4"/>
    <n v="10023.839999999997"/>
    <n v="8.7021897156255384E-2"/>
  </r>
  <r>
    <x v="0"/>
    <d v="2010-03-17T00:00:00"/>
    <x v="4"/>
    <x v="1"/>
    <x v="0"/>
    <x v="24"/>
    <x v="6"/>
    <n v="311518.67"/>
    <n v="333731.69"/>
    <n v="22213.020000000019"/>
    <n v="7.1305581781021407E-2"/>
  </r>
  <r>
    <x v="0"/>
    <d v="2010-03-17T00:00:00"/>
    <x v="4"/>
    <x v="1"/>
    <x v="0"/>
    <x v="25"/>
    <x v="6"/>
    <n v="366831.33"/>
    <n v="378017.19"/>
    <n v="11185.859999999986"/>
    <n v="3.0493196968753966E-2"/>
  </r>
  <r>
    <x v="0"/>
    <d v="2010-03-18T00:00:00"/>
    <x v="4"/>
    <x v="1"/>
    <x v="0"/>
    <x v="0"/>
    <x v="0"/>
    <n v="16160.98"/>
    <n v="18945.18"/>
    <n v="2784.2000000000007"/>
    <n v="0.17227915633829141"/>
  </r>
  <r>
    <x v="0"/>
    <d v="2010-03-18T00:00:00"/>
    <x v="4"/>
    <x v="1"/>
    <x v="0"/>
    <x v="1"/>
    <x v="0"/>
    <n v="336826.45"/>
    <n v="425418.75"/>
    <n v="88592.299999999988"/>
    <n v="0.26302061491904805"/>
  </r>
  <r>
    <x v="0"/>
    <d v="2010-03-18T00:00:00"/>
    <x v="4"/>
    <x v="1"/>
    <x v="0"/>
    <x v="2"/>
    <x v="0"/>
    <n v="58657.96"/>
    <n v="65980.800000000003"/>
    <n v="7322.8400000000038"/>
    <n v="0.12483966370463623"/>
  </r>
  <r>
    <x v="0"/>
    <d v="2010-03-18T00:00:00"/>
    <x v="4"/>
    <x v="1"/>
    <x v="0"/>
    <x v="3"/>
    <x v="0"/>
    <n v="382"/>
    <n v="438.96"/>
    <n v="56.95999999999998"/>
    <n v="0.149109947643979"/>
  </r>
  <r>
    <x v="0"/>
    <d v="2010-03-18T00:00:00"/>
    <x v="4"/>
    <x v="1"/>
    <x v="0"/>
    <x v="5"/>
    <x v="1"/>
    <n v="139306.16"/>
    <n v="150180.56"/>
    <n v="10874.399999999994"/>
    <n v="7.806115680742326E-2"/>
  </r>
  <r>
    <x v="0"/>
    <d v="2010-03-18T00:00:00"/>
    <x v="4"/>
    <x v="1"/>
    <x v="0"/>
    <x v="6"/>
    <x v="1"/>
    <n v="773002.78"/>
    <n v="818967.34"/>
    <n v="45964.559999999939"/>
    <n v="5.9462347599836492E-2"/>
  </r>
  <r>
    <x v="0"/>
    <d v="2010-03-18T00:00:00"/>
    <x v="4"/>
    <x v="1"/>
    <x v="0"/>
    <x v="7"/>
    <x v="1"/>
    <n v="201750.88"/>
    <n v="197744.23"/>
    <n v="-4006.6499999999942"/>
    <n v="-1.9859392930528949E-2"/>
  </r>
  <r>
    <x v="0"/>
    <d v="2010-03-18T00:00:00"/>
    <x v="4"/>
    <x v="1"/>
    <x v="0"/>
    <x v="8"/>
    <x v="1"/>
    <n v="206779.93"/>
    <n v="224412.23"/>
    <n v="17632.300000000017"/>
    <n v="8.5270848094396876E-2"/>
  </r>
  <r>
    <x v="0"/>
    <d v="2010-03-18T00:00:00"/>
    <x v="4"/>
    <x v="1"/>
    <x v="0"/>
    <x v="9"/>
    <x v="2"/>
    <n v="368433.47"/>
    <n v="395144.05"/>
    <n v="26710.580000000016"/>
    <n v="7.2497702231016134E-2"/>
  </r>
  <r>
    <x v="0"/>
    <d v="2010-03-18T00:00:00"/>
    <x v="4"/>
    <x v="1"/>
    <x v="0"/>
    <x v="10"/>
    <x v="2"/>
    <n v="302111.90000000002"/>
    <n v="316004.90999999997"/>
    <n v="13893.009999999951"/>
    <n v="4.5986305074377905E-2"/>
  </r>
  <r>
    <x v="0"/>
    <d v="2010-03-18T00:00:00"/>
    <x v="4"/>
    <x v="1"/>
    <x v="0"/>
    <x v="11"/>
    <x v="2"/>
    <n v="153286"/>
    <n v="162832.91"/>
    <n v="9546.9100000000035"/>
    <n v="6.2281682606369813E-2"/>
  </r>
  <r>
    <x v="0"/>
    <d v="2010-03-18T00:00:00"/>
    <x v="4"/>
    <x v="1"/>
    <x v="0"/>
    <x v="12"/>
    <x v="2"/>
    <n v="9482.2000000000007"/>
    <n v="9951.6299999999992"/>
    <n v="469.42999999999847"/>
    <n v="4.9506443652316809E-2"/>
  </r>
  <r>
    <x v="0"/>
    <d v="2010-03-18T00:00:00"/>
    <x v="4"/>
    <x v="1"/>
    <x v="0"/>
    <x v="26"/>
    <x v="3"/>
    <n v="8514"/>
    <n v="9681.84"/>
    <n v="1167.8400000000001"/>
    <n v="0.13716701902748415"/>
  </r>
  <r>
    <x v="0"/>
    <d v="2010-03-18T00:00:00"/>
    <x v="4"/>
    <x v="1"/>
    <x v="0"/>
    <x v="13"/>
    <x v="3"/>
    <n v="217789.48"/>
    <n v="245100.27"/>
    <n v="27310.789999999979"/>
    <n v="0.12539995044756055"/>
  </r>
  <r>
    <x v="0"/>
    <d v="2010-03-18T00:00:00"/>
    <x v="4"/>
    <x v="1"/>
    <x v="0"/>
    <x v="14"/>
    <x v="3"/>
    <n v="74185.08"/>
    <n v="86843.59"/>
    <n v="12658.509999999995"/>
    <n v="0.17063417603647518"/>
  </r>
  <r>
    <x v="0"/>
    <d v="2010-03-18T00:00:00"/>
    <x v="4"/>
    <x v="1"/>
    <x v="0"/>
    <x v="15"/>
    <x v="3"/>
    <n v="755801.69"/>
    <n v="824734"/>
    <n v="68932.310000000056"/>
    <n v="9.1204228453101319E-2"/>
  </r>
  <r>
    <x v="0"/>
    <d v="2010-03-18T00:00:00"/>
    <x v="4"/>
    <x v="1"/>
    <x v="0"/>
    <x v="16"/>
    <x v="3"/>
    <n v="119998.32"/>
    <n v="135084.59"/>
    <n v="15086.26999999999"/>
    <n v="0.12572067675614115"/>
  </r>
  <r>
    <x v="0"/>
    <d v="2010-03-18T00:00:00"/>
    <x v="4"/>
    <x v="1"/>
    <x v="0"/>
    <x v="17"/>
    <x v="4"/>
    <n v="716673.97"/>
    <n v="844219.61"/>
    <n v="127545.64000000001"/>
    <n v="0.17796884683840272"/>
  </r>
  <r>
    <x v="0"/>
    <d v="2010-03-18T00:00:00"/>
    <x v="4"/>
    <x v="1"/>
    <x v="0"/>
    <x v="18"/>
    <x v="5"/>
    <n v="8011.52"/>
    <n v="17623.52"/>
    <n v="9612"/>
    <n v="1.1997723278478989"/>
  </r>
  <r>
    <x v="0"/>
    <d v="2010-03-18T00:00:00"/>
    <x v="4"/>
    <x v="1"/>
    <x v="0"/>
    <x v="20"/>
    <x v="5"/>
    <n v="209839.09"/>
    <n v="403615.15"/>
    <n v="193776.06000000003"/>
    <n v="0.92345072598246603"/>
  </r>
  <r>
    <x v="0"/>
    <d v="2010-03-18T00:00:00"/>
    <x v="4"/>
    <x v="1"/>
    <x v="0"/>
    <x v="21"/>
    <x v="5"/>
    <n v="38"/>
    <n v="118"/>
    <n v="80"/>
    <n v="2.1052631578947367"/>
  </r>
  <r>
    <x v="0"/>
    <d v="2010-03-18T00:00:00"/>
    <x v="4"/>
    <x v="1"/>
    <x v="0"/>
    <x v="22"/>
    <x v="6"/>
    <n v="3136.68"/>
    <n v="4078.86"/>
    <n v="942.18000000000029"/>
    <n v="0.30037491870385258"/>
  </r>
  <r>
    <x v="0"/>
    <d v="2010-03-18T00:00:00"/>
    <x v="4"/>
    <x v="1"/>
    <x v="0"/>
    <x v="23"/>
    <x v="6"/>
    <n v="181309.81"/>
    <n v="196502.63"/>
    <n v="15192.820000000007"/>
    <n v="8.3794804042870083E-2"/>
  </r>
  <r>
    <x v="0"/>
    <d v="2010-03-18T00:00:00"/>
    <x v="4"/>
    <x v="1"/>
    <x v="0"/>
    <x v="24"/>
    <x v="6"/>
    <n v="329720.7"/>
    <n v="358128.12"/>
    <n v="28407.419999999984"/>
    <n v="8.6156010223197951E-2"/>
  </r>
  <r>
    <x v="0"/>
    <d v="2010-03-18T00:00:00"/>
    <x v="4"/>
    <x v="1"/>
    <x v="0"/>
    <x v="25"/>
    <x v="6"/>
    <n v="308851.84000000003"/>
    <n v="328842.14"/>
    <n v="19990.299999999988"/>
    <n v="6.4724561783410406E-2"/>
  </r>
  <r>
    <x v="0"/>
    <d v="2010-03-19T00:00:00"/>
    <x v="4"/>
    <x v="1"/>
    <x v="0"/>
    <x v="0"/>
    <x v="0"/>
    <n v="8384.99"/>
    <n v="9846.5"/>
    <n v="1461.5100000000002"/>
    <n v="0.17430074454471625"/>
  </r>
  <r>
    <x v="0"/>
    <d v="2010-03-19T00:00:00"/>
    <x v="4"/>
    <x v="1"/>
    <x v="0"/>
    <x v="1"/>
    <x v="0"/>
    <n v="349582.44"/>
    <n v="476129.85"/>
    <n v="126547.40999999997"/>
    <n v="0.36199590002289583"/>
  </r>
  <r>
    <x v="0"/>
    <d v="2010-03-19T00:00:00"/>
    <x v="4"/>
    <x v="1"/>
    <x v="0"/>
    <x v="2"/>
    <x v="0"/>
    <n v="147729.26"/>
    <n v="162248.32999999999"/>
    <n v="14519.069999999978"/>
    <n v="9.8281613270113019E-2"/>
  </r>
  <r>
    <x v="0"/>
    <d v="2010-03-19T00:00:00"/>
    <x v="4"/>
    <x v="1"/>
    <x v="0"/>
    <x v="5"/>
    <x v="1"/>
    <n v="159343.32"/>
    <n v="172652.04"/>
    <n v="13308.720000000001"/>
    <n v="8.3522296384937883E-2"/>
  </r>
  <r>
    <x v="0"/>
    <d v="2010-03-19T00:00:00"/>
    <x v="4"/>
    <x v="1"/>
    <x v="0"/>
    <x v="6"/>
    <x v="1"/>
    <n v="749075.58"/>
    <n v="803952.29"/>
    <n v="54876.710000000079"/>
    <n v="7.3259243079316624E-2"/>
  </r>
  <r>
    <x v="0"/>
    <d v="2010-03-19T00:00:00"/>
    <x v="4"/>
    <x v="1"/>
    <x v="0"/>
    <x v="7"/>
    <x v="1"/>
    <n v="172293.81"/>
    <n v="189630.23"/>
    <n v="17336.420000000013"/>
    <n v="0.10062125853505714"/>
  </r>
  <r>
    <x v="0"/>
    <d v="2010-03-19T00:00:00"/>
    <x v="4"/>
    <x v="1"/>
    <x v="0"/>
    <x v="8"/>
    <x v="1"/>
    <n v="329216.82"/>
    <n v="350884.88"/>
    <n v="21668.059999999998"/>
    <n v="6.5816989545066373E-2"/>
  </r>
  <r>
    <x v="0"/>
    <d v="2010-03-19T00:00:00"/>
    <x v="4"/>
    <x v="1"/>
    <x v="0"/>
    <x v="9"/>
    <x v="2"/>
    <n v="822868.76"/>
    <n v="882819.43"/>
    <n v="59950.670000000042"/>
    <n v="7.2855688433232105E-2"/>
  </r>
  <r>
    <x v="0"/>
    <d v="2010-03-19T00:00:00"/>
    <x v="4"/>
    <x v="1"/>
    <x v="0"/>
    <x v="10"/>
    <x v="2"/>
    <n v="362080.56"/>
    <n v="377134.08000000002"/>
    <n v="15053.520000000019"/>
    <n v="4.1575057219310582E-2"/>
  </r>
  <r>
    <x v="0"/>
    <d v="2010-03-19T00:00:00"/>
    <x v="4"/>
    <x v="1"/>
    <x v="0"/>
    <x v="11"/>
    <x v="2"/>
    <n v="199781.99"/>
    <n v="211134.39"/>
    <n v="11352.400000000023"/>
    <n v="5.68239409368183E-2"/>
  </r>
  <r>
    <x v="0"/>
    <d v="2010-03-19T00:00:00"/>
    <x v="4"/>
    <x v="1"/>
    <x v="0"/>
    <x v="12"/>
    <x v="2"/>
    <n v="21075.4"/>
    <n v="21705.4"/>
    <n v="630"/>
    <n v="2.9892671076231055E-2"/>
  </r>
  <r>
    <x v="0"/>
    <d v="2010-03-19T00:00:00"/>
    <x v="4"/>
    <x v="1"/>
    <x v="0"/>
    <x v="26"/>
    <x v="3"/>
    <n v="14420"/>
    <n v="15967.05"/>
    <n v="1547.0499999999993"/>
    <n v="0.10728502080443823"/>
  </r>
  <r>
    <x v="0"/>
    <d v="2010-03-19T00:00:00"/>
    <x v="4"/>
    <x v="1"/>
    <x v="0"/>
    <x v="13"/>
    <x v="3"/>
    <n v="212982.92"/>
    <n v="238805.28"/>
    <n v="25822.359999999986"/>
    <n v="0.12124145917428489"/>
  </r>
  <r>
    <x v="0"/>
    <d v="2010-03-19T00:00:00"/>
    <x v="4"/>
    <x v="1"/>
    <x v="0"/>
    <x v="14"/>
    <x v="3"/>
    <n v="162608.87"/>
    <n v="179608.73"/>
    <n v="16999.860000000015"/>
    <n v="0.10454448149107742"/>
  </r>
  <r>
    <x v="0"/>
    <d v="2010-03-19T00:00:00"/>
    <x v="4"/>
    <x v="1"/>
    <x v="0"/>
    <x v="15"/>
    <x v="3"/>
    <n v="877474.87"/>
    <n v="956866.08"/>
    <n v="79391.209999999963"/>
    <n v="9.0476904483885637E-2"/>
  </r>
  <r>
    <x v="0"/>
    <d v="2010-03-19T00:00:00"/>
    <x v="4"/>
    <x v="1"/>
    <x v="0"/>
    <x v="16"/>
    <x v="3"/>
    <n v="123616.38"/>
    <n v="139163.26"/>
    <n v="15546.880000000005"/>
    <n v="0.12576715157004278"/>
  </r>
  <r>
    <x v="0"/>
    <d v="2010-03-19T00:00:00"/>
    <x v="4"/>
    <x v="1"/>
    <x v="0"/>
    <x v="17"/>
    <x v="4"/>
    <n v="825799.38"/>
    <n v="986273.83"/>
    <n v="160474.44999999995"/>
    <n v="0.19432619336672299"/>
  </r>
  <r>
    <x v="0"/>
    <d v="2010-03-19T00:00:00"/>
    <x v="4"/>
    <x v="1"/>
    <x v="0"/>
    <x v="18"/>
    <x v="5"/>
    <n v="15066.82"/>
    <n v="32241.93"/>
    <n v="17175.11"/>
    <n v="1.1399293281528551"/>
  </r>
  <r>
    <x v="0"/>
    <d v="2010-03-19T00:00:00"/>
    <x v="4"/>
    <x v="1"/>
    <x v="0"/>
    <x v="20"/>
    <x v="5"/>
    <n v="222802.88"/>
    <n v="430792.9"/>
    <n v="207990.02000000002"/>
    <n v="0.93351585042347751"/>
  </r>
  <r>
    <x v="0"/>
    <d v="2010-03-19T00:00:00"/>
    <x v="4"/>
    <x v="1"/>
    <x v="0"/>
    <x v="21"/>
    <x v="5"/>
    <n v="57"/>
    <n v="176.94"/>
    <n v="119.94"/>
    <n v="2.1042105263157893"/>
  </r>
  <r>
    <x v="0"/>
    <d v="2010-03-19T00:00:00"/>
    <x v="4"/>
    <x v="1"/>
    <x v="0"/>
    <x v="22"/>
    <x v="6"/>
    <n v="4268.32"/>
    <n v="5471.99"/>
    <n v="1203.67"/>
    <n v="0.28200088090864794"/>
  </r>
  <r>
    <x v="0"/>
    <d v="2010-03-19T00:00:00"/>
    <x v="4"/>
    <x v="1"/>
    <x v="0"/>
    <x v="23"/>
    <x v="6"/>
    <n v="228893.54"/>
    <n v="248922.95"/>
    <n v="20029.410000000003"/>
    <n v="8.7505352925207072E-2"/>
  </r>
  <r>
    <x v="0"/>
    <d v="2010-03-19T00:00:00"/>
    <x v="4"/>
    <x v="1"/>
    <x v="0"/>
    <x v="24"/>
    <x v="6"/>
    <n v="423845.98"/>
    <n v="445815.89"/>
    <n v="21969.910000000033"/>
    <n v="5.1834654654504528E-2"/>
  </r>
  <r>
    <x v="0"/>
    <d v="2010-03-19T00:00:00"/>
    <x v="4"/>
    <x v="1"/>
    <x v="0"/>
    <x v="25"/>
    <x v="6"/>
    <n v="479050.18"/>
    <n v="501620.25"/>
    <n v="22570.070000000007"/>
    <n v="4.7114208369569983E-2"/>
  </r>
  <r>
    <x v="0"/>
    <d v="2010-03-20T00:00:00"/>
    <x v="4"/>
    <x v="1"/>
    <x v="0"/>
    <x v="0"/>
    <x v="0"/>
    <n v="14994.98"/>
    <n v="17810.599999999999"/>
    <n v="2815.619999999999"/>
    <n v="0.18777084064133456"/>
  </r>
  <r>
    <x v="0"/>
    <d v="2010-03-20T00:00:00"/>
    <x v="4"/>
    <x v="1"/>
    <x v="0"/>
    <x v="1"/>
    <x v="0"/>
    <n v="605994.75"/>
    <n v="749366.33"/>
    <n v="143371.57999999996"/>
    <n v="0.23658881533214596"/>
  </r>
  <r>
    <x v="0"/>
    <d v="2010-03-20T00:00:00"/>
    <x v="4"/>
    <x v="1"/>
    <x v="0"/>
    <x v="2"/>
    <x v="0"/>
    <n v="262526.49"/>
    <n v="292658.71999999997"/>
    <n v="30132.229999999981"/>
    <n v="0.11477786489279608"/>
  </r>
  <r>
    <x v="0"/>
    <d v="2010-03-20T00:00:00"/>
    <x v="4"/>
    <x v="1"/>
    <x v="0"/>
    <x v="3"/>
    <x v="0"/>
    <n v="5155"/>
    <n v="5736.06"/>
    <n v="581.0600000000004"/>
    <n v="0.11271774975751706"/>
  </r>
  <r>
    <x v="0"/>
    <d v="2010-03-20T00:00:00"/>
    <x v="4"/>
    <x v="1"/>
    <x v="0"/>
    <x v="5"/>
    <x v="1"/>
    <n v="256072.55"/>
    <n v="280413.2"/>
    <n v="24340.650000000023"/>
    <n v="9.5053725985077372E-2"/>
  </r>
  <r>
    <x v="0"/>
    <d v="2010-03-20T00:00:00"/>
    <x v="4"/>
    <x v="1"/>
    <x v="0"/>
    <x v="6"/>
    <x v="1"/>
    <n v="916364.36"/>
    <n v="989668.43"/>
    <n v="73304.070000000065"/>
    <n v="7.9994457663106922E-2"/>
  </r>
  <r>
    <x v="0"/>
    <d v="2010-03-20T00:00:00"/>
    <x v="4"/>
    <x v="1"/>
    <x v="0"/>
    <x v="7"/>
    <x v="1"/>
    <n v="228237.28"/>
    <n v="250371.86"/>
    <n v="22134.579999999987"/>
    <n v="9.6980563385613366E-2"/>
  </r>
  <r>
    <x v="0"/>
    <d v="2010-03-20T00:00:00"/>
    <x v="4"/>
    <x v="1"/>
    <x v="0"/>
    <x v="8"/>
    <x v="1"/>
    <n v="390460.89"/>
    <n v="417420.87"/>
    <n v="26959.979999999981"/>
    <n v="6.904655674989621E-2"/>
  </r>
  <r>
    <x v="0"/>
    <d v="2010-03-20T00:00:00"/>
    <x v="4"/>
    <x v="1"/>
    <x v="0"/>
    <x v="9"/>
    <x v="2"/>
    <n v="863947.79"/>
    <n v="938135.49"/>
    <n v="74187.699999999953"/>
    <n v="8.5870582526751935E-2"/>
  </r>
  <r>
    <x v="0"/>
    <d v="2010-03-20T00:00:00"/>
    <x v="4"/>
    <x v="1"/>
    <x v="0"/>
    <x v="10"/>
    <x v="2"/>
    <n v="390414.15"/>
    <n v="408753.57"/>
    <n v="18339.419999999984"/>
    <n v="4.6974270783986652E-2"/>
  </r>
  <r>
    <x v="0"/>
    <d v="2010-03-20T00:00:00"/>
    <x v="4"/>
    <x v="1"/>
    <x v="0"/>
    <x v="11"/>
    <x v="2"/>
    <n v="293619.99"/>
    <n v="307332.59000000003"/>
    <n v="13712.600000000035"/>
    <n v="4.6701861136907045E-2"/>
  </r>
  <r>
    <x v="0"/>
    <d v="2010-03-20T00:00:00"/>
    <x v="4"/>
    <x v="1"/>
    <x v="0"/>
    <x v="12"/>
    <x v="2"/>
    <n v="38052.6"/>
    <n v="38641.9"/>
    <n v="589.30000000000291"/>
    <n v="1.5486458218360977E-2"/>
  </r>
  <r>
    <x v="0"/>
    <d v="2010-03-20T00:00:00"/>
    <x v="4"/>
    <x v="1"/>
    <x v="0"/>
    <x v="26"/>
    <x v="3"/>
    <n v="9859"/>
    <n v="10974.91"/>
    <n v="1115.9099999999999"/>
    <n v="0.11318693579470533"/>
  </r>
  <r>
    <x v="0"/>
    <d v="2010-03-20T00:00:00"/>
    <x v="4"/>
    <x v="1"/>
    <x v="0"/>
    <x v="13"/>
    <x v="3"/>
    <n v="238628.04"/>
    <n v="269727.05"/>
    <n v="31099.00999999998"/>
    <n v="0.13032420666070918"/>
  </r>
  <r>
    <x v="0"/>
    <d v="2010-03-20T00:00:00"/>
    <x v="4"/>
    <x v="1"/>
    <x v="0"/>
    <x v="14"/>
    <x v="3"/>
    <n v="218662.1"/>
    <n v="235654.55"/>
    <n v="16992.449999999983"/>
    <n v="7.7710997927852979E-2"/>
  </r>
  <r>
    <x v="0"/>
    <d v="2010-03-20T00:00:00"/>
    <x v="4"/>
    <x v="1"/>
    <x v="0"/>
    <x v="15"/>
    <x v="3"/>
    <n v="1269073.6200000001"/>
    <n v="1376990.36"/>
    <n v="107916.73999999999"/>
    <n v="8.5035838976780548E-2"/>
  </r>
  <r>
    <x v="0"/>
    <d v="2010-03-20T00:00:00"/>
    <x v="4"/>
    <x v="1"/>
    <x v="0"/>
    <x v="16"/>
    <x v="3"/>
    <n v="195895.36"/>
    <n v="220721.92000000001"/>
    <n v="24826.560000000027"/>
    <n v="0.12673378277055683"/>
  </r>
  <r>
    <x v="0"/>
    <d v="2010-03-20T00:00:00"/>
    <x v="4"/>
    <x v="1"/>
    <x v="0"/>
    <x v="17"/>
    <x v="4"/>
    <n v="1308679.6299999999"/>
    <n v="1549789.2"/>
    <n v="241109.57000000007"/>
    <n v="0.1842388041143424"/>
  </r>
  <r>
    <x v="0"/>
    <d v="2010-03-20T00:00:00"/>
    <x v="4"/>
    <x v="1"/>
    <x v="0"/>
    <x v="18"/>
    <x v="5"/>
    <n v="14742.45"/>
    <n v="31490.52"/>
    <n v="16748.07"/>
    <n v="1.1360438733046405"/>
  </r>
  <r>
    <x v="0"/>
    <d v="2010-03-20T00:00:00"/>
    <x v="4"/>
    <x v="1"/>
    <x v="0"/>
    <x v="20"/>
    <x v="5"/>
    <n v="306580.92"/>
    <n v="590953.56999999995"/>
    <n v="284372.64999999997"/>
    <n v="0.92756147381904908"/>
  </r>
  <r>
    <x v="0"/>
    <d v="2010-03-20T00:00:00"/>
    <x v="4"/>
    <x v="1"/>
    <x v="0"/>
    <x v="21"/>
    <x v="5"/>
    <n v="19"/>
    <n v="59"/>
    <n v="40"/>
    <n v="2.1052631578947367"/>
  </r>
  <r>
    <x v="0"/>
    <d v="2010-03-20T00:00:00"/>
    <x v="4"/>
    <x v="1"/>
    <x v="0"/>
    <x v="22"/>
    <x v="6"/>
    <n v="2096.44"/>
    <n v="2647.33"/>
    <n v="550.88999999999987"/>
    <n v="0.2627740359848123"/>
  </r>
  <r>
    <x v="0"/>
    <d v="2010-03-20T00:00:00"/>
    <x v="4"/>
    <x v="1"/>
    <x v="0"/>
    <x v="23"/>
    <x v="6"/>
    <n v="326834.89"/>
    <n v="353525.14"/>
    <n v="26690.25"/>
    <n v="8.1662793100210324E-2"/>
  </r>
  <r>
    <x v="0"/>
    <d v="2010-03-20T00:00:00"/>
    <x v="4"/>
    <x v="1"/>
    <x v="0"/>
    <x v="24"/>
    <x v="6"/>
    <n v="1175862.27"/>
    <n v="883941.17"/>
    <n v="-291921.09999999998"/>
    <n v="-0.24826130359638121"/>
  </r>
  <r>
    <x v="0"/>
    <d v="2010-03-20T00:00:00"/>
    <x v="4"/>
    <x v="1"/>
    <x v="0"/>
    <x v="25"/>
    <x v="6"/>
    <n v="521661.31"/>
    <n v="535637.59"/>
    <n v="13976.27999999997"/>
    <n v="2.6791866163124057E-2"/>
  </r>
  <r>
    <x v="0"/>
    <d v="2010-03-21T00:00:00"/>
    <x v="5"/>
    <x v="1"/>
    <x v="0"/>
    <x v="0"/>
    <x v="0"/>
    <n v="14513.99"/>
    <n v="17281.41"/>
    <n v="2767.42"/>
    <n v="0.19067258555366237"/>
  </r>
  <r>
    <x v="0"/>
    <d v="2010-03-21T00:00:00"/>
    <x v="5"/>
    <x v="1"/>
    <x v="0"/>
    <x v="1"/>
    <x v="0"/>
    <n v="579379.93999999994"/>
    <n v="764387.35"/>
    <n v="185007.41000000003"/>
    <n v="0.31931966785042654"/>
  </r>
  <r>
    <x v="0"/>
    <d v="2010-03-21T00:00:00"/>
    <x v="5"/>
    <x v="1"/>
    <x v="0"/>
    <x v="2"/>
    <x v="0"/>
    <n v="235514.2"/>
    <n v="266100.31"/>
    <n v="30586.109999999986"/>
    <n v="0.12986949406872275"/>
  </r>
  <r>
    <x v="0"/>
    <d v="2010-03-21T00:00:00"/>
    <x v="5"/>
    <x v="1"/>
    <x v="0"/>
    <x v="3"/>
    <x v="0"/>
    <n v="8700"/>
    <n v="9957.3700000000008"/>
    <n v="1257.3700000000008"/>
    <n v="0.14452528735632192"/>
  </r>
  <r>
    <x v="0"/>
    <d v="2010-03-21T00:00:00"/>
    <x v="5"/>
    <x v="1"/>
    <x v="0"/>
    <x v="5"/>
    <x v="1"/>
    <n v="244663.23"/>
    <n v="270481.99"/>
    <n v="25818.75999999998"/>
    <n v="0.10552774930666933"/>
  </r>
  <r>
    <x v="0"/>
    <d v="2010-03-21T00:00:00"/>
    <x v="5"/>
    <x v="1"/>
    <x v="0"/>
    <x v="6"/>
    <x v="1"/>
    <n v="869569.9"/>
    <n v="953347.64"/>
    <n v="83777.739999999991"/>
    <n v="9.634388218819441E-2"/>
  </r>
  <r>
    <x v="0"/>
    <d v="2010-03-21T00:00:00"/>
    <x v="5"/>
    <x v="1"/>
    <x v="0"/>
    <x v="7"/>
    <x v="1"/>
    <n v="229446.49"/>
    <n v="253114.23999999999"/>
    <n v="23667.75"/>
    <n v="0.10315150168564358"/>
  </r>
  <r>
    <x v="0"/>
    <d v="2010-03-21T00:00:00"/>
    <x v="5"/>
    <x v="1"/>
    <x v="0"/>
    <x v="8"/>
    <x v="1"/>
    <n v="384037.93"/>
    <n v="412191.82"/>
    <n v="28153.890000000014"/>
    <n v="7.3310180585547932E-2"/>
  </r>
  <r>
    <x v="0"/>
    <d v="2010-03-21T00:00:00"/>
    <x v="5"/>
    <x v="1"/>
    <x v="0"/>
    <x v="9"/>
    <x v="2"/>
    <n v="811487.49"/>
    <n v="881518.76"/>
    <n v="70031.270000000019"/>
    <n v="8.6299876292609295E-2"/>
  </r>
  <r>
    <x v="0"/>
    <d v="2010-03-21T00:00:00"/>
    <x v="5"/>
    <x v="1"/>
    <x v="0"/>
    <x v="10"/>
    <x v="2"/>
    <n v="416812.29"/>
    <n v="436402.95"/>
    <n v="19590.660000000033"/>
    <n v="4.7001157283534115E-2"/>
  </r>
  <r>
    <x v="0"/>
    <d v="2010-03-21T00:00:00"/>
    <x v="5"/>
    <x v="1"/>
    <x v="0"/>
    <x v="11"/>
    <x v="2"/>
    <n v="237555.98"/>
    <n v="250178.75"/>
    <n v="12622.76999999999"/>
    <n v="5.3135980832812499E-2"/>
  </r>
  <r>
    <x v="0"/>
    <d v="2010-03-21T00:00:00"/>
    <x v="5"/>
    <x v="1"/>
    <x v="0"/>
    <x v="12"/>
    <x v="2"/>
    <n v="10136.6"/>
    <n v="11218.41"/>
    <n v="1081.8099999999995"/>
    <n v="0.1067231616123749"/>
  </r>
  <r>
    <x v="0"/>
    <d v="2010-03-21T00:00:00"/>
    <x v="5"/>
    <x v="1"/>
    <x v="0"/>
    <x v="26"/>
    <x v="3"/>
    <n v="6998"/>
    <n v="7770.06"/>
    <n v="772.0600000000004"/>
    <n v="0.11032580737353535"/>
  </r>
  <r>
    <x v="0"/>
    <d v="2010-03-21T00:00:00"/>
    <x v="5"/>
    <x v="1"/>
    <x v="0"/>
    <x v="13"/>
    <x v="3"/>
    <n v="109898.99"/>
    <n v="124493.64"/>
    <n v="14594.649999999994"/>
    <n v="0.13280058351764645"/>
  </r>
  <r>
    <x v="0"/>
    <d v="2010-03-21T00:00:00"/>
    <x v="5"/>
    <x v="1"/>
    <x v="0"/>
    <x v="14"/>
    <x v="3"/>
    <n v="131201.56"/>
    <n v="141112.04"/>
    <n v="9910.4800000000105"/>
    <n v="7.5536296976956754E-2"/>
  </r>
  <r>
    <x v="0"/>
    <d v="2010-03-21T00:00:00"/>
    <x v="5"/>
    <x v="1"/>
    <x v="0"/>
    <x v="15"/>
    <x v="3"/>
    <n v="1083976.22"/>
    <n v="1179445.49"/>
    <n v="95469.270000000019"/>
    <n v="8.8073214373651135E-2"/>
  </r>
  <r>
    <x v="0"/>
    <d v="2010-03-21T00:00:00"/>
    <x v="5"/>
    <x v="1"/>
    <x v="0"/>
    <x v="16"/>
    <x v="3"/>
    <n v="177286.2"/>
    <n v="199581.83"/>
    <n v="22295.629999999976"/>
    <n v="0.12576066270245498"/>
  </r>
  <r>
    <x v="0"/>
    <d v="2010-03-21T00:00:00"/>
    <x v="5"/>
    <x v="1"/>
    <x v="0"/>
    <x v="17"/>
    <x v="4"/>
    <n v="1161646.54"/>
    <n v="1364356.53"/>
    <n v="202709.99"/>
    <n v="0.17450229740278828"/>
  </r>
  <r>
    <x v="0"/>
    <d v="2010-03-21T00:00:00"/>
    <x v="5"/>
    <x v="1"/>
    <x v="0"/>
    <x v="18"/>
    <x v="5"/>
    <n v="11793.81"/>
    <n v="25397.74"/>
    <n v="13603.930000000002"/>
    <n v="1.1534805122348082"/>
  </r>
  <r>
    <x v="0"/>
    <d v="2010-03-21T00:00:00"/>
    <x v="5"/>
    <x v="1"/>
    <x v="0"/>
    <x v="20"/>
    <x v="5"/>
    <n v="283347.27"/>
    <n v="545067.85"/>
    <n v="261720.57999999996"/>
    <n v="0.92367426021080046"/>
  </r>
  <r>
    <x v="0"/>
    <d v="2010-03-21T00:00:00"/>
    <x v="5"/>
    <x v="1"/>
    <x v="0"/>
    <x v="21"/>
    <x v="5"/>
    <n v="152"/>
    <n v="471"/>
    <n v="319"/>
    <n v="2.0986842105263159"/>
  </r>
  <r>
    <x v="0"/>
    <d v="2010-03-21T00:00:00"/>
    <x v="5"/>
    <x v="1"/>
    <x v="0"/>
    <x v="22"/>
    <x v="6"/>
    <n v="2160.7600000000002"/>
    <n v="2810.28"/>
    <n v="649.52"/>
    <n v="0.30059793776263904"/>
  </r>
  <r>
    <x v="0"/>
    <d v="2010-03-21T00:00:00"/>
    <x v="5"/>
    <x v="1"/>
    <x v="0"/>
    <x v="23"/>
    <x v="6"/>
    <n v="265749.12"/>
    <n v="289948.90999999997"/>
    <n v="24199.789999999979"/>
    <n v="9.1062540489315558E-2"/>
  </r>
  <r>
    <x v="0"/>
    <d v="2010-03-21T00:00:00"/>
    <x v="5"/>
    <x v="1"/>
    <x v="0"/>
    <x v="24"/>
    <x v="6"/>
    <n v="472420.09"/>
    <n v="494873.17"/>
    <n v="22453.079999999958"/>
    <n v="4.7527784011048214E-2"/>
  </r>
  <r>
    <x v="0"/>
    <d v="2010-03-21T00:00:00"/>
    <x v="5"/>
    <x v="1"/>
    <x v="0"/>
    <x v="25"/>
    <x v="6"/>
    <n v="457094.72"/>
    <n v="474334.1"/>
    <n v="17239.380000000005"/>
    <n v="3.7715115151625477E-2"/>
  </r>
  <r>
    <x v="0"/>
    <d v="2010-03-22T00:00:00"/>
    <x v="5"/>
    <x v="1"/>
    <x v="0"/>
    <x v="0"/>
    <x v="0"/>
    <n v="12629.99"/>
    <n v="15086.8"/>
    <n v="2456.8099999999995"/>
    <n v="0.19452192757080564"/>
  </r>
  <r>
    <x v="0"/>
    <d v="2010-03-22T00:00:00"/>
    <x v="5"/>
    <x v="1"/>
    <x v="0"/>
    <x v="1"/>
    <x v="0"/>
    <n v="602732.23"/>
    <n v="820889.19"/>
    <n v="218156.95999999996"/>
    <n v="0.36194673047432685"/>
  </r>
  <r>
    <x v="0"/>
    <d v="2010-03-22T00:00:00"/>
    <x v="5"/>
    <x v="1"/>
    <x v="0"/>
    <x v="2"/>
    <x v="0"/>
    <n v="214233.89"/>
    <n v="241926.96"/>
    <n v="27693.069999999978"/>
    <n v="0.12926558911850958"/>
  </r>
  <r>
    <x v="0"/>
    <d v="2010-03-22T00:00:00"/>
    <x v="5"/>
    <x v="1"/>
    <x v="0"/>
    <x v="3"/>
    <x v="0"/>
    <n v="420"/>
    <n v="483"/>
    <n v="63"/>
    <n v="0.15"/>
  </r>
  <r>
    <x v="0"/>
    <d v="2010-03-22T00:00:00"/>
    <x v="5"/>
    <x v="1"/>
    <x v="0"/>
    <x v="5"/>
    <x v="1"/>
    <n v="155491.26"/>
    <n v="171136.63"/>
    <n v="15645.369999999995"/>
    <n v="0.10061896726542698"/>
  </r>
  <r>
    <x v="0"/>
    <d v="2010-03-22T00:00:00"/>
    <x v="5"/>
    <x v="1"/>
    <x v="0"/>
    <x v="6"/>
    <x v="1"/>
    <n v="587487.56999999995"/>
    <n v="629958.23"/>
    <n v="42470.660000000033"/>
    <n v="7.2292014620837064E-2"/>
  </r>
  <r>
    <x v="0"/>
    <d v="2010-03-22T00:00:00"/>
    <x v="5"/>
    <x v="1"/>
    <x v="0"/>
    <x v="7"/>
    <x v="1"/>
    <n v="130528"/>
    <n v="143568.78"/>
    <n v="13040.779999999999"/>
    <n v="9.9907912478548661E-2"/>
  </r>
  <r>
    <x v="0"/>
    <d v="2010-03-22T00:00:00"/>
    <x v="5"/>
    <x v="1"/>
    <x v="0"/>
    <x v="8"/>
    <x v="1"/>
    <n v="161428.92000000001"/>
    <n v="173925.79"/>
    <n v="12496.869999999995"/>
    <n v="7.7414071778464447E-2"/>
  </r>
  <r>
    <x v="0"/>
    <d v="2010-03-22T00:00:00"/>
    <x v="5"/>
    <x v="1"/>
    <x v="0"/>
    <x v="9"/>
    <x v="2"/>
    <n v="716180.73"/>
    <n v="771624.69"/>
    <n v="55443.959999999963"/>
    <n v="7.7416157231708763E-2"/>
  </r>
  <r>
    <x v="0"/>
    <d v="2010-03-22T00:00:00"/>
    <x v="5"/>
    <x v="1"/>
    <x v="0"/>
    <x v="10"/>
    <x v="2"/>
    <n v="306619.84000000003"/>
    <n v="325134.28999999998"/>
    <n v="18514.449999999953"/>
    <n v="6.0382426655757021E-2"/>
  </r>
  <r>
    <x v="0"/>
    <d v="2010-03-22T00:00:00"/>
    <x v="5"/>
    <x v="1"/>
    <x v="0"/>
    <x v="11"/>
    <x v="2"/>
    <n v="205687.98"/>
    <n v="215776.56"/>
    <n v="10088.579999999987"/>
    <n v="4.9047980343819735E-2"/>
  </r>
  <r>
    <x v="0"/>
    <d v="2010-03-22T00:00:00"/>
    <x v="5"/>
    <x v="1"/>
    <x v="0"/>
    <x v="12"/>
    <x v="2"/>
    <n v="9237.7999999999993"/>
    <n v="9578.17"/>
    <n v="340.3700000000008"/>
    <n v="3.6845352789625328E-2"/>
  </r>
  <r>
    <x v="0"/>
    <d v="2010-03-22T00:00:00"/>
    <x v="5"/>
    <x v="1"/>
    <x v="0"/>
    <x v="26"/>
    <x v="3"/>
    <n v="3442"/>
    <n v="3935.75"/>
    <n v="493.75"/>
    <n v="0.1434485764090645"/>
  </r>
  <r>
    <x v="0"/>
    <d v="2010-03-22T00:00:00"/>
    <x v="5"/>
    <x v="1"/>
    <x v="0"/>
    <x v="13"/>
    <x v="3"/>
    <n v="47785.36"/>
    <n v="54624.36"/>
    <n v="6839"/>
    <n v="0.14311914778919735"/>
  </r>
  <r>
    <x v="0"/>
    <d v="2010-03-22T00:00:00"/>
    <x v="5"/>
    <x v="1"/>
    <x v="0"/>
    <x v="14"/>
    <x v="3"/>
    <n v="120842.06"/>
    <n v="127645.22"/>
    <n v="6803.1600000000035"/>
    <n v="5.6297947916478776E-2"/>
  </r>
  <r>
    <x v="0"/>
    <d v="2010-03-22T00:00:00"/>
    <x v="5"/>
    <x v="1"/>
    <x v="0"/>
    <x v="15"/>
    <x v="3"/>
    <n v="606107.5"/>
    <n v="656279.87"/>
    <n v="50172.369999999995"/>
    <n v="8.2778005551820424E-2"/>
  </r>
  <r>
    <x v="0"/>
    <d v="2010-03-22T00:00:00"/>
    <x v="5"/>
    <x v="1"/>
    <x v="0"/>
    <x v="16"/>
    <x v="3"/>
    <n v="76471.3"/>
    <n v="86550.080000000002"/>
    <n v="10078.779999999999"/>
    <n v="0.13179820403210091"/>
  </r>
  <r>
    <x v="0"/>
    <d v="2010-03-22T00:00:00"/>
    <x v="5"/>
    <x v="1"/>
    <x v="0"/>
    <x v="17"/>
    <x v="4"/>
    <n v="526507.06999999995"/>
    <n v="627335.72"/>
    <n v="100828.65000000002"/>
    <n v="0.1915048358230024"/>
  </r>
  <r>
    <x v="0"/>
    <d v="2010-03-22T00:00:00"/>
    <x v="5"/>
    <x v="1"/>
    <x v="0"/>
    <x v="18"/>
    <x v="5"/>
    <n v="7172.11"/>
    <n v="15334.02"/>
    <n v="8161.9100000000008"/>
    <n v="1.1380068069229281"/>
  </r>
  <r>
    <x v="0"/>
    <d v="2010-03-22T00:00:00"/>
    <x v="5"/>
    <x v="1"/>
    <x v="0"/>
    <x v="20"/>
    <x v="5"/>
    <n v="219602.46"/>
    <n v="434871.16"/>
    <n v="215268.69999999998"/>
    <n v="0.98026543054208037"/>
  </r>
  <r>
    <x v="0"/>
    <d v="2010-03-22T00:00:00"/>
    <x v="5"/>
    <x v="1"/>
    <x v="0"/>
    <x v="21"/>
    <x v="5"/>
    <n v="57"/>
    <n v="176.98"/>
    <n v="119.97999999999999"/>
    <n v="2.1049122807017544"/>
  </r>
  <r>
    <x v="0"/>
    <d v="2010-03-22T00:00:00"/>
    <x v="5"/>
    <x v="1"/>
    <x v="0"/>
    <x v="22"/>
    <x v="6"/>
    <n v="4333.08"/>
    <n v="5398.87"/>
    <n v="1065.79"/>
    <n v="0.24596591800751427"/>
  </r>
  <r>
    <x v="0"/>
    <d v="2010-03-22T00:00:00"/>
    <x v="5"/>
    <x v="1"/>
    <x v="0"/>
    <x v="23"/>
    <x v="6"/>
    <n v="188873.82"/>
    <n v="202018.86"/>
    <n v="13145.039999999979"/>
    <n v="6.9596940433565527E-2"/>
  </r>
  <r>
    <x v="0"/>
    <d v="2010-03-22T00:00:00"/>
    <x v="5"/>
    <x v="1"/>
    <x v="0"/>
    <x v="24"/>
    <x v="6"/>
    <n v="323085.56"/>
    <n v="349076.83"/>
    <n v="25991.270000000019"/>
    <n v="8.0447018430659725E-2"/>
  </r>
  <r>
    <x v="0"/>
    <d v="2010-03-22T00:00:00"/>
    <x v="5"/>
    <x v="1"/>
    <x v="0"/>
    <x v="25"/>
    <x v="6"/>
    <n v="311339.23"/>
    <n v="315406.45"/>
    <n v="4067.2200000000303"/>
    <n v="1.306362837731702E-2"/>
  </r>
  <r>
    <x v="0"/>
    <d v="2010-03-23T00:00:00"/>
    <x v="5"/>
    <x v="1"/>
    <x v="0"/>
    <x v="0"/>
    <x v="0"/>
    <n v="6728"/>
    <n v="8162.11"/>
    <n v="1434.1099999999997"/>
    <n v="0.21315546967895357"/>
  </r>
  <r>
    <x v="0"/>
    <d v="2010-03-23T00:00:00"/>
    <x v="5"/>
    <x v="1"/>
    <x v="0"/>
    <x v="1"/>
    <x v="0"/>
    <n v="221090.77"/>
    <n v="324725.43"/>
    <n v="103634.66"/>
    <n v="0.4687425892994086"/>
  </r>
  <r>
    <x v="0"/>
    <d v="2010-03-23T00:00:00"/>
    <x v="5"/>
    <x v="1"/>
    <x v="0"/>
    <x v="2"/>
    <x v="0"/>
    <n v="94007.69"/>
    <n v="106460"/>
    <n v="12452.309999999998"/>
    <n v="0.13246054657868944"/>
  </r>
  <r>
    <x v="0"/>
    <d v="2010-03-23T00:00:00"/>
    <x v="5"/>
    <x v="1"/>
    <x v="0"/>
    <x v="3"/>
    <x v="0"/>
    <n v="2264"/>
    <n v="2510.9899999999998"/>
    <n v="246.98999999999978"/>
    <n v="0.10909452296819779"/>
  </r>
  <r>
    <x v="0"/>
    <d v="2010-03-23T00:00:00"/>
    <x v="5"/>
    <x v="1"/>
    <x v="0"/>
    <x v="5"/>
    <x v="1"/>
    <n v="94650.28"/>
    <n v="104722.87"/>
    <n v="10072.589999999997"/>
    <n v="0.10641901957395157"/>
  </r>
  <r>
    <x v="0"/>
    <d v="2010-03-23T00:00:00"/>
    <x v="5"/>
    <x v="1"/>
    <x v="0"/>
    <x v="6"/>
    <x v="1"/>
    <n v="642282.13"/>
    <n v="677974"/>
    <n v="35691.869999999995"/>
    <n v="5.5570392406838399E-2"/>
  </r>
  <r>
    <x v="0"/>
    <d v="2010-03-23T00:00:00"/>
    <x v="5"/>
    <x v="1"/>
    <x v="0"/>
    <x v="7"/>
    <x v="1"/>
    <n v="92469.07"/>
    <n v="101609.37"/>
    <n v="9140.2999999999884"/>
    <n v="9.8847106389195735E-2"/>
  </r>
  <r>
    <x v="0"/>
    <d v="2010-03-23T00:00:00"/>
    <x v="5"/>
    <x v="1"/>
    <x v="0"/>
    <x v="8"/>
    <x v="1"/>
    <n v="97346.64"/>
    <n v="105509.04"/>
    <n v="8162.3999999999942"/>
    <n v="8.3848810806412988E-2"/>
  </r>
  <r>
    <x v="0"/>
    <d v="2010-03-23T00:00:00"/>
    <x v="5"/>
    <x v="1"/>
    <x v="0"/>
    <x v="9"/>
    <x v="2"/>
    <n v="326618"/>
    <n v="352161.2"/>
    <n v="25543.200000000012"/>
    <n v="7.820512035466512E-2"/>
  </r>
  <r>
    <x v="0"/>
    <d v="2010-03-23T00:00:00"/>
    <x v="5"/>
    <x v="1"/>
    <x v="0"/>
    <x v="10"/>
    <x v="2"/>
    <n v="144853.62"/>
    <n v="152416.01999999999"/>
    <n v="7562.3999999999942"/>
    <n v="5.2207186813833129E-2"/>
  </r>
  <r>
    <x v="0"/>
    <d v="2010-03-23T00:00:00"/>
    <x v="5"/>
    <x v="1"/>
    <x v="0"/>
    <x v="11"/>
    <x v="2"/>
    <n v="139055.99"/>
    <n v="146393.09"/>
    <n v="7337.1000000000058"/>
    <n v="5.27636385890317E-2"/>
  </r>
  <r>
    <x v="0"/>
    <d v="2010-03-23T00:00:00"/>
    <x v="5"/>
    <x v="1"/>
    <x v="0"/>
    <x v="12"/>
    <x v="2"/>
    <n v="14253.6"/>
    <n v="14521.44"/>
    <n v="267.84000000000015"/>
    <n v="1.8791042263007249E-2"/>
  </r>
  <r>
    <x v="0"/>
    <d v="2010-03-23T00:00:00"/>
    <x v="5"/>
    <x v="1"/>
    <x v="0"/>
    <x v="26"/>
    <x v="3"/>
    <n v="5431"/>
    <n v="6242.78"/>
    <n v="811.77999999999975"/>
    <n v="0.14947155220033137"/>
  </r>
  <r>
    <x v="0"/>
    <d v="2010-03-23T00:00:00"/>
    <x v="5"/>
    <x v="1"/>
    <x v="0"/>
    <x v="13"/>
    <x v="3"/>
    <n v="80745.070000000007"/>
    <n v="90923.86"/>
    <n v="10178.789999999994"/>
    <n v="0.12606082327998469"/>
  </r>
  <r>
    <x v="0"/>
    <d v="2010-03-23T00:00:00"/>
    <x v="5"/>
    <x v="1"/>
    <x v="0"/>
    <x v="14"/>
    <x v="3"/>
    <n v="23080.74"/>
    <n v="22486.39"/>
    <n v="-594.35000000000218"/>
    <n v="-2.5750907466571788E-2"/>
  </r>
  <r>
    <x v="0"/>
    <d v="2010-03-23T00:00:00"/>
    <x v="5"/>
    <x v="1"/>
    <x v="0"/>
    <x v="15"/>
    <x v="3"/>
    <n v="311636.40000000002"/>
    <n v="340480.79"/>
    <n v="28844.389999999956"/>
    <n v="9.255783342382326E-2"/>
  </r>
  <r>
    <x v="0"/>
    <d v="2010-03-23T00:00:00"/>
    <x v="5"/>
    <x v="1"/>
    <x v="0"/>
    <x v="16"/>
    <x v="3"/>
    <n v="59162.9"/>
    <n v="67479.570000000007"/>
    <n v="8316.6700000000055"/>
    <n v="0.14057238573497927"/>
  </r>
  <r>
    <x v="0"/>
    <d v="2010-03-23T00:00:00"/>
    <x v="5"/>
    <x v="1"/>
    <x v="0"/>
    <x v="17"/>
    <x v="4"/>
    <n v="190932.52"/>
    <n v="223014.9"/>
    <n v="32082.380000000005"/>
    <n v="0.16802994063033372"/>
  </r>
  <r>
    <x v="0"/>
    <d v="2010-03-23T00:00:00"/>
    <x v="5"/>
    <x v="1"/>
    <x v="0"/>
    <x v="18"/>
    <x v="5"/>
    <n v="4382.29"/>
    <n v="9830.7000000000007"/>
    <n v="5448.4100000000008"/>
    <n v="1.2432791987750698"/>
  </r>
  <r>
    <x v="0"/>
    <d v="2010-03-23T00:00:00"/>
    <x v="5"/>
    <x v="1"/>
    <x v="0"/>
    <x v="20"/>
    <x v="5"/>
    <n v="171432.05"/>
    <n v="331780.59999999998"/>
    <n v="160348.54999999999"/>
    <n v="0.93534756190572299"/>
  </r>
  <r>
    <x v="0"/>
    <d v="2010-03-23T00:00:00"/>
    <x v="5"/>
    <x v="1"/>
    <x v="0"/>
    <x v="21"/>
    <x v="5"/>
    <n v="19"/>
    <n v="59"/>
    <n v="40"/>
    <n v="2.1052631578947367"/>
  </r>
  <r>
    <x v="0"/>
    <d v="2010-03-23T00:00:00"/>
    <x v="5"/>
    <x v="1"/>
    <x v="0"/>
    <x v="22"/>
    <x v="6"/>
    <n v="855.96"/>
    <n v="1034.03"/>
    <n v="178.06999999999994"/>
    <n v="0.20803542221599131"/>
  </r>
  <r>
    <x v="0"/>
    <d v="2010-03-23T00:00:00"/>
    <x v="5"/>
    <x v="1"/>
    <x v="0"/>
    <x v="23"/>
    <x v="6"/>
    <n v="137125.22"/>
    <n v="149754.76"/>
    <n v="12629.540000000008"/>
    <n v="9.2102240565229421E-2"/>
  </r>
  <r>
    <x v="0"/>
    <d v="2010-03-23T00:00:00"/>
    <x v="5"/>
    <x v="1"/>
    <x v="0"/>
    <x v="24"/>
    <x v="6"/>
    <n v="317931.7"/>
    <n v="341937.96"/>
    <n v="24006.260000000009"/>
    <n v="7.550760116087829E-2"/>
  </r>
  <r>
    <x v="0"/>
    <d v="2010-03-23T00:00:00"/>
    <x v="5"/>
    <x v="1"/>
    <x v="0"/>
    <x v="25"/>
    <x v="6"/>
    <n v="303416.96000000002"/>
    <n v="315623.59000000003"/>
    <n v="12206.630000000005"/>
    <n v="4.0230546110540437E-2"/>
  </r>
  <r>
    <x v="0"/>
    <d v="2010-03-24T00:00:00"/>
    <x v="5"/>
    <x v="1"/>
    <x v="0"/>
    <x v="0"/>
    <x v="0"/>
    <n v="9848"/>
    <n v="11958.26"/>
    <n v="2110.2600000000002"/>
    <n v="0.21428310316815599"/>
  </r>
  <r>
    <x v="0"/>
    <d v="2010-03-24T00:00:00"/>
    <x v="5"/>
    <x v="1"/>
    <x v="0"/>
    <x v="1"/>
    <x v="0"/>
    <n v="182404.09"/>
    <n v="274519.12"/>
    <n v="92115.03"/>
    <n v="0.5050052879844964"/>
  </r>
  <r>
    <x v="0"/>
    <d v="2010-03-24T00:00:00"/>
    <x v="5"/>
    <x v="1"/>
    <x v="0"/>
    <x v="2"/>
    <x v="0"/>
    <n v="87020.11"/>
    <n v="97371.71"/>
    <n v="10351.600000000006"/>
    <n v="0.11895641133986162"/>
  </r>
  <r>
    <x v="0"/>
    <d v="2010-03-24T00:00:00"/>
    <x v="5"/>
    <x v="1"/>
    <x v="0"/>
    <x v="3"/>
    <x v="0"/>
    <n v="710"/>
    <n v="817"/>
    <n v="107"/>
    <n v="0.15070422535211267"/>
  </r>
  <r>
    <x v="0"/>
    <d v="2010-03-24T00:00:00"/>
    <x v="5"/>
    <x v="1"/>
    <x v="0"/>
    <x v="5"/>
    <x v="1"/>
    <n v="90496.74"/>
    <n v="99170.63"/>
    <n v="8673.89"/>
    <n v="9.5847541027444735E-2"/>
  </r>
  <r>
    <x v="0"/>
    <d v="2010-03-24T00:00:00"/>
    <x v="5"/>
    <x v="1"/>
    <x v="0"/>
    <x v="6"/>
    <x v="1"/>
    <n v="391926.62"/>
    <n v="421437.1"/>
    <n v="29510.479999999981"/>
    <n v="7.5295931672107352E-2"/>
  </r>
  <r>
    <x v="0"/>
    <d v="2010-03-24T00:00:00"/>
    <x v="5"/>
    <x v="1"/>
    <x v="0"/>
    <x v="7"/>
    <x v="1"/>
    <n v="110935.14"/>
    <n v="121713.37"/>
    <n v="10778.229999999996"/>
    <n v="9.7157942920520907E-2"/>
  </r>
  <r>
    <x v="0"/>
    <d v="2010-03-24T00:00:00"/>
    <x v="5"/>
    <x v="1"/>
    <x v="0"/>
    <x v="8"/>
    <x v="1"/>
    <n v="111157.9"/>
    <n v="119830.21"/>
    <n v="8672.3100000000122"/>
    <n v="7.8017936646878117E-2"/>
  </r>
  <r>
    <x v="0"/>
    <d v="2010-03-24T00:00:00"/>
    <x v="5"/>
    <x v="1"/>
    <x v="0"/>
    <x v="9"/>
    <x v="2"/>
    <n v="262230"/>
    <n v="283448.87"/>
    <n v="21218.869999999995"/>
    <n v="8.0917019410441202E-2"/>
  </r>
  <r>
    <x v="0"/>
    <d v="2010-03-24T00:00:00"/>
    <x v="5"/>
    <x v="1"/>
    <x v="0"/>
    <x v="10"/>
    <x v="2"/>
    <n v="175078.74"/>
    <n v="183043.43"/>
    <n v="7964.6900000000023"/>
    <n v="4.5492045464800596E-2"/>
  </r>
  <r>
    <x v="0"/>
    <d v="2010-03-24T00:00:00"/>
    <x v="5"/>
    <x v="1"/>
    <x v="0"/>
    <x v="11"/>
    <x v="2"/>
    <n v="143529"/>
    <n v="150238"/>
    <n v="6709"/>
    <n v="4.6743166886134509E-2"/>
  </r>
  <r>
    <x v="0"/>
    <d v="2010-03-24T00:00:00"/>
    <x v="5"/>
    <x v="1"/>
    <x v="0"/>
    <x v="12"/>
    <x v="2"/>
    <n v="1877.4"/>
    <n v="2029.18"/>
    <n v="151.77999999999997"/>
    <n v="8.0845850644508346E-2"/>
  </r>
  <r>
    <x v="0"/>
    <d v="2010-03-24T00:00:00"/>
    <x v="5"/>
    <x v="1"/>
    <x v="0"/>
    <x v="26"/>
    <x v="3"/>
    <n v="2600"/>
    <n v="2991.71"/>
    <n v="391.71000000000004"/>
    <n v="0.15065769230769233"/>
  </r>
  <r>
    <x v="0"/>
    <d v="2010-03-24T00:00:00"/>
    <x v="5"/>
    <x v="1"/>
    <x v="0"/>
    <x v="13"/>
    <x v="3"/>
    <n v="111383.6"/>
    <n v="125165.36"/>
    <n v="13781.759999999995"/>
    <n v="0.12373239866551264"/>
  </r>
  <r>
    <x v="0"/>
    <d v="2010-03-24T00:00:00"/>
    <x v="5"/>
    <x v="1"/>
    <x v="0"/>
    <x v="14"/>
    <x v="3"/>
    <n v="37939.730000000003"/>
    <n v="41380.660000000003"/>
    <n v="3440.9300000000003"/>
    <n v="9.0694635939686449E-2"/>
  </r>
  <r>
    <x v="0"/>
    <d v="2010-03-24T00:00:00"/>
    <x v="5"/>
    <x v="1"/>
    <x v="0"/>
    <x v="15"/>
    <x v="3"/>
    <n v="376326.3"/>
    <n v="409529.82"/>
    <n v="33203.520000000019"/>
    <n v="8.8230665781264872E-2"/>
  </r>
  <r>
    <x v="0"/>
    <d v="2010-03-24T00:00:00"/>
    <x v="5"/>
    <x v="1"/>
    <x v="0"/>
    <x v="16"/>
    <x v="3"/>
    <n v="47805.2"/>
    <n v="55001.17"/>
    <n v="7195.9700000000012"/>
    <n v="0.15052693012475635"/>
  </r>
  <r>
    <x v="0"/>
    <d v="2010-03-24T00:00:00"/>
    <x v="5"/>
    <x v="1"/>
    <x v="0"/>
    <x v="17"/>
    <x v="4"/>
    <n v="356687.52"/>
    <n v="401786.44"/>
    <n v="45098.919999999984"/>
    <n v="0.12643817759589676"/>
  </r>
  <r>
    <x v="0"/>
    <d v="2010-03-24T00:00:00"/>
    <x v="5"/>
    <x v="1"/>
    <x v="0"/>
    <x v="18"/>
    <x v="5"/>
    <n v="6309.71"/>
    <n v="13771.07"/>
    <n v="7461.36"/>
    <n v="1.1825202743073771"/>
  </r>
  <r>
    <x v="0"/>
    <d v="2010-03-24T00:00:00"/>
    <x v="5"/>
    <x v="1"/>
    <x v="0"/>
    <x v="20"/>
    <x v="5"/>
    <n v="141904.54999999999"/>
    <n v="272894.49"/>
    <n v="130989.94"/>
    <n v="0.92308484823072978"/>
  </r>
  <r>
    <x v="0"/>
    <d v="2010-03-24T00:00:00"/>
    <x v="5"/>
    <x v="1"/>
    <x v="0"/>
    <x v="21"/>
    <x v="5"/>
    <n v="133"/>
    <n v="412.93"/>
    <n v="279.93"/>
    <n v="2.1047368421052632"/>
  </r>
  <r>
    <x v="0"/>
    <d v="2010-03-24T00:00:00"/>
    <x v="5"/>
    <x v="1"/>
    <x v="0"/>
    <x v="22"/>
    <x v="6"/>
    <n v="2482.12"/>
    <n v="3228.15"/>
    <n v="746.0300000000002"/>
    <n v="0.30056161668251341"/>
  </r>
  <r>
    <x v="0"/>
    <d v="2010-03-24T00:00:00"/>
    <x v="5"/>
    <x v="1"/>
    <x v="0"/>
    <x v="23"/>
    <x v="6"/>
    <n v="141861.28"/>
    <n v="155236.89000000001"/>
    <n v="13375.610000000015"/>
    <n v="9.4286545278599032E-2"/>
  </r>
  <r>
    <x v="0"/>
    <d v="2010-03-24T00:00:00"/>
    <x v="5"/>
    <x v="1"/>
    <x v="0"/>
    <x v="24"/>
    <x v="6"/>
    <n v="290082.96000000002"/>
    <n v="310646.09000000003"/>
    <n v="20563.130000000005"/>
    <n v="7.0887066237878993E-2"/>
  </r>
  <r>
    <x v="0"/>
    <d v="2010-03-24T00:00:00"/>
    <x v="5"/>
    <x v="1"/>
    <x v="0"/>
    <x v="25"/>
    <x v="6"/>
    <n v="294161.56"/>
    <n v="305021.58"/>
    <n v="10860.020000000019"/>
    <n v="3.6918555911928191E-2"/>
  </r>
  <r>
    <x v="0"/>
    <d v="2010-03-25T00:00:00"/>
    <x v="5"/>
    <x v="1"/>
    <x v="0"/>
    <x v="0"/>
    <x v="0"/>
    <n v="5874.99"/>
    <n v="7191.38"/>
    <n v="1316.3900000000003"/>
    <n v="0.2240667643689607"/>
  </r>
  <r>
    <x v="0"/>
    <d v="2010-03-25T00:00:00"/>
    <x v="5"/>
    <x v="1"/>
    <x v="0"/>
    <x v="1"/>
    <x v="0"/>
    <n v="178937.21"/>
    <n v="268766.62"/>
    <n v="89829.41"/>
    <n v="0.50201637770031182"/>
  </r>
  <r>
    <x v="0"/>
    <d v="2010-03-25T00:00:00"/>
    <x v="5"/>
    <x v="1"/>
    <x v="0"/>
    <x v="2"/>
    <x v="0"/>
    <n v="102810.83"/>
    <n v="114794.87"/>
    <n v="11984.039999999994"/>
    <n v="0.11656398455298915"/>
  </r>
  <r>
    <x v="0"/>
    <d v="2010-03-25T00:00:00"/>
    <x v="5"/>
    <x v="1"/>
    <x v="0"/>
    <x v="5"/>
    <x v="1"/>
    <n v="73731.39"/>
    <n v="81280.42"/>
    <n v="7549.0299999999988"/>
    <n v="0.10238556468283046"/>
  </r>
  <r>
    <x v="0"/>
    <d v="2010-03-25T00:00:00"/>
    <x v="5"/>
    <x v="1"/>
    <x v="0"/>
    <x v="6"/>
    <x v="1"/>
    <n v="399387.25"/>
    <n v="435433.25"/>
    <n v="36046"/>
    <n v="9.0253256707618981E-2"/>
  </r>
  <r>
    <x v="0"/>
    <d v="2010-03-25T00:00:00"/>
    <x v="5"/>
    <x v="1"/>
    <x v="0"/>
    <x v="7"/>
    <x v="1"/>
    <n v="99881.22"/>
    <n v="108903.86"/>
    <n v="9022.64"/>
    <n v="9.033369836692022E-2"/>
  </r>
  <r>
    <x v="0"/>
    <d v="2010-03-25T00:00:00"/>
    <x v="5"/>
    <x v="1"/>
    <x v="0"/>
    <x v="8"/>
    <x v="1"/>
    <n v="109292.5"/>
    <n v="116771.27"/>
    <n v="7478.7700000000041"/>
    <n v="6.8428940686689421E-2"/>
  </r>
  <r>
    <x v="0"/>
    <d v="2010-03-25T00:00:00"/>
    <x v="5"/>
    <x v="1"/>
    <x v="0"/>
    <x v="9"/>
    <x v="2"/>
    <n v="383887"/>
    <n v="414008.65"/>
    <n v="30121.650000000023"/>
    <n v="7.8464886802626879E-2"/>
  </r>
  <r>
    <x v="0"/>
    <d v="2010-03-25T00:00:00"/>
    <x v="5"/>
    <x v="1"/>
    <x v="0"/>
    <x v="10"/>
    <x v="2"/>
    <n v="178878.84"/>
    <n v="186401.06"/>
    <n v="7522.2200000000012"/>
    <n v="4.2052039246229467E-2"/>
  </r>
  <r>
    <x v="0"/>
    <d v="2010-03-25T00:00:00"/>
    <x v="5"/>
    <x v="1"/>
    <x v="0"/>
    <x v="11"/>
    <x v="2"/>
    <n v="126110"/>
    <n v="132505.65"/>
    <n v="6395.6499999999942"/>
    <n v="5.0714852113234433E-2"/>
  </r>
  <r>
    <x v="0"/>
    <d v="2010-03-25T00:00:00"/>
    <x v="5"/>
    <x v="1"/>
    <x v="0"/>
    <x v="12"/>
    <x v="2"/>
    <n v="7783.8"/>
    <n v="7879.97"/>
    <n v="96.170000000000073"/>
    <n v="1.2355147871219722E-2"/>
  </r>
  <r>
    <x v="0"/>
    <d v="2010-03-25T00:00:00"/>
    <x v="5"/>
    <x v="1"/>
    <x v="0"/>
    <x v="26"/>
    <x v="3"/>
    <n v="2600"/>
    <n v="2906.96"/>
    <n v="306.96000000000004"/>
    <n v="0.11806153846153848"/>
  </r>
  <r>
    <x v="0"/>
    <d v="2010-03-25T00:00:00"/>
    <x v="5"/>
    <x v="1"/>
    <x v="0"/>
    <x v="13"/>
    <x v="3"/>
    <n v="103960.86"/>
    <n v="117424.97"/>
    <n v="13464.11"/>
    <n v="0.12951133724749872"/>
  </r>
  <r>
    <x v="0"/>
    <d v="2010-03-25T00:00:00"/>
    <x v="5"/>
    <x v="1"/>
    <x v="0"/>
    <x v="14"/>
    <x v="3"/>
    <n v="88390.63"/>
    <n v="99392.07"/>
    <n v="11001.440000000002"/>
    <n v="0.12446387134020882"/>
  </r>
  <r>
    <x v="0"/>
    <d v="2010-03-25T00:00:00"/>
    <x v="5"/>
    <x v="1"/>
    <x v="0"/>
    <x v="15"/>
    <x v="3"/>
    <n v="395567.2"/>
    <n v="430446.55"/>
    <n v="34879.349999999977"/>
    <n v="8.8175536293201198E-2"/>
  </r>
  <r>
    <x v="0"/>
    <d v="2010-03-25T00:00:00"/>
    <x v="5"/>
    <x v="1"/>
    <x v="0"/>
    <x v="16"/>
    <x v="3"/>
    <n v="51359.12"/>
    <n v="59088.72"/>
    <n v="7729.5999999999985"/>
    <n v="0.1505010210455319"/>
  </r>
  <r>
    <x v="0"/>
    <d v="2010-03-25T00:00:00"/>
    <x v="5"/>
    <x v="1"/>
    <x v="0"/>
    <x v="17"/>
    <x v="4"/>
    <n v="399010.95"/>
    <n v="457483.35"/>
    <n v="58472.399999999965"/>
    <n v="0.14654334674273967"/>
  </r>
  <r>
    <x v="0"/>
    <d v="2010-03-25T00:00:00"/>
    <x v="5"/>
    <x v="1"/>
    <x v="0"/>
    <x v="18"/>
    <x v="5"/>
    <n v="8381.64"/>
    <n v="18251.14"/>
    <n v="9869.5"/>
    <n v="1.1775141857679405"/>
  </r>
  <r>
    <x v="0"/>
    <d v="2010-03-25T00:00:00"/>
    <x v="5"/>
    <x v="1"/>
    <x v="0"/>
    <x v="19"/>
    <x v="5"/>
    <n v="7486.95"/>
    <n v="8272.92"/>
    <n v="785.97000000000025"/>
    <n v="0.10497866287339976"/>
  </r>
  <r>
    <x v="0"/>
    <d v="2010-03-25T00:00:00"/>
    <x v="5"/>
    <x v="1"/>
    <x v="0"/>
    <x v="20"/>
    <x v="5"/>
    <n v="159627.73000000001"/>
    <n v="309830.59999999998"/>
    <n v="150202.86999999997"/>
    <n v="0.94095725097387506"/>
  </r>
  <r>
    <x v="0"/>
    <d v="2010-03-25T00:00:00"/>
    <x v="5"/>
    <x v="1"/>
    <x v="0"/>
    <x v="21"/>
    <x v="5"/>
    <n v="38"/>
    <n v="117.95"/>
    <n v="79.95"/>
    <n v="2.1039473684210526"/>
  </r>
  <r>
    <x v="0"/>
    <d v="2010-03-25T00:00:00"/>
    <x v="5"/>
    <x v="1"/>
    <x v="0"/>
    <x v="22"/>
    <x v="6"/>
    <n v="1056.5999999999999"/>
    <n v="1373.96"/>
    <n v="317.36000000000013"/>
    <n v="0.30035964414158639"/>
  </r>
  <r>
    <x v="0"/>
    <d v="2010-03-25T00:00:00"/>
    <x v="5"/>
    <x v="1"/>
    <x v="0"/>
    <x v="23"/>
    <x v="6"/>
    <n v="122428.2"/>
    <n v="130572.38"/>
    <n v="8144.1800000000076"/>
    <n v="6.652209213236826E-2"/>
  </r>
  <r>
    <x v="0"/>
    <d v="2010-03-25T00:00:00"/>
    <x v="5"/>
    <x v="1"/>
    <x v="0"/>
    <x v="24"/>
    <x v="6"/>
    <n v="238135.11"/>
    <n v="254681.57"/>
    <n v="16546.460000000021"/>
    <n v="6.9483496154767024E-2"/>
  </r>
  <r>
    <x v="0"/>
    <d v="2010-03-25T00:00:00"/>
    <x v="5"/>
    <x v="1"/>
    <x v="0"/>
    <x v="25"/>
    <x v="6"/>
    <n v="177953.89"/>
    <n v="180601.44"/>
    <n v="2647.5499999999884"/>
    <n v="1.4877730405331337E-2"/>
  </r>
  <r>
    <x v="0"/>
    <d v="2010-03-26T00:00:00"/>
    <x v="5"/>
    <x v="1"/>
    <x v="0"/>
    <x v="0"/>
    <x v="0"/>
    <n v="9448.9500000000007"/>
    <n v="11508.12"/>
    <n v="2059.17"/>
    <n v="0.21792580127950723"/>
  </r>
  <r>
    <x v="0"/>
    <d v="2010-03-26T00:00:00"/>
    <x v="5"/>
    <x v="1"/>
    <x v="0"/>
    <x v="1"/>
    <x v="0"/>
    <n v="211130.26"/>
    <n v="301219.90000000002"/>
    <n v="90089.640000000014"/>
    <n v="0.42670169591038259"/>
  </r>
  <r>
    <x v="0"/>
    <d v="2010-03-26T00:00:00"/>
    <x v="5"/>
    <x v="1"/>
    <x v="0"/>
    <x v="2"/>
    <x v="0"/>
    <n v="118570.24000000001"/>
    <n v="131144.41"/>
    <n v="12574.169999999998"/>
    <n v="0.10604827990564916"/>
  </r>
  <r>
    <x v="0"/>
    <d v="2010-03-26T00:00:00"/>
    <x v="5"/>
    <x v="1"/>
    <x v="0"/>
    <x v="4"/>
    <x v="0"/>
    <n v="1760"/>
    <n v="2023.98"/>
    <n v="263.98"/>
    <n v="0.14998863636363638"/>
  </r>
  <r>
    <x v="0"/>
    <d v="2010-03-26T00:00:00"/>
    <x v="5"/>
    <x v="1"/>
    <x v="0"/>
    <x v="5"/>
    <x v="1"/>
    <n v="90947.92"/>
    <n v="99618.1"/>
    <n v="8670.1800000000076"/>
    <n v="9.53312621113271E-2"/>
  </r>
  <r>
    <x v="0"/>
    <d v="2010-03-26T00:00:00"/>
    <x v="5"/>
    <x v="1"/>
    <x v="0"/>
    <x v="6"/>
    <x v="1"/>
    <n v="560522.23"/>
    <n v="592653.6"/>
    <n v="32131.369999999995"/>
    <n v="5.7323988738145135E-2"/>
  </r>
  <r>
    <x v="0"/>
    <d v="2010-03-26T00:00:00"/>
    <x v="5"/>
    <x v="1"/>
    <x v="0"/>
    <x v="7"/>
    <x v="1"/>
    <n v="102674.15"/>
    <n v="111292.35"/>
    <n v="8618.2000000000116"/>
    <n v="8.3937388329974119E-2"/>
  </r>
  <r>
    <x v="0"/>
    <d v="2010-03-26T00:00:00"/>
    <x v="5"/>
    <x v="1"/>
    <x v="0"/>
    <x v="8"/>
    <x v="1"/>
    <n v="112788.56"/>
    <n v="122973.58"/>
    <n v="10185.020000000004"/>
    <n v="9.0301888773116748E-2"/>
  </r>
  <r>
    <x v="0"/>
    <d v="2010-03-26T00:00:00"/>
    <x v="5"/>
    <x v="1"/>
    <x v="0"/>
    <x v="9"/>
    <x v="2"/>
    <n v="370605.5"/>
    <n v="404943.8"/>
    <n v="34338.299999999988"/>
    <n v="9.2654588234659191E-2"/>
  </r>
  <r>
    <x v="0"/>
    <d v="2010-03-26T00:00:00"/>
    <x v="5"/>
    <x v="1"/>
    <x v="0"/>
    <x v="10"/>
    <x v="2"/>
    <n v="219441.44"/>
    <n v="230978.35"/>
    <n v="11536.910000000003"/>
    <n v="5.2573980557181925E-2"/>
  </r>
  <r>
    <x v="0"/>
    <d v="2010-03-26T00:00:00"/>
    <x v="5"/>
    <x v="1"/>
    <x v="0"/>
    <x v="11"/>
    <x v="2"/>
    <n v="137902"/>
    <n v="145221.13"/>
    <n v="7319.1300000000047"/>
    <n v="5.3074864759031809E-2"/>
  </r>
  <r>
    <x v="0"/>
    <d v="2010-03-26T00:00:00"/>
    <x v="5"/>
    <x v="1"/>
    <x v="0"/>
    <x v="12"/>
    <x v="2"/>
    <n v="11406"/>
    <n v="11558.11"/>
    <n v="152.11000000000058"/>
    <n v="1.3335963527967787E-2"/>
  </r>
  <r>
    <x v="0"/>
    <d v="2010-03-26T00:00:00"/>
    <x v="5"/>
    <x v="1"/>
    <x v="0"/>
    <x v="26"/>
    <x v="3"/>
    <n v="4550"/>
    <n v="5150.63"/>
    <n v="600.63000000000011"/>
    <n v="0.13200659340659343"/>
  </r>
  <r>
    <x v="0"/>
    <d v="2010-03-26T00:00:00"/>
    <x v="5"/>
    <x v="1"/>
    <x v="0"/>
    <x v="13"/>
    <x v="3"/>
    <n v="157289.91"/>
    <n v="178438.77"/>
    <n v="21148.859999999986"/>
    <n v="0.13445783013036236"/>
  </r>
  <r>
    <x v="0"/>
    <d v="2010-03-26T00:00:00"/>
    <x v="5"/>
    <x v="1"/>
    <x v="0"/>
    <x v="14"/>
    <x v="3"/>
    <n v="59528.94"/>
    <n v="57763.6"/>
    <n v="-1765.3400000000038"/>
    <n v="-2.9655155962797317E-2"/>
  </r>
  <r>
    <x v="0"/>
    <d v="2010-03-26T00:00:00"/>
    <x v="5"/>
    <x v="1"/>
    <x v="0"/>
    <x v="15"/>
    <x v="3"/>
    <n v="487596.61"/>
    <n v="534074.81000000006"/>
    <n v="46478.20000000007"/>
    <n v="9.5321007256387758E-2"/>
  </r>
  <r>
    <x v="0"/>
    <d v="2010-03-26T00:00:00"/>
    <x v="5"/>
    <x v="1"/>
    <x v="0"/>
    <x v="16"/>
    <x v="3"/>
    <n v="41205.839999999997"/>
    <n v="47047.7"/>
    <n v="5841.8600000000006"/>
    <n v="0.14177262252146786"/>
  </r>
  <r>
    <x v="0"/>
    <d v="2010-03-26T00:00:00"/>
    <x v="5"/>
    <x v="1"/>
    <x v="0"/>
    <x v="17"/>
    <x v="4"/>
    <n v="455940.76"/>
    <n v="529887.98"/>
    <n v="73947.219999999972"/>
    <n v="0.16218602609689903"/>
  </r>
  <r>
    <x v="0"/>
    <d v="2010-03-26T00:00:00"/>
    <x v="5"/>
    <x v="1"/>
    <x v="0"/>
    <x v="18"/>
    <x v="5"/>
    <n v="11259.58"/>
    <n v="24732.41"/>
    <n v="13472.83"/>
    <n v="1.1965659465095502"/>
  </r>
  <r>
    <x v="0"/>
    <d v="2010-03-26T00:00:00"/>
    <x v="5"/>
    <x v="1"/>
    <x v="0"/>
    <x v="19"/>
    <x v="5"/>
    <n v="14755.59"/>
    <n v="16303.98"/>
    <n v="1548.3899999999994"/>
    <n v="0.10493582432149438"/>
  </r>
  <r>
    <x v="0"/>
    <d v="2010-03-26T00:00:00"/>
    <x v="5"/>
    <x v="1"/>
    <x v="0"/>
    <x v="20"/>
    <x v="5"/>
    <n v="158235.26"/>
    <n v="314539.96999999997"/>
    <n v="156304.70999999996"/>
    <n v="0.98779949551067159"/>
  </r>
  <r>
    <x v="0"/>
    <d v="2010-03-26T00:00:00"/>
    <x v="5"/>
    <x v="1"/>
    <x v="0"/>
    <x v="22"/>
    <x v="6"/>
    <n v="2588.44"/>
    <n v="3130.14"/>
    <n v="541.69999999999982"/>
    <n v="0.20927662993926838"/>
  </r>
  <r>
    <x v="0"/>
    <d v="2010-03-26T00:00:00"/>
    <x v="5"/>
    <x v="1"/>
    <x v="0"/>
    <x v="23"/>
    <x v="6"/>
    <n v="123321.18"/>
    <n v="132117.59"/>
    <n v="8796.4100000000035"/>
    <n v="7.132927206826925E-2"/>
  </r>
  <r>
    <x v="0"/>
    <d v="2010-03-26T00:00:00"/>
    <x v="5"/>
    <x v="1"/>
    <x v="0"/>
    <x v="24"/>
    <x v="6"/>
    <n v="212701.41"/>
    <n v="229632.07"/>
    <n v="16930.660000000003"/>
    <n v="7.9598249959885098E-2"/>
  </r>
  <r>
    <x v="0"/>
    <d v="2010-03-26T00:00:00"/>
    <x v="5"/>
    <x v="1"/>
    <x v="0"/>
    <x v="25"/>
    <x v="6"/>
    <n v="232039.71"/>
    <n v="242615.07"/>
    <n v="10575.360000000015"/>
    <n v="4.5575647375184256E-2"/>
  </r>
  <r>
    <x v="0"/>
    <d v="2010-03-27T00:00:00"/>
    <x v="5"/>
    <x v="1"/>
    <x v="0"/>
    <x v="0"/>
    <x v="0"/>
    <n v="11969.96"/>
    <n v="14317.62"/>
    <n v="2347.6600000000017"/>
    <n v="0.19612931037363548"/>
  </r>
  <r>
    <x v="0"/>
    <d v="2010-03-27T00:00:00"/>
    <x v="5"/>
    <x v="1"/>
    <x v="0"/>
    <x v="1"/>
    <x v="0"/>
    <n v="187228.13"/>
    <n v="278840.23"/>
    <n v="91612.099999999977"/>
    <n v="0.4893073492749192"/>
  </r>
  <r>
    <x v="0"/>
    <d v="2010-03-27T00:00:00"/>
    <x v="5"/>
    <x v="1"/>
    <x v="0"/>
    <x v="2"/>
    <x v="0"/>
    <n v="106139.22"/>
    <n v="119142.97"/>
    <n v="13003.75"/>
    <n v="0.12251597477350973"/>
  </r>
  <r>
    <x v="0"/>
    <d v="2010-03-27T00:00:00"/>
    <x v="5"/>
    <x v="1"/>
    <x v="0"/>
    <x v="3"/>
    <x v="0"/>
    <n v="1492"/>
    <n v="1716.59"/>
    <n v="224.58999999999992"/>
    <n v="0.15052949061662194"/>
  </r>
  <r>
    <x v="0"/>
    <d v="2010-03-27T00:00:00"/>
    <x v="5"/>
    <x v="1"/>
    <x v="0"/>
    <x v="5"/>
    <x v="1"/>
    <n v="97303.28"/>
    <n v="107673.86"/>
    <n v="10370.580000000002"/>
    <n v="0.10657996318315273"/>
  </r>
  <r>
    <x v="0"/>
    <d v="2010-03-27T00:00:00"/>
    <x v="5"/>
    <x v="1"/>
    <x v="0"/>
    <x v="6"/>
    <x v="1"/>
    <n v="371127.71"/>
    <n v="406324.04"/>
    <n v="35196.329999999958"/>
    <n v="9.4836168390659795E-2"/>
  </r>
  <r>
    <x v="0"/>
    <d v="2010-03-27T00:00:00"/>
    <x v="5"/>
    <x v="1"/>
    <x v="0"/>
    <x v="7"/>
    <x v="1"/>
    <n v="111378.68"/>
    <n v="123892.63"/>
    <n v="12513.950000000012"/>
    <n v="0.1123549857118078"/>
  </r>
  <r>
    <x v="0"/>
    <d v="2010-03-27T00:00:00"/>
    <x v="5"/>
    <x v="1"/>
    <x v="0"/>
    <x v="8"/>
    <x v="1"/>
    <n v="127607.71"/>
    <n v="138956.03"/>
    <n v="11348.319999999992"/>
    <n v="8.8931303602266601E-2"/>
  </r>
  <r>
    <x v="0"/>
    <d v="2010-03-27T00:00:00"/>
    <x v="5"/>
    <x v="1"/>
    <x v="0"/>
    <x v="9"/>
    <x v="2"/>
    <n v="336277.11"/>
    <n v="375478.96"/>
    <n v="39201.850000000035"/>
    <n v="0.11657602862115722"/>
  </r>
  <r>
    <x v="0"/>
    <d v="2010-03-27T00:00:00"/>
    <x v="5"/>
    <x v="1"/>
    <x v="0"/>
    <x v="10"/>
    <x v="2"/>
    <n v="230238.1"/>
    <n v="238959.8"/>
    <n v="8721.6999999999825"/>
    <n v="3.7881219485393525E-2"/>
  </r>
  <r>
    <x v="0"/>
    <d v="2010-03-27T00:00:00"/>
    <x v="5"/>
    <x v="1"/>
    <x v="0"/>
    <x v="11"/>
    <x v="2"/>
    <n v="148790"/>
    <n v="157478.6"/>
    <n v="8688.6000000000058"/>
    <n v="5.8395053431010188E-2"/>
  </r>
  <r>
    <x v="0"/>
    <d v="2010-03-27T00:00:00"/>
    <x v="5"/>
    <x v="1"/>
    <x v="0"/>
    <x v="12"/>
    <x v="2"/>
    <n v="8598.7999999999993"/>
    <n v="8906.2999999999993"/>
    <n v="307.5"/>
    <n v="3.5760803833092991E-2"/>
  </r>
  <r>
    <x v="0"/>
    <d v="2010-03-27T00:00:00"/>
    <x v="5"/>
    <x v="1"/>
    <x v="0"/>
    <x v="26"/>
    <x v="3"/>
    <n v="5200"/>
    <n v="5813.91"/>
    <n v="613.90999999999985"/>
    <n v="0.11805961538461536"/>
  </r>
  <r>
    <x v="0"/>
    <d v="2010-03-27T00:00:00"/>
    <x v="5"/>
    <x v="1"/>
    <x v="0"/>
    <x v="13"/>
    <x v="3"/>
    <n v="171916.39"/>
    <n v="195491.45"/>
    <n v="23575.059999999998"/>
    <n v="0.13713096232418559"/>
  </r>
  <r>
    <x v="0"/>
    <d v="2010-03-27T00:00:00"/>
    <x v="5"/>
    <x v="1"/>
    <x v="0"/>
    <x v="14"/>
    <x v="3"/>
    <n v="72603.5"/>
    <n v="57952.85"/>
    <n v="-14650.650000000001"/>
    <n v="-0.20178985861563151"/>
  </r>
  <r>
    <x v="0"/>
    <d v="2010-03-27T00:00:00"/>
    <x v="5"/>
    <x v="1"/>
    <x v="0"/>
    <x v="15"/>
    <x v="3"/>
    <n v="639344.96"/>
    <n v="702025.67"/>
    <n v="62680.710000000079"/>
    <n v="9.803895224262045E-2"/>
  </r>
  <r>
    <x v="0"/>
    <d v="2010-03-27T00:00:00"/>
    <x v="5"/>
    <x v="1"/>
    <x v="0"/>
    <x v="16"/>
    <x v="3"/>
    <n v="109637.3"/>
    <n v="123457.86"/>
    <n v="13820.559999999998"/>
    <n v="0.12605709918066202"/>
  </r>
  <r>
    <x v="0"/>
    <d v="2010-03-27T00:00:00"/>
    <x v="5"/>
    <x v="1"/>
    <x v="0"/>
    <x v="17"/>
    <x v="4"/>
    <n v="497023.1"/>
    <n v="589494.53"/>
    <n v="92471.430000000051"/>
    <n v="0.18605056787099042"/>
  </r>
  <r>
    <x v="0"/>
    <d v="2010-03-27T00:00:00"/>
    <x v="5"/>
    <x v="1"/>
    <x v="0"/>
    <x v="18"/>
    <x v="5"/>
    <n v="10105.9"/>
    <n v="21816.05"/>
    <n v="11710.15"/>
    <n v="1.1587439020770045"/>
  </r>
  <r>
    <x v="0"/>
    <d v="2010-03-27T00:00:00"/>
    <x v="5"/>
    <x v="1"/>
    <x v="0"/>
    <x v="19"/>
    <x v="5"/>
    <n v="8586.48"/>
    <n v="9486.81"/>
    <n v="900.32999999999993"/>
    <n v="0.10485437571624227"/>
  </r>
  <r>
    <x v="0"/>
    <d v="2010-03-27T00:00:00"/>
    <x v="5"/>
    <x v="1"/>
    <x v="0"/>
    <x v="20"/>
    <x v="5"/>
    <n v="200437.68"/>
    <n v="396649.04"/>
    <n v="196211.36"/>
    <n v="0.9789145434131945"/>
  </r>
  <r>
    <x v="0"/>
    <d v="2010-03-27T00:00:00"/>
    <x v="5"/>
    <x v="1"/>
    <x v="0"/>
    <x v="22"/>
    <x v="6"/>
    <n v="1902.72"/>
    <n v="2473.13"/>
    <n v="570.41000000000008"/>
    <n v="0.29978662125798861"/>
  </r>
  <r>
    <x v="0"/>
    <d v="2010-03-27T00:00:00"/>
    <x v="5"/>
    <x v="1"/>
    <x v="0"/>
    <x v="23"/>
    <x v="6"/>
    <n v="131193.76999999999"/>
    <n v="141574.85"/>
    <n v="10381.080000000016"/>
    <n v="7.9127842732166456E-2"/>
  </r>
  <r>
    <x v="0"/>
    <d v="2010-03-27T00:00:00"/>
    <x v="5"/>
    <x v="1"/>
    <x v="0"/>
    <x v="24"/>
    <x v="6"/>
    <n v="235050.6"/>
    <n v="255691.09"/>
    <n v="20640.489999999991"/>
    <n v="8.7812964527637843E-2"/>
  </r>
  <r>
    <x v="0"/>
    <d v="2010-03-27T00:00:00"/>
    <x v="5"/>
    <x v="1"/>
    <x v="0"/>
    <x v="25"/>
    <x v="6"/>
    <n v="301419.81"/>
    <n v="307835.61"/>
    <n v="6415.7999999999884"/>
    <n v="2.1285263234689149E-2"/>
  </r>
  <r>
    <x v="0"/>
    <d v="2010-03-28T00:00:00"/>
    <x v="6"/>
    <x v="1"/>
    <x v="0"/>
    <x v="0"/>
    <x v="0"/>
    <n v="10476.99"/>
    <n v="12569.62"/>
    <n v="2092.630000000001"/>
    <n v="0.19973580198129434"/>
  </r>
  <r>
    <x v="0"/>
    <d v="2010-03-28T00:00:00"/>
    <x v="6"/>
    <x v="1"/>
    <x v="0"/>
    <x v="1"/>
    <x v="0"/>
    <n v="247582.53"/>
    <n v="343249.26"/>
    <n v="95666.73000000001"/>
    <n v="0.38640339445598204"/>
  </r>
  <r>
    <x v="0"/>
    <d v="2010-03-28T00:00:00"/>
    <x v="6"/>
    <x v="1"/>
    <x v="0"/>
    <x v="2"/>
    <x v="0"/>
    <n v="101308.63"/>
    <n v="112531.72"/>
    <n v="11223.089999999997"/>
    <n v="0.11078118418934296"/>
  </r>
  <r>
    <x v="0"/>
    <d v="2010-03-28T00:00:00"/>
    <x v="6"/>
    <x v="1"/>
    <x v="0"/>
    <x v="3"/>
    <x v="0"/>
    <n v="2130"/>
    <n v="2450.7800000000002"/>
    <n v="320.7800000000002"/>
    <n v="0.15060093896713625"/>
  </r>
  <r>
    <x v="0"/>
    <d v="2010-03-28T00:00:00"/>
    <x v="6"/>
    <x v="1"/>
    <x v="0"/>
    <x v="4"/>
    <x v="0"/>
    <n v="5280"/>
    <n v="6072"/>
    <n v="792"/>
    <n v="0.15"/>
  </r>
  <r>
    <x v="0"/>
    <d v="2010-03-28T00:00:00"/>
    <x v="6"/>
    <x v="1"/>
    <x v="0"/>
    <x v="5"/>
    <x v="1"/>
    <n v="79747.16"/>
    <n v="89283.16"/>
    <n v="9536"/>
    <n v="0.11957792603523436"/>
  </r>
  <r>
    <x v="0"/>
    <d v="2010-03-28T00:00:00"/>
    <x v="6"/>
    <x v="1"/>
    <x v="0"/>
    <x v="6"/>
    <x v="1"/>
    <n v="381644.75"/>
    <n v="419759.73"/>
    <n v="38114.979999999981"/>
    <n v="9.9870311330104711E-2"/>
  </r>
  <r>
    <x v="0"/>
    <d v="2010-03-28T00:00:00"/>
    <x v="6"/>
    <x v="1"/>
    <x v="0"/>
    <x v="7"/>
    <x v="1"/>
    <n v="134848.44"/>
    <n v="145957.65"/>
    <n v="11109.209999999992"/>
    <n v="8.2382933017245072E-2"/>
  </r>
  <r>
    <x v="0"/>
    <d v="2010-03-28T00:00:00"/>
    <x v="6"/>
    <x v="1"/>
    <x v="0"/>
    <x v="8"/>
    <x v="1"/>
    <n v="131771.48000000001"/>
    <n v="142948.32999999999"/>
    <n v="11176.849999999977"/>
    <n v="8.4819947381633537E-2"/>
  </r>
  <r>
    <x v="0"/>
    <d v="2010-03-28T00:00:00"/>
    <x v="6"/>
    <x v="1"/>
    <x v="0"/>
    <x v="9"/>
    <x v="2"/>
    <n v="277501"/>
    <n v="299495.59000000003"/>
    <n v="21994.590000000026"/>
    <n v="7.9259498163970668E-2"/>
  </r>
  <r>
    <x v="0"/>
    <d v="2010-03-28T00:00:00"/>
    <x v="6"/>
    <x v="1"/>
    <x v="0"/>
    <x v="10"/>
    <x v="2"/>
    <n v="174144.15"/>
    <n v="181796.05"/>
    <n v="7651.8999999999942"/>
    <n v="4.3940034735591146E-2"/>
  </r>
  <r>
    <x v="0"/>
    <d v="2010-03-28T00:00:00"/>
    <x v="6"/>
    <x v="1"/>
    <x v="0"/>
    <x v="11"/>
    <x v="2"/>
    <n v="103629"/>
    <n v="109276.37"/>
    <n v="5647.3699999999953"/>
    <n v="5.4496038753630696E-2"/>
  </r>
  <r>
    <x v="0"/>
    <d v="2010-03-28T00:00:00"/>
    <x v="6"/>
    <x v="1"/>
    <x v="0"/>
    <x v="12"/>
    <x v="2"/>
    <n v="7485"/>
    <n v="7972.07"/>
    <n v="487.06999999999971"/>
    <n v="6.507281229124913E-2"/>
  </r>
  <r>
    <x v="0"/>
    <d v="2010-03-28T00:00:00"/>
    <x v="6"/>
    <x v="1"/>
    <x v="0"/>
    <x v="26"/>
    <x v="3"/>
    <n v="1950"/>
    <n v="2158.41"/>
    <n v="208.40999999999985"/>
    <n v="0.10687692307692301"/>
  </r>
  <r>
    <x v="0"/>
    <d v="2010-03-28T00:00:00"/>
    <x v="6"/>
    <x v="1"/>
    <x v="0"/>
    <x v="13"/>
    <x v="3"/>
    <n v="108352.64"/>
    <n v="123310.07"/>
    <n v="14957.430000000008"/>
    <n v="0.1380439830538509"/>
  </r>
  <r>
    <x v="0"/>
    <d v="2010-03-28T00:00:00"/>
    <x v="6"/>
    <x v="1"/>
    <x v="0"/>
    <x v="14"/>
    <x v="3"/>
    <n v="35533.15"/>
    <n v="42046.01"/>
    <n v="6512.8600000000006"/>
    <n v="0.18328968864285886"/>
  </r>
  <r>
    <x v="0"/>
    <d v="2010-03-28T00:00:00"/>
    <x v="6"/>
    <x v="1"/>
    <x v="0"/>
    <x v="15"/>
    <x v="3"/>
    <n v="588351.25"/>
    <n v="638374.39"/>
    <n v="50023.140000000014"/>
    <n v="8.5022577924326687E-2"/>
  </r>
  <r>
    <x v="0"/>
    <d v="2010-03-28T00:00:00"/>
    <x v="6"/>
    <x v="1"/>
    <x v="0"/>
    <x v="16"/>
    <x v="3"/>
    <n v="78979.28"/>
    <n v="89151.09"/>
    <n v="10171.809999999998"/>
    <n v="0.12879086768073852"/>
  </r>
  <r>
    <x v="0"/>
    <d v="2010-03-28T00:00:00"/>
    <x v="6"/>
    <x v="1"/>
    <x v="0"/>
    <x v="17"/>
    <x v="4"/>
    <n v="439219.98"/>
    <n v="512463.58"/>
    <n v="73243.600000000035"/>
    <n v="0.16675835193107572"/>
  </r>
  <r>
    <x v="0"/>
    <d v="2010-03-28T00:00:00"/>
    <x v="6"/>
    <x v="1"/>
    <x v="0"/>
    <x v="18"/>
    <x v="5"/>
    <n v="11373.06"/>
    <n v="24994.45"/>
    <n v="13621.390000000001"/>
    <n v="1.1976891003828347"/>
  </r>
  <r>
    <x v="0"/>
    <d v="2010-03-28T00:00:00"/>
    <x v="6"/>
    <x v="1"/>
    <x v="0"/>
    <x v="19"/>
    <x v="5"/>
    <n v="7714.95"/>
    <n v="8525.44"/>
    <n v="810.49000000000069"/>
    <n v="0.10505447216119362"/>
  </r>
  <r>
    <x v="0"/>
    <d v="2010-03-28T00:00:00"/>
    <x v="6"/>
    <x v="1"/>
    <x v="0"/>
    <x v="20"/>
    <x v="5"/>
    <n v="168456.4"/>
    <n v="330718.96000000002"/>
    <n v="162262.56000000003"/>
    <n v="0.96323179172771134"/>
  </r>
  <r>
    <x v="0"/>
    <d v="2010-03-28T00:00:00"/>
    <x v="6"/>
    <x v="1"/>
    <x v="0"/>
    <x v="22"/>
    <x v="6"/>
    <n v="3167.12"/>
    <n v="4118.59"/>
    <n v="951.47000000000025"/>
    <n v="0.30042120285938023"/>
  </r>
  <r>
    <x v="0"/>
    <d v="2010-03-28T00:00:00"/>
    <x v="6"/>
    <x v="1"/>
    <x v="0"/>
    <x v="23"/>
    <x v="6"/>
    <n v="151155.26999999999"/>
    <n v="163622.37"/>
    <n v="12467.100000000006"/>
    <n v="8.2478765047358307E-2"/>
  </r>
  <r>
    <x v="0"/>
    <d v="2010-03-28T00:00:00"/>
    <x v="6"/>
    <x v="1"/>
    <x v="0"/>
    <x v="24"/>
    <x v="6"/>
    <n v="253268.73"/>
    <n v="274817.23"/>
    <n v="21548.499999999971"/>
    <n v="8.5081565339708426E-2"/>
  </r>
  <r>
    <x v="0"/>
    <d v="2010-03-28T00:00:00"/>
    <x v="6"/>
    <x v="1"/>
    <x v="0"/>
    <x v="25"/>
    <x v="6"/>
    <n v="379699.89"/>
    <n v="388923.02"/>
    <n v="9223.1300000000047"/>
    <n v="2.4290578540857633E-2"/>
  </r>
  <r>
    <x v="0"/>
    <d v="2010-03-29T00:00:00"/>
    <x v="6"/>
    <x v="1"/>
    <x v="0"/>
    <x v="0"/>
    <x v="0"/>
    <n v="9036.99"/>
    <n v="10822.03"/>
    <n v="1785.0400000000009"/>
    <n v="0.19752594613914598"/>
  </r>
  <r>
    <x v="0"/>
    <d v="2010-03-29T00:00:00"/>
    <x v="6"/>
    <x v="1"/>
    <x v="0"/>
    <x v="1"/>
    <x v="0"/>
    <n v="237396.06"/>
    <n v="304162.51"/>
    <n v="66766.450000000012"/>
    <n v="0.28124497938171344"/>
  </r>
  <r>
    <x v="0"/>
    <d v="2010-03-29T00:00:00"/>
    <x v="6"/>
    <x v="1"/>
    <x v="0"/>
    <x v="2"/>
    <x v="0"/>
    <n v="74974.740000000005"/>
    <n v="83052.399999999994"/>
    <n v="8077.6599999999889"/>
    <n v="0.10773841963306559"/>
  </r>
  <r>
    <x v="0"/>
    <d v="2010-03-29T00:00:00"/>
    <x v="6"/>
    <x v="1"/>
    <x v="0"/>
    <x v="3"/>
    <x v="0"/>
    <n v="574"/>
    <n v="660"/>
    <n v="86"/>
    <n v="0.14982578397212543"/>
  </r>
  <r>
    <x v="0"/>
    <d v="2010-03-29T00:00:00"/>
    <x v="6"/>
    <x v="1"/>
    <x v="0"/>
    <x v="5"/>
    <x v="1"/>
    <n v="87587.06"/>
    <n v="96611.38"/>
    <n v="9024.320000000007"/>
    <n v="0.10303257124968011"/>
  </r>
  <r>
    <x v="0"/>
    <d v="2010-03-29T00:00:00"/>
    <x v="6"/>
    <x v="1"/>
    <x v="0"/>
    <x v="6"/>
    <x v="1"/>
    <n v="400012.79"/>
    <n v="430109.55"/>
    <n v="30096.760000000009"/>
    <n v="7.5239494217172437E-2"/>
  </r>
  <r>
    <x v="0"/>
    <d v="2010-03-29T00:00:00"/>
    <x v="6"/>
    <x v="1"/>
    <x v="0"/>
    <x v="7"/>
    <x v="1"/>
    <n v="88911.62"/>
    <n v="97142.86"/>
    <n v="8231.2400000000052"/>
    <n v="9.2577775548347965E-2"/>
  </r>
  <r>
    <x v="0"/>
    <d v="2010-03-29T00:00:00"/>
    <x v="6"/>
    <x v="1"/>
    <x v="0"/>
    <x v="8"/>
    <x v="1"/>
    <n v="118848.59"/>
    <n v="127989.19"/>
    <n v="9140.6000000000058"/>
    <n v="7.6909620888224298E-2"/>
  </r>
  <r>
    <x v="0"/>
    <d v="2010-03-29T00:00:00"/>
    <x v="6"/>
    <x v="1"/>
    <x v="0"/>
    <x v="9"/>
    <x v="2"/>
    <n v="233061"/>
    <n v="254141.51"/>
    <n v="21080.510000000009"/>
    <n v="9.0450611642445583E-2"/>
  </r>
  <r>
    <x v="0"/>
    <d v="2010-03-29T00:00:00"/>
    <x v="6"/>
    <x v="1"/>
    <x v="0"/>
    <x v="10"/>
    <x v="2"/>
    <n v="232050.24"/>
    <n v="241099.42"/>
    <n v="9049.1800000000221"/>
    <n v="3.899664141696222E-2"/>
  </r>
  <r>
    <x v="0"/>
    <d v="2010-03-29T00:00:00"/>
    <x v="6"/>
    <x v="1"/>
    <x v="0"/>
    <x v="11"/>
    <x v="2"/>
    <n v="78733"/>
    <n v="82795.100000000006"/>
    <n v="4062.1000000000058"/>
    <n v="5.1593359836409204E-2"/>
  </r>
  <r>
    <x v="0"/>
    <d v="2010-03-29T00:00:00"/>
    <x v="6"/>
    <x v="1"/>
    <x v="0"/>
    <x v="12"/>
    <x v="2"/>
    <n v="17976.2"/>
    <n v="18286.71"/>
    <n v="310.5099999999984"/>
    <n v="1.727339482204239E-2"/>
  </r>
  <r>
    <x v="0"/>
    <d v="2010-03-29T00:00:00"/>
    <x v="6"/>
    <x v="1"/>
    <x v="0"/>
    <x v="13"/>
    <x v="3"/>
    <n v="58329.440000000002"/>
    <n v="66297.02"/>
    <n v="7967.5800000000017"/>
    <n v="0.13659620253511778"/>
  </r>
  <r>
    <x v="0"/>
    <d v="2010-03-29T00:00:00"/>
    <x v="6"/>
    <x v="1"/>
    <x v="0"/>
    <x v="14"/>
    <x v="3"/>
    <n v="40794.43"/>
    <n v="46658.13"/>
    <n v="5863.6999999999971"/>
    <n v="0.14373776027756724"/>
  </r>
  <r>
    <x v="0"/>
    <d v="2010-03-29T00:00:00"/>
    <x v="6"/>
    <x v="1"/>
    <x v="0"/>
    <x v="15"/>
    <x v="3"/>
    <n v="413009.47"/>
    <n v="452554.54"/>
    <n v="39545.070000000007"/>
    <n v="9.5748579324343358E-2"/>
  </r>
  <r>
    <x v="0"/>
    <d v="2010-03-29T00:00:00"/>
    <x v="6"/>
    <x v="1"/>
    <x v="0"/>
    <x v="16"/>
    <x v="3"/>
    <n v="67193.72"/>
    <n v="75771.87"/>
    <n v="8578.1499999999942"/>
    <n v="0.12766297207536648"/>
  </r>
  <r>
    <x v="0"/>
    <d v="2010-03-29T00:00:00"/>
    <x v="6"/>
    <x v="1"/>
    <x v="0"/>
    <x v="17"/>
    <x v="4"/>
    <n v="349689.82"/>
    <n v="410292.96"/>
    <n v="60603.140000000014"/>
    <n v="0.17330541678336536"/>
  </r>
  <r>
    <x v="0"/>
    <d v="2010-03-29T00:00:00"/>
    <x v="6"/>
    <x v="1"/>
    <x v="0"/>
    <x v="18"/>
    <x v="5"/>
    <n v="9001.33"/>
    <n v="19727.47"/>
    <n v="10726.140000000001"/>
    <n v="1.1916172387858239"/>
  </r>
  <r>
    <x v="0"/>
    <d v="2010-03-29T00:00:00"/>
    <x v="6"/>
    <x v="1"/>
    <x v="0"/>
    <x v="19"/>
    <x v="5"/>
    <n v="200.14"/>
    <n v="222.37"/>
    <n v="22.230000000000018"/>
    <n v="0.11107224942540232"/>
  </r>
  <r>
    <x v="0"/>
    <d v="2010-03-29T00:00:00"/>
    <x v="6"/>
    <x v="1"/>
    <x v="0"/>
    <x v="20"/>
    <x v="5"/>
    <n v="146625.42000000001"/>
    <n v="289802.15000000002"/>
    <n v="143176.73000000001"/>
    <n v="0.97647958996468687"/>
  </r>
  <r>
    <x v="0"/>
    <d v="2010-03-29T00:00:00"/>
    <x v="6"/>
    <x v="1"/>
    <x v="0"/>
    <x v="21"/>
    <x v="5"/>
    <n v="76"/>
    <n v="235.77"/>
    <n v="159.77000000000001"/>
    <n v="2.1022368421052633"/>
  </r>
  <r>
    <x v="0"/>
    <d v="2010-03-29T00:00:00"/>
    <x v="6"/>
    <x v="1"/>
    <x v="0"/>
    <x v="22"/>
    <x v="6"/>
    <n v="2199.3200000000002"/>
    <n v="2858.78"/>
    <n v="659.46"/>
    <n v="0.29984722550606552"/>
  </r>
  <r>
    <x v="0"/>
    <d v="2010-03-29T00:00:00"/>
    <x v="6"/>
    <x v="1"/>
    <x v="0"/>
    <x v="23"/>
    <x v="6"/>
    <n v="93941.440000000002"/>
    <n v="101951.85"/>
    <n v="8010.4100000000035"/>
    <n v="8.5270249210572066E-2"/>
  </r>
  <r>
    <x v="0"/>
    <d v="2010-03-29T00:00:00"/>
    <x v="6"/>
    <x v="1"/>
    <x v="0"/>
    <x v="24"/>
    <x v="6"/>
    <n v="221137.93"/>
    <n v="238363.17"/>
    <n v="17225.24000000002"/>
    <n v="7.7893647643351008E-2"/>
  </r>
  <r>
    <x v="0"/>
    <d v="2010-03-29T00:00:00"/>
    <x v="6"/>
    <x v="1"/>
    <x v="0"/>
    <x v="25"/>
    <x v="6"/>
    <n v="300537.75"/>
    <n v="306713.62"/>
    <n v="6175.8699999999953"/>
    <n v="2.0549398536456719E-2"/>
  </r>
  <r>
    <x v="0"/>
    <d v="2010-03-30T00:00:00"/>
    <x v="6"/>
    <x v="1"/>
    <x v="0"/>
    <x v="0"/>
    <x v="0"/>
    <n v="6779.97"/>
    <n v="8393.19"/>
    <n v="1613.2200000000003"/>
    <n v="0.23793910592524747"/>
  </r>
  <r>
    <x v="0"/>
    <d v="2010-03-30T00:00:00"/>
    <x v="6"/>
    <x v="1"/>
    <x v="0"/>
    <x v="1"/>
    <x v="0"/>
    <n v="180409.55"/>
    <n v="230585.88"/>
    <n v="50176.330000000016"/>
    <n v="0.2781245782166189"/>
  </r>
  <r>
    <x v="0"/>
    <d v="2010-03-30T00:00:00"/>
    <x v="6"/>
    <x v="1"/>
    <x v="0"/>
    <x v="2"/>
    <x v="0"/>
    <n v="75598.59"/>
    <n v="82949.070000000007"/>
    <n v="7350.4800000000105"/>
    <n v="9.7230384852416044E-2"/>
  </r>
  <r>
    <x v="0"/>
    <d v="2010-03-30T00:00:00"/>
    <x v="6"/>
    <x v="1"/>
    <x v="0"/>
    <x v="5"/>
    <x v="1"/>
    <n v="100698.55"/>
    <n v="109520.07"/>
    <n v="8821.5200000000041"/>
    <n v="8.7603247514487587E-2"/>
  </r>
  <r>
    <x v="0"/>
    <d v="2010-03-30T00:00:00"/>
    <x v="6"/>
    <x v="1"/>
    <x v="0"/>
    <x v="6"/>
    <x v="1"/>
    <n v="503250.9"/>
    <n v="532452.86"/>
    <n v="29201.959999999963"/>
    <n v="5.8026642376595772E-2"/>
  </r>
  <r>
    <x v="0"/>
    <d v="2010-03-30T00:00:00"/>
    <x v="6"/>
    <x v="1"/>
    <x v="0"/>
    <x v="7"/>
    <x v="1"/>
    <n v="98716.28"/>
    <n v="107604.69"/>
    <n v="8888.4100000000035"/>
    <n v="9.0039960987184725E-2"/>
  </r>
  <r>
    <x v="0"/>
    <d v="2010-03-30T00:00:00"/>
    <x v="6"/>
    <x v="1"/>
    <x v="0"/>
    <x v="8"/>
    <x v="1"/>
    <n v="220549.95"/>
    <n v="236022.65"/>
    <n v="15472.699999999983"/>
    <n v="7.0155082782834374E-2"/>
  </r>
  <r>
    <x v="0"/>
    <d v="2010-03-30T00:00:00"/>
    <x v="6"/>
    <x v="1"/>
    <x v="0"/>
    <x v="9"/>
    <x v="2"/>
    <n v="214549"/>
    <n v="237780.43"/>
    <n v="23231.429999999993"/>
    <n v="0.10828029960521836"/>
  </r>
  <r>
    <x v="0"/>
    <d v="2010-03-30T00:00:00"/>
    <x v="6"/>
    <x v="1"/>
    <x v="0"/>
    <x v="10"/>
    <x v="2"/>
    <n v="170056.97"/>
    <n v="178796.05"/>
    <n v="8739.0799999999872"/>
    <n v="5.1389131536331546E-2"/>
  </r>
  <r>
    <x v="0"/>
    <d v="2010-03-30T00:00:00"/>
    <x v="6"/>
    <x v="1"/>
    <x v="0"/>
    <x v="11"/>
    <x v="2"/>
    <n v="82145"/>
    <n v="86868.96"/>
    <n v="4723.9600000000064"/>
    <n v="5.750757806318104E-2"/>
  </r>
  <r>
    <x v="0"/>
    <d v="2010-03-30T00:00:00"/>
    <x v="6"/>
    <x v="1"/>
    <x v="0"/>
    <x v="12"/>
    <x v="2"/>
    <n v="11419.8"/>
    <n v="11860.1"/>
    <n v="440.30000000000109"/>
    <n v="3.8555841608434574E-2"/>
  </r>
  <r>
    <x v="0"/>
    <d v="2010-03-30T00:00:00"/>
    <x v="6"/>
    <x v="1"/>
    <x v="0"/>
    <x v="26"/>
    <x v="3"/>
    <n v="5850"/>
    <n v="6561.76"/>
    <n v="711.76000000000022"/>
    <n v="0.12166837606837611"/>
  </r>
  <r>
    <x v="0"/>
    <d v="2010-03-30T00:00:00"/>
    <x v="6"/>
    <x v="1"/>
    <x v="0"/>
    <x v="13"/>
    <x v="3"/>
    <n v="41434.25"/>
    <n v="47399.31"/>
    <n v="5965.0599999999977"/>
    <n v="0.14396447383505187"/>
  </r>
  <r>
    <x v="0"/>
    <d v="2010-03-30T00:00:00"/>
    <x v="6"/>
    <x v="1"/>
    <x v="0"/>
    <x v="14"/>
    <x v="3"/>
    <n v="55332.46"/>
    <n v="59995.06"/>
    <n v="4662.5999999999985"/>
    <n v="8.4265185390275416E-2"/>
  </r>
  <r>
    <x v="0"/>
    <d v="2010-03-30T00:00:00"/>
    <x v="6"/>
    <x v="1"/>
    <x v="0"/>
    <x v="15"/>
    <x v="3"/>
    <n v="479505.03"/>
    <n v="523456.13"/>
    <n v="43951.099999999977"/>
    <n v="9.1659309600985783E-2"/>
  </r>
  <r>
    <x v="0"/>
    <d v="2010-03-30T00:00:00"/>
    <x v="6"/>
    <x v="1"/>
    <x v="0"/>
    <x v="16"/>
    <x v="3"/>
    <n v="83807.86"/>
    <n v="95925.02"/>
    <n v="12117.160000000003"/>
    <n v="0.14458262029360974"/>
  </r>
  <r>
    <x v="0"/>
    <d v="2010-03-30T00:00:00"/>
    <x v="6"/>
    <x v="1"/>
    <x v="0"/>
    <x v="17"/>
    <x v="4"/>
    <n v="492061.43"/>
    <n v="574410.26"/>
    <n v="82348.830000000016"/>
    <n v="0.16735477519544667"/>
  </r>
  <r>
    <x v="0"/>
    <d v="2010-03-30T00:00:00"/>
    <x v="6"/>
    <x v="1"/>
    <x v="0"/>
    <x v="18"/>
    <x v="5"/>
    <n v="10272.02"/>
    <n v="22945.7"/>
    <n v="12673.68"/>
    <n v="1.2338060089446865"/>
  </r>
  <r>
    <x v="0"/>
    <d v="2010-03-30T00:00:00"/>
    <x v="6"/>
    <x v="1"/>
    <x v="0"/>
    <x v="19"/>
    <x v="5"/>
    <n v="2835"/>
    <n v="3158.39"/>
    <n v="323.38999999999987"/>
    <n v="0.11407054673721335"/>
  </r>
  <r>
    <x v="0"/>
    <d v="2010-03-30T00:00:00"/>
    <x v="6"/>
    <x v="1"/>
    <x v="0"/>
    <x v="20"/>
    <x v="5"/>
    <n v="166987.84"/>
    <n v="324966.27"/>
    <n v="157978.43000000002"/>
    <n v="0.94604750860901021"/>
  </r>
  <r>
    <x v="0"/>
    <d v="2010-03-30T00:00:00"/>
    <x v="6"/>
    <x v="1"/>
    <x v="0"/>
    <x v="22"/>
    <x v="6"/>
    <n v="665.88"/>
    <n v="787.12"/>
    <n v="121.24000000000001"/>
    <n v="0.18207484832101881"/>
  </r>
  <r>
    <x v="0"/>
    <d v="2010-03-30T00:00:00"/>
    <x v="6"/>
    <x v="1"/>
    <x v="0"/>
    <x v="23"/>
    <x v="6"/>
    <n v="104593.91"/>
    <n v="115267.87"/>
    <n v="10673.959999999992"/>
    <n v="0.10205144831090061"/>
  </r>
  <r>
    <x v="0"/>
    <d v="2010-03-30T00:00:00"/>
    <x v="6"/>
    <x v="1"/>
    <x v="0"/>
    <x v="24"/>
    <x v="6"/>
    <n v="253017.36"/>
    <n v="278465.94"/>
    <n v="25448.580000000016"/>
    <n v="0.10058037124409178"/>
  </r>
  <r>
    <x v="0"/>
    <d v="2010-03-30T00:00:00"/>
    <x v="6"/>
    <x v="1"/>
    <x v="0"/>
    <x v="25"/>
    <x v="6"/>
    <n v="332855.11"/>
    <n v="340003.16"/>
    <n v="7148.0499999999884"/>
    <n v="2.1474959480117305E-2"/>
  </r>
  <r>
    <x v="0"/>
    <d v="2010-03-31T00:00:00"/>
    <x v="6"/>
    <x v="1"/>
    <x v="0"/>
    <x v="0"/>
    <x v="0"/>
    <n v="7214.99"/>
    <n v="8877.42"/>
    <n v="1662.4300000000003"/>
    <n v="0.23041334776624781"/>
  </r>
  <r>
    <x v="0"/>
    <d v="2010-03-31T00:00:00"/>
    <x v="6"/>
    <x v="1"/>
    <x v="0"/>
    <x v="1"/>
    <x v="0"/>
    <n v="205531.9"/>
    <n v="281441.98"/>
    <n v="75910.079999999987"/>
    <n v="0.36933478452736529"/>
  </r>
  <r>
    <x v="0"/>
    <d v="2010-03-31T00:00:00"/>
    <x v="6"/>
    <x v="1"/>
    <x v="0"/>
    <x v="2"/>
    <x v="0"/>
    <n v="72783.02"/>
    <n v="79643.45"/>
    <n v="6860.429999999993"/>
    <n v="9.4258660879968884E-2"/>
  </r>
  <r>
    <x v="0"/>
    <d v="2010-03-31T00:00:00"/>
    <x v="6"/>
    <x v="1"/>
    <x v="0"/>
    <x v="3"/>
    <x v="0"/>
    <n v="994"/>
    <n v="1142.94"/>
    <n v="148.94000000000005"/>
    <n v="0.14983903420523145"/>
  </r>
  <r>
    <x v="0"/>
    <d v="2010-03-31T00:00:00"/>
    <x v="6"/>
    <x v="1"/>
    <x v="0"/>
    <x v="5"/>
    <x v="1"/>
    <n v="110244.68"/>
    <n v="119843.58"/>
    <n v="9598.9000000000087"/>
    <n v="8.7069054035079141E-2"/>
  </r>
  <r>
    <x v="0"/>
    <d v="2010-03-31T00:00:00"/>
    <x v="6"/>
    <x v="1"/>
    <x v="0"/>
    <x v="6"/>
    <x v="1"/>
    <n v="656217.67000000004"/>
    <n v="685443.87"/>
    <n v="29226.199999999953"/>
    <n v="4.4537356027002366E-2"/>
  </r>
  <r>
    <x v="0"/>
    <d v="2010-03-31T00:00:00"/>
    <x v="6"/>
    <x v="1"/>
    <x v="0"/>
    <x v="7"/>
    <x v="1"/>
    <n v="96405"/>
    <n v="105352.29"/>
    <n v="8947.2899999999936"/>
    <n v="9.2809397852808395E-2"/>
  </r>
  <r>
    <x v="0"/>
    <d v="2010-03-31T00:00:00"/>
    <x v="6"/>
    <x v="1"/>
    <x v="0"/>
    <x v="8"/>
    <x v="1"/>
    <n v="232057.16"/>
    <n v="245873.49"/>
    <n v="13816.329999999987"/>
    <n v="5.9538477502697987E-2"/>
  </r>
  <r>
    <x v="0"/>
    <d v="2010-03-31T00:00:00"/>
    <x v="6"/>
    <x v="1"/>
    <x v="0"/>
    <x v="9"/>
    <x v="2"/>
    <n v="297658.96999999997"/>
    <n v="320813.05"/>
    <n v="23154.080000000016"/>
    <n v="7.7787274477231508E-2"/>
  </r>
  <r>
    <x v="0"/>
    <d v="2010-03-31T00:00:00"/>
    <x v="6"/>
    <x v="1"/>
    <x v="0"/>
    <x v="10"/>
    <x v="2"/>
    <n v="155873.24"/>
    <n v="162726.03"/>
    <n v="6852.7900000000081"/>
    <n v="4.3963864483730554E-2"/>
  </r>
  <r>
    <x v="0"/>
    <d v="2010-03-31T00:00:00"/>
    <x v="6"/>
    <x v="1"/>
    <x v="0"/>
    <x v="11"/>
    <x v="2"/>
    <n v="101402.99"/>
    <n v="106601.1"/>
    <n v="5198.1100000000006"/>
    <n v="5.1261900659931234E-2"/>
  </r>
  <r>
    <x v="0"/>
    <d v="2010-03-31T00:00:00"/>
    <x v="6"/>
    <x v="1"/>
    <x v="0"/>
    <x v="12"/>
    <x v="2"/>
    <n v="11618.4"/>
    <n v="11832.76"/>
    <n v="214.36000000000058"/>
    <n v="1.845004475659304E-2"/>
  </r>
  <r>
    <x v="0"/>
    <d v="2010-03-31T00:00:00"/>
    <x v="6"/>
    <x v="1"/>
    <x v="0"/>
    <x v="26"/>
    <x v="3"/>
    <n v="1300"/>
    <n v="1495.48"/>
    <n v="195.48000000000002"/>
    <n v="0.15036923076923078"/>
  </r>
  <r>
    <x v="0"/>
    <d v="2010-03-31T00:00:00"/>
    <x v="6"/>
    <x v="1"/>
    <x v="0"/>
    <x v="13"/>
    <x v="3"/>
    <n v="103842.14"/>
    <n v="118511.85"/>
    <n v="14669.710000000006"/>
    <n v="0.14126933439545841"/>
  </r>
  <r>
    <x v="0"/>
    <d v="2010-03-31T00:00:00"/>
    <x v="6"/>
    <x v="1"/>
    <x v="0"/>
    <x v="14"/>
    <x v="3"/>
    <n v="58329.46"/>
    <n v="60152.26"/>
    <n v="1822.8000000000029"/>
    <n v="3.1250075004980379E-2"/>
  </r>
  <r>
    <x v="0"/>
    <d v="2010-03-31T00:00:00"/>
    <x v="6"/>
    <x v="1"/>
    <x v="0"/>
    <x v="15"/>
    <x v="3"/>
    <n v="537855.62"/>
    <n v="587201.15"/>
    <n v="49345.530000000028"/>
    <n v="9.1744937052066183E-2"/>
  </r>
  <r>
    <x v="0"/>
    <d v="2010-03-31T00:00:00"/>
    <x v="6"/>
    <x v="1"/>
    <x v="0"/>
    <x v="16"/>
    <x v="3"/>
    <n v="66996.36"/>
    <n v="75435.62"/>
    <n v="8439.2599999999948"/>
    <n v="0.12596594800075697"/>
  </r>
  <r>
    <x v="0"/>
    <d v="2010-03-31T00:00:00"/>
    <x v="6"/>
    <x v="1"/>
    <x v="0"/>
    <x v="17"/>
    <x v="4"/>
    <n v="509377.86"/>
    <n v="586235.26"/>
    <n v="76857.400000000023"/>
    <n v="0.15088484607477839"/>
  </r>
  <r>
    <x v="0"/>
    <d v="2010-03-31T00:00:00"/>
    <x v="6"/>
    <x v="1"/>
    <x v="0"/>
    <x v="18"/>
    <x v="5"/>
    <n v="10565.55"/>
    <n v="23485.61"/>
    <n v="12920.060000000001"/>
    <n v="1.2228478403869181"/>
  </r>
  <r>
    <x v="0"/>
    <d v="2010-03-31T00:00:00"/>
    <x v="6"/>
    <x v="1"/>
    <x v="0"/>
    <x v="19"/>
    <x v="5"/>
    <n v="8995.1299999999992"/>
    <n v="10019.26"/>
    <n v="1024.130000000001"/>
    <n v="0.11385382979456674"/>
  </r>
  <r>
    <x v="0"/>
    <d v="2010-03-31T00:00:00"/>
    <x v="6"/>
    <x v="1"/>
    <x v="0"/>
    <x v="20"/>
    <x v="5"/>
    <n v="165050.79"/>
    <n v="327760.88"/>
    <n v="162710.09"/>
    <n v="0.98581830477757781"/>
  </r>
  <r>
    <x v="0"/>
    <d v="2010-03-31T00:00:00"/>
    <x v="6"/>
    <x v="1"/>
    <x v="0"/>
    <x v="21"/>
    <x v="5"/>
    <n v="19"/>
    <n v="58.99"/>
    <n v="39.99"/>
    <n v="2.1047368421052632"/>
  </r>
  <r>
    <x v="0"/>
    <d v="2010-03-31T00:00:00"/>
    <x v="6"/>
    <x v="1"/>
    <x v="0"/>
    <x v="22"/>
    <x v="6"/>
    <n v="3203.28"/>
    <n v="4163.37"/>
    <n v="960.08999999999969"/>
    <n v="0.29972091106615706"/>
  </r>
  <r>
    <x v="0"/>
    <d v="2010-03-31T00:00:00"/>
    <x v="6"/>
    <x v="1"/>
    <x v="0"/>
    <x v="23"/>
    <x v="6"/>
    <n v="123448.9"/>
    <n v="133502.41"/>
    <n v="10053.510000000009"/>
    <n v="8.1438635743210433E-2"/>
  </r>
  <r>
    <x v="0"/>
    <d v="2010-03-31T00:00:00"/>
    <x v="6"/>
    <x v="1"/>
    <x v="0"/>
    <x v="24"/>
    <x v="6"/>
    <n v="275552.21999999997"/>
    <n v="303593.34999999998"/>
    <n v="28041.130000000005"/>
    <n v="0.10176339715208975"/>
  </r>
  <r>
    <x v="0"/>
    <d v="2010-03-31T00:00:00"/>
    <x v="6"/>
    <x v="1"/>
    <x v="0"/>
    <x v="25"/>
    <x v="6"/>
    <n v="333526.32"/>
    <n v="334104.74"/>
    <n v="578.4199999999837"/>
    <n v="1.734255935183717E-3"/>
  </r>
  <r>
    <x v="0"/>
    <d v="2010-04-01T00:00:00"/>
    <x v="6"/>
    <x v="2"/>
    <x v="0"/>
    <x v="0"/>
    <x v="0"/>
    <n v="13855"/>
    <n v="16282.44"/>
    <n v="2427.4400000000005"/>
    <n v="0.17520317574882718"/>
  </r>
  <r>
    <x v="0"/>
    <d v="2010-04-01T00:00:00"/>
    <x v="6"/>
    <x v="2"/>
    <x v="0"/>
    <x v="1"/>
    <x v="0"/>
    <n v="193677.15"/>
    <n v="259000.3"/>
    <n v="65323.149999999994"/>
    <n v="0.33727855867354511"/>
  </r>
  <r>
    <x v="0"/>
    <d v="2010-04-01T00:00:00"/>
    <x v="6"/>
    <x v="2"/>
    <x v="0"/>
    <x v="2"/>
    <x v="0"/>
    <n v="67578.070000000007"/>
    <n v="76493.279999999999"/>
    <n v="8915.2099999999919"/>
    <n v="0.13192460216753735"/>
  </r>
  <r>
    <x v="0"/>
    <d v="2010-04-01T00:00:00"/>
    <x v="6"/>
    <x v="2"/>
    <x v="0"/>
    <x v="5"/>
    <x v="1"/>
    <n v="109467.36"/>
    <n v="120942.41"/>
    <n v="11475.050000000003"/>
    <n v="0.1048262239995557"/>
  </r>
  <r>
    <x v="0"/>
    <d v="2010-04-01T00:00:00"/>
    <x v="6"/>
    <x v="2"/>
    <x v="0"/>
    <x v="6"/>
    <x v="1"/>
    <n v="624742.47"/>
    <n v="658486.61"/>
    <n v="33744.140000000014"/>
    <n v="5.4012879899136702E-2"/>
  </r>
  <r>
    <x v="0"/>
    <d v="2010-04-01T00:00:00"/>
    <x v="6"/>
    <x v="2"/>
    <x v="0"/>
    <x v="7"/>
    <x v="1"/>
    <n v="91977.84"/>
    <n v="101282.2"/>
    <n v="9304.36"/>
    <n v="0.10115871388151756"/>
  </r>
  <r>
    <x v="0"/>
    <d v="2010-04-01T00:00:00"/>
    <x v="6"/>
    <x v="2"/>
    <x v="0"/>
    <x v="8"/>
    <x v="1"/>
    <n v="217825.59"/>
    <n v="231567.8"/>
    <n v="13742.209999999992"/>
    <n v="6.3088133951571035E-2"/>
  </r>
  <r>
    <x v="0"/>
    <d v="2010-04-01T00:00:00"/>
    <x v="6"/>
    <x v="2"/>
    <x v="0"/>
    <x v="9"/>
    <x v="2"/>
    <n v="316703.93"/>
    <n v="344194.65"/>
    <n v="27490.72000000003"/>
    <n v="8.6802585619951203E-2"/>
  </r>
  <r>
    <x v="0"/>
    <d v="2010-04-01T00:00:00"/>
    <x v="6"/>
    <x v="2"/>
    <x v="0"/>
    <x v="10"/>
    <x v="2"/>
    <n v="199146.58"/>
    <n v="208475.84"/>
    <n v="9329.2600000000093"/>
    <n v="4.6846197408963841E-2"/>
  </r>
  <r>
    <x v="0"/>
    <d v="2010-04-01T00:00:00"/>
    <x v="6"/>
    <x v="2"/>
    <x v="0"/>
    <x v="11"/>
    <x v="2"/>
    <n v="75259.990000000005"/>
    <n v="79677.919999999998"/>
    <n v="4417.929999999993"/>
    <n v="5.8702240061418991E-2"/>
  </r>
  <r>
    <x v="0"/>
    <d v="2010-04-01T00:00:00"/>
    <x v="6"/>
    <x v="2"/>
    <x v="0"/>
    <x v="12"/>
    <x v="2"/>
    <n v="8963.2000000000007"/>
    <n v="9097.86"/>
    <n v="134.65999999999985"/>
    <n v="1.5023652267047466E-2"/>
  </r>
  <r>
    <x v="0"/>
    <d v="2010-04-01T00:00:00"/>
    <x v="6"/>
    <x v="2"/>
    <x v="0"/>
    <x v="26"/>
    <x v="3"/>
    <n v="650"/>
    <n v="747.98"/>
    <n v="97.980000000000018"/>
    <n v="0.15073846153846157"/>
  </r>
  <r>
    <x v="0"/>
    <d v="2010-04-01T00:00:00"/>
    <x v="6"/>
    <x v="2"/>
    <x v="0"/>
    <x v="13"/>
    <x v="3"/>
    <n v="80620.63"/>
    <n v="92059.43"/>
    <n v="11438.799999999988"/>
    <n v="0.14188427949521093"/>
  </r>
  <r>
    <x v="0"/>
    <d v="2010-04-01T00:00:00"/>
    <x v="6"/>
    <x v="2"/>
    <x v="0"/>
    <x v="14"/>
    <x v="3"/>
    <n v="74144.289999999994"/>
    <n v="82432.429999999993"/>
    <n v="8288.14"/>
    <n v="0.11178392833756989"/>
  </r>
  <r>
    <x v="0"/>
    <d v="2010-04-01T00:00:00"/>
    <x v="6"/>
    <x v="2"/>
    <x v="0"/>
    <x v="15"/>
    <x v="3"/>
    <n v="609553.02"/>
    <n v="662821.80000000005"/>
    <n v="53268.780000000028"/>
    <n v="8.7389904162889762E-2"/>
  </r>
  <r>
    <x v="0"/>
    <d v="2010-04-01T00:00:00"/>
    <x v="6"/>
    <x v="2"/>
    <x v="0"/>
    <x v="16"/>
    <x v="3"/>
    <n v="64988.14"/>
    <n v="73718.240000000005"/>
    <n v="8730.1000000000058"/>
    <n v="0.13433374151037414"/>
  </r>
  <r>
    <x v="0"/>
    <d v="2010-04-01T00:00:00"/>
    <x v="6"/>
    <x v="2"/>
    <x v="0"/>
    <x v="17"/>
    <x v="4"/>
    <n v="543813.24"/>
    <n v="626774.13"/>
    <n v="82960.890000000014"/>
    <n v="0.15255400916682355"/>
  </r>
  <r>
    <x v="0"/>
    <d v="2010-04-01T00:00:00"/>
    <x v="6"/>
    <x v="2"/>
    <x v="0"/>
    <x v="18"/>
    <x v="5"/>
    <n v="11261.98"/>
    <n v="25010.63"/>
    <n v="13748.650000000001"/>
    <n v="1.2208022035201627"/>
  </r>
  <r>
    <x v="0"/>
    <d v="2010-04-01T00:00:00"/>
    <x v="6"/>
    <x v="2"/>
    <x v="0"/>
    <x v="19"/>
    <x v="5"/>
    <n v="7633.5"/>
    <n v="8503.9"/>
    <n v="870.39999999999964"/>
    <n v="0.11402371127267959"/>
  </r>
  <r>
    <x v="0"/>
    <d v="2010-04-01T00:00:00"/>
    <x v="6"/>
    <x v="2"/>
    <x v="0"/>
    <x v="20"/>
    <x v="5"/>
    <n v="169018.41"/>
    <n v="318211.74"/>
    <n v="149193.32999999999"/>
    <n v="0.88270461188222027"/>
  </r>
  <r>
    <x v="0"/>
    <d v="2010-04-01T00:00:00"/>
    <x v="6"/>
    <x v="2"/>
    <x v="0"/>
    <x v="21"/>
    <x v="5"/>
    <n v="209.75"/>
    <n v="438"/>
    <n v="228.25"/>
    <n v="1.0882002383790226"/>
  </r>
  <r>
    <x v="0"/>
    <d v="2010-04-01T00:00:00"/>
    <x v="6"/>
    <x v="2"/>
    <x v="0"/>
    <x v="22"/>
    <x v="6"/>
    <n v="374.2"/>
    <n v="486.38"/>
    <n v="112.18"/>
    <n v="0.29978621058257621"/>
  </r>
  <r>
    <x v="0"/>
    <d v="2010-04-01T00:00:00"/>
    <x v="6"/>
    <x v="2"/>
    <x v="0"/>
    <x v="23"/>
    <x v="6"/>
    <n v="161348.13"/>
    <n v="176432.87"/>
    <n v="15084.739999999991"/>
    <n v="9.3491879949274839E-2"/>
  </r>
  <r>
    <x v="0"/>
    <d v="2010-04-01T00:00:00"/>
    <x v="6"/>
    <x v="2"/>
    <x v="0"/>
    <x v="24"/>
    <x v="6"/>
    <n v="349705.99"/>
    <n v="386885.62"/>
    <n v="37179.630000000005"/>
    <n v="0.10631682345504007"/>
  </r>
  <r>
    <x v="0"/>
    <d v="2010-04-01T00:00:00"/>
    <x v="6"/>
    <x v="2"/>
    <x v="0"/>
    <x v="25"/>
    <x v="6"/>
    <n v="326927.98"/>
    <n v="340077.59"/>
    <n v="13149.610000000044"/>
    <n v="4.022173323922916E-2"/>
  </r>
  <r>
    <x v="0"/>
    <d v="2010-04-02T00:00:00"/>
    <x v="6"/>
    <x v="2"/>
    <x v="0"/>
    <x v="0"/>
    <x v="0"/>
    <n v="10452.99"/>
    <n v="12405.2"/>
    <n v="1952.2100000000009"/>
    <n v="0.1867609172112478"/>
  </r>
  <r>
    <x v="0"/>
    <d v="2010-04-02T00:00:00"/>
    <x v="6"/>
    <x v="2"/>
    <x v="0"/>
    <x v="1"/>
    <x v="0"/>
    <n v="224915.24"/>
    <n v="292655.06"/>
    <n v="67739.820000000007"/>
    <n v="0.30117932426455413"/>
  </r>
  <r>
    <x v="0"/>
    <d v="2010-04-02T00:00:00"/>
    <x v="6"/>
    <x v="2"/>
    <x v="0"/>
    <x v="2"/>
    <x v="0"/>
    <n v="129995.58"/>
    <n v="146547.38"/>
    <n v="16551.800000000003"/>
    <n v="0.12732586754103487"/>
  </r>
  <r>
    <x v="0"/>
    <d v="2010-04-02T00:00:00"/>
    <x v="6"/>
    <x v="2"/>
    <x v="0"/>
    <x v="3"/>
    <x v="0"/>
    <n v="740"/>
    <n v="851.9"/>
    <n v="111.89999999999998"/>
    <n v="0.1512162162162162"/>
  </r>
  <r>
    <x v="0"/>
    <d v="2010-04-02T00:00:00"/>
    <x v="6"/>
    <x v="2"/>
    <x v="0"/>
    <x v="5"/>
    <x v="1"/>
    <n v="117451.91"/>
    <n v="130517.24"/>
    <n v="13065.330000000002"/>
    <n v="0.11123982572952625"/>
  </r>
  <r>
    <x v="0"/>
    <d v="2010-04-02T00:00:00"/>
    <x v="6"/>
    <x v="2"/>
    <x v="0"/>
    <x v="6"/>
    <x v="1"/>
    <n v="652566.07999999996"/>
    <n v="695297.94"/>
    <n v="42731.859999999986"/>
    <n v="6.548280903598297E-2"/>
  </r>
  <r>
    <x v="0"/>
    <d v="2010-04-02T00:00:00"/>
    <x v="6"/>
    <x v="2"/>
    <x v="0"/>
    <x v="7"/>
    <x v="1"/>
    <n v="121243.92"/>
    <n v="133187.56"/>
    <n v="11943.64"/>
    <n v="9.8509187099856219E-2"/>
  </r>
  <r>
    <x v="0"/>
    <d v="2010-04-02T00:00:00"/>
    <x v="6"/>
    <x v="2"/>
    <x v="0"/>
    <x v="8"/>
    <x v="1"/>
    <n v="294085.05"/>
    <n v="308484.34000000003"/>
    <n v="14399.290000000037"/>
    <n v="4.8963012570683334E-2"/>
  </r>
  <r>
    <x v="0"/>
    <d v="2010-04-02T00:00:00"/>
    <x v="6"/>
    <x v="2"/>
    <x v="0"/>
    <x v="9"/>
    <x v="2"/>
    <n v="489852.36"/>
    <n v="517564.28"/>
    <n v="27711.920000000042"/>
    <n v="5.6571984260727133E-2"/>
  </r>
  <r>
    <x v="0"/>
    <d v="2010-04-02T00:00:00"/>
    <x v="6"/>
    <x v="2"/>
    <x v="0"/>
    <x v="10"/>
    <x v="2"/>
    <n v="265386.7"/>
    <n v="276576.31"/>
    <n v="11189.609999999986"/>
    <n v="4.2163416629393956E-2"/>
  </r>
  <r>
    <x v="0"/>
    <d v="2010-04-02T00:00:00"/>
    <x v="6"/>
    <x v="2"/>
    <x v="0"/>
    <x v="11"/>
    <x v="2"/>
    <n v="124751.99"/>
    <n v="131124.92000000001"/>
    <n v="6372.9300000000076"/>
    <n v="5.1084796322687975E-2"/>
  </r>
  <r>
    <x v="0"/>
    <d v="2010-04-02T00:00:00"/>
    <x v="6"/>
    <x v="2"/>
    <x v="0"/>
    <x v="12"/>
    <x v="2"/>
    <n v="4126.6000000000004"/>
    <n v="4327.34"/>
    <n v="200.73999999999978"/>
    <n v="4.8645373915572082E-2"/>
  </r>
  <r>
    <x v="0"/>
    <d v="2010-04-02T00:00:00"/>
    <x v="6"/>
    <x v="2"/>
    <x v="0"/>
    <x v="26"/>
    <x v="3"/>
    <n v="1300"/>
    <n v="1495.86"/>
    <n v="195.8599999999999"/>
    <n v="0.15066153846153837"/>
  </r>
  <r>
    <x v="0"/>
    <d v="2010-04-02T00:00:00"/>
    <x v="6"/>
    <x v="2"/>
    <x v="0"/>
    <x v="13"/>
    <x v="3"/>
    <n v="83675.570000000007"/>
    <n v="95140.98"/>
    <n v="11465.409999999989"/>
    <n v="0.13702219178190228"/>
  </r>
  <r>
    <x v="0"/>
    <d v="2010-04-02T00:00:00"/>
    <x v="6"/>
    <x v="2"/>
    <x v="0"/>
    <x v="14"/>
    <x v="3"/>
    <n v="221262.42"/>
    <n v="233233.22"/>
    <n v="11970.799999999988"/>
    <n v="5.4102273671236115E-2"/>
  </r>
  <r>
    <x v="0"/>
    <d v="2010-04-02T00:00:00"/>
    <x v="6"/>
    <x v="2"/>
    <x v="0"/>
    <x v="15"/>
    <x v="3"/>
    <n v="816058.3"/>
    <n v="883267.05"/>
    <n v="67208.75"/>
    <n v="8.2357780075271572E-2"/>
  </r>
  <r>
    <x v="0"/>
    <d v="2010-04-02T00:00:00"/>
    <x v="6"/>
    <x v="2"/>
    <x v="0"/>
    <x v="16"/>
    <x v="3"/>
    <n v="52683.02"/>
    <n v="60133.35"/>
    <n v="7450.3300000000017"/>
    <n v="0.14141805082548423"/>
  </r>
  <r>
    <x v="0"/>
    <d v="2010-04-02T00:00:00"/>
    <x v="6"/>
    <x v="2"/>
    <x v="0"/>
    <x v="17"/>
    <x v="4"/>
    <n v="540619.82999999996"/>
    <n v="629036.75"/>
    <n v="88416.920000000042"/>
    <n v="0.16354731198076852"/>
  </r>
  <r>
    <x v="0"/>
    <d v="2010-04-02T00:00:00"/>
    <x v="6"/>
    <x v="2"/>
    <x v="0"/>
    <x v="18"/>
    <x v="5"/>
    <n v="6943.54"/>
    <n v="13886.67"/>
    <n v="6943.13"/>
    <n v="0.99994095230962887"/>
  </r>
  <r>
    <x v="0"/>
    <d v="2010-04-02T00:00:00"/>
    <x v="6"/>
    <x v="2"/>
    <x v="0"/>
    <x v="19"/>
    <x v="5"/>
    <n v="5010.4399999999996"/>
    <n v="5579.97"/>
    <n v="569.53000000000065"/>
    <n v="0.11366865983825786"/>
  </r>
  <r>
    <x v="0"/>
    <d v="2010-04-02T00:00:00"/>
    <x v="6"/>
    <x v="2"/>
    <x v="0"/>
    <x v="20"/>
    <x v="5"/>
    <n v="279304.67"/>
    <n v="466618.43"/>
    <n v="187313.76"/>
    <n v="0.67064313675815024"/>
  </r>
  <r>
    <x v="0"/>
    <d v="2010-04-02T00:00:00"/>
    <x v="6"/>
    <x v="2"/>
    <x v="0"/>
    <x v="21"/>
    <x v="5"/>
    <n v="266"/>
    <n v="825.85"/>
    <n v="559.85"/>
    <n v="2.1046992481203008"/>
  </r>
  <r>
    <x v="0"/>
    <d v="2010-04-02T00:00:00"/>
    <x v="6"/>
    <x v="2"/>
    <x v="0"/>
    <x v="22"/>
    <x v="6"/>
    <n v="974.92"/>
    <n v="1188.4000000000001"/>
    <n v="213.48000000000013"/>
    <n v="0.21897181307184194"/>
  </r>
  <r>
    <x v="0"/>
    <d v="2010-04-02T00:00:00"/>
    <x v="6"/>
    <x v="2"/>
    <x v="0"/>
    <x v="23"/>
    <x v="6"/>
    <n v="191538.29"/>
    <n v="198528.87"/>
    <n v="6990.5799999999872"/>
    <n v="3.6497036702165329E-2"/>
  </r>
  <r>
    <x v="0"/>
    <d v="2010-04-02T00:00:00"/>
    <x v="6"/>
    <x v="2"/>
    <x v="0"/>
    <x v="24"/>
    <x v="6"/>
    <n v="349465.81"/>
    <n v="384123.5"/>
    <n v="34657.69"/>
    <n v="9.9173335440167959E-2"/>
  </r>
  <r>
    <x v="0"/>
    <d v="2010-04-02T00:00:00"/>
    <x v="6"/>
    <x v="2"/>
    <x v="0"/>
    <x v="25"/>
    <x v="6"/>
    <n v="411859.89"/>
    <n v="417387.65"/>
    <n v="5527.7600000000093"/>
    <n v="1.3421457476716194E-2"/>
  </r>
  <r>
    <x v="0"/>
    <d v="2010-04-03T00:00:00"/>
    <x v="6"/>
    <x v="2"/>
    <x v="0"/>
    <x v="0"/>
    <x v="0"/>
    <n v="7850.96"/>
    <n v="9573.1299999999992"/>
    <n v="1722.1699999999992"/>
    <n v="0.21935788744306417"/>
  </r>
  <r>
    <x v="0"/>
    <d v="2010-04-03T00:00:00"/>
    <x v="6"/>
    <x v="2"/>
    <x v="0"/>
    <x v="1"/>
    <x v="0"/>
    <n v="281294.71999999997"/>
    <n v="378214.84"/>
    <n v="96920.120000000054"/>
    <n v="0.34455008611608517"/>
  </r>
  <r>
    <x v="0"/>
    <d v="2010-04-03T00:00:00"/>
    <x v="6"/>
    <x v="2"/>
    <x v="0"/>
    <x v="2"/>
    <x v="0"/>
    <n v="163488.29"/>
    <n v="182763.97"/>
    <n v="19275.679999999993"/>
    <n v="0.11790251154990973"/>
  </r>
  <r>
    <x v="0"/>
    <d v="2010-04-03T00:00:00"/>
    <x v="6"/>
    <x v="2"/>
    <x v="0"/>
    <x v="3"/>
    <x v="0"/>
    <n v="1994"/>
    <n v="2200.89"/>
    <n v="206.88999999999987"/>
    <n v="0.10375626880641919"/>
  </r>
  <r>
    <x v="0"/>
    <d v="2010-04-03T00:00:00"/>
    <x v="6"/>
    <x v="2"/>
    <x v="0"/>
    <x v="5"/>
    <x v="1"/>
    <n v="142423.71"/>
    <n v="158199.01"/>
    <n v="15775.300000000017"/>
    <n v="0.11076315874653186"/>
  </r>
  <r>
    <x v="0"/>
    <d v="2010-04-03T00:00:00"/>
    <x v="6"/>
    <x v="2"/>
    <x v="0"/>
    <x v="6"/>
    <x v="1"/>
    <n v="602383.34"/>
    <n v="649391.25"/>
    <n v="47007.910000000033"/>
    <n v="7.803653733185921E-2"/>
  </r>
  <r>
    <x v="0"/>
    <d v="2010-04-03T00:00:00"/>
    <x v="6"/>
    <x v="2"/>
    <x v="0"/>
    <x v="7"/>
    <x v="1"/>
    <n v="173563.33"/>
    <n v="185919.48"/>
    <n v="12356.150000000023"/>
    <n v="7.1191017134783166E-2"/>
  </r>
  <r>
    <x v="0"/>
    <d v="2010-04-03T00:00:00"/>
    <x v="6"/>
    <x v="2"/>
    <x v="0"/>
    <x v="8"/>
    <x v="1"/>
    <n v="199184.76"/>
    <n v="215520.2"/>
    <n v="16335.440000000002"/>
    <n v="8.2011495256966452E-2"/>
  </r>
  <r>
    <x v="0"/>
    <d v="2010-04-03T00:00:00"/>
    <x v="6"/>
    <x v="2"/>
    <x v="0"/>
    <x v="9"/>
    <x v="2"/>
    <n v="645267.84"/>
    <n v="699820.38"/>
    <n v="54552.540000000037"/>
    <n v="8.4542474641228119E-2"/>
  </r>
  <r>
    <x v="0"/>
    <d v="2010-04-03T00:00:00"/>
    <x v="6"/>
    <x v="2"/>
    <x v="0"/>
    <x v="10"/>
    <x v="2"/>
    <n v="329741.44"/>
    <n v="342601.07"/>
    <n v="12859.630000000005"/>
    <n v="3.8999132168525755E-2"/>
  </r>
  <r>
    <x v="0"/>
    <d v="2010-04-03T00:00:00"/>
    <x v="6"/>
    <x v="2"/>
    <x v="0"/>
    <x v="11"/>
    <x v="2"/>
    <n v="197956.99"/>
    <n v="207838.85"/>
    <n v="9881.8600000000151"/>
    <n v="4.9919227403892208E-2"/>
  </r>
  <r>
    <x v="0"/>
    <d v="2010-04-03T00:00:00"/>
    <x v="6"/>
    <x v="2"/>
    <x v="0"/>
    <x v="12"/>
    <x v="2"/>
    <n v="17051"/>
    <n v="17248.599999999999"/>
    <n v="197.59999999999854"/>
    <n v="1.1588763122397427E-2"/>
  </r>
  <r>
    <x v="0"/>
    <d v="2010-04-03T00:00:00"/>
    <x v="6"/>
    <x v="2"/>
    <x v="0"/>
    <x v="26"/>
    <x v="3"/>
    <n v="1950"/>
    <n v="2158.83"/>
    <n v="208.82999999999993"/>
    <n v="0.10709230769230765"/>
  </r>
  <r>
    <x v="0"/>
    <d v="2010-04-03T00:00:00"/>
    <x v="6"/>
    <x v="2"/>
    <x v="0"/>
    <x v="13"/>
    <x v="3"/>
    <n v="70571.75"/>
    <n v="79959.820000000007"/>
    <n v="9388.070000000007"/>
    <n v="0.13302872608373756"/>
  </r>
  <r>
    <x v="0"/>
    <d v="2010-04-03T00:00:00"/>
    <x v="6"/>
    <x v="2"/>
    <x v="0"/>
    <x v="14"/>
    <x v="3"/>
    <n v="114167.03999999999"/>
    <n v="123916.42"/>
    <n v="9749.3800000000047"/>
    <n v="8.5395749946744745E-2"/>
  </r>
  <r>
    <x v="0"/>
    <d v="2010-04-03T00:00:00"/>
    <x v="6"/>
    <x v="2"/>
    <x v="0"/>
    <x v="15"/>
    <x v="3"/>
    <n v="793959.46"/>
    <n v="872288.55"/>
    <n v="78329.090000000084"/>
    <n v="9.865628403747477E-2"/>
  </r>
  <r>
    <x v="0"/>
    <d v="2010-04-03T00:00:00"/>
    <x v="6"/>
    <x v="2"/>
    <x v="0"/>
    <x v="16"/>
    <x v="3"/>
    <n v="81802.42"/>
    <n v="92705.600000000006"/>
    <n v="10903.180000000008"/>
    <n v="0.13328676584384677"/>
  </r>
  <r>
    <x v="0"/>
    <d v="2010-04-03T00:00:00"/>
    <x v="6"/>
    <x v="2"/>
    <x v="0"/>
    <x v="17"/>
    <x v="4"/>
    <n v="632796.09"/>
    <n v="739965.76"/>
    <n v="107169.67000000004"/>
    <n v="0.16935893203764904"/>
  </r>
  <r>
    <x v="0"/>
    <d v="2010-04-03T00:00:00"/>
    <x v="6"/>
    <x v="2"/>
    <x v="0"/>
    <x v="18"/>
    <x v="5"/>
    <n v="8543.82"/>
    <n v="17353.95"/>
    <n v="8810.130000000001"/>
    <n v="1.0311698982422384"/>
  </r>
  <r>
    <x v="0"/>
    <d v="2010-04-03T00:00:00"/>
    <x v="6"/>
    <x v="2"/>
    <x v="0"/>
    <x v="19"/>
    <x v="5"/>
    <n v="2023.7"/>
    <n v="2254.66"/>
    <n v="230.95999999999981"/>
    <n v="0.11412758808123724"/>
  </r>
  <r>
    <x v="0"/>
    <d v="2010-04-03T00:00:00"/>
    <x v="6"/>
    <x v="2"/>
    <x v="0"/>
    <x v="20"/>
    <x v="5"/>
    <n v="420200.34"/>
    <n v="651202.06999999995"/>
    <n v="231001.72999999992"/>
    <n v="0.54974189216505609"/>
  </r>
  <r>
    <x v="0"/>
    <d v="2010-04-03T00:00:00"/>
    <x v="6"/>
    <x v="2"/>
    <x v="0"/>
    <x v="21"/>
    <x v="5"/>
    <n v="57"/>
    <n v="176.99"/>
    <n v="119.99000000000001"/>
    <n v="2.1050877192982456"/>
  </r>
  <r>
    <x v="0"/>
    <d v="2010-04-03T00:00:00"/>
    <x v="6"/>
    <x v="2"/>
    <x v="0"/>
    <x v="22"/>
    <x v="6"/>
    <n v="865.92"/>
    <n v="1125.46"/>
    <n v="259.54000000000008"/>
    <n v="0.29972745750184787"/>
  </r>
  <r>
    <x v="0"/>
    <d v="2010-04-03T00:00:00"/>
    <x v="6"/>
    <x v="2"/>
    <x v="0"/>
    <x v="23"/>
    <x v="6"/>
    <n v="197701.01"/>
    <n v="198867.20000000001"/>
    <n v="1166.1900000000023"/>
    <n v="5.898755904180774E-3"/>
  </r>
  <r>
    <x v="0"/>
    <d v="2010-04-03T00:00:00"/>
    <x v="6"/>
    <x v="2"/>
    <x v="0"/>
    <x v="24"/>
    <x v="6"/>
    <n v="332124.45"/>
    <n v="362337.06"/>
    <n v="30212.609999999986"/>
    <n v="9.0967738147552782E-2"/>
  </r>
  <r>
    <x v="0"/>
    <d v="2010-04-03T00:00:00"/>
    <x v="6"/>
    <x v="2"/>
    <x v="0"/>
    <x v="25"/>
    <x v="6"/>
    <n v="402673.04"/>
    <n v="403427.94"/>
    <n v="754.90000000002328"/>
    <n v="1.8747219828772826E-3"/>
  </r>
  <r>
    <x v="0"/>
    <d v="2010-04-04T00:00:00"/>
    <x v="7"/>
    <x v="2"/>
    <x v="0"/>
    <x v="0"/>
    <x v="0"/>
    <n v="7710.97"/>
    <n v="9535.75"/>
    <n v="1824.7799999999997"/>
    <n v="0.23664727005811198"/>
  </r>
  <r>
    <x v="0"/>
    <d v="2010-04-04T00:00:00"/>
    <x v="7"/>
    <x v="2"/>
    <x v="0"/>
    <x v="1"/>
    <x v="0"/>
    <n v="267291.08"/>
    <n v="367646.93"/>
    <n v="100355.84999999998"/>
    <n v="0.37545529016531332"/>
  </r>
  <r>
    <x v="0"/>
    <d v="2010-04-04T00:00:00"/>
    <x v="7"/>
    <x v="2"/>
    <x v="0"/>
    <x v="2"/>
    <x v="0"/>
    <n v="100904.19"/>
    <n v="113647.12"/>
    <n v="12742.929999999993"/>
    <n v="0.12628742176117755"/>
  </r>
  <r>
    <x v="0"/>
    <d v="2010-04-04T00:00:00"/>
    <x v="7"/>
    <x v="2"/>
    <x v="0"/>
    <x v="3"/>
    <x v="0"/>
    <n v="710"/>
    <n v="724.15"/>
    <n v="14.149999999999977"/>
    <n v="1.9929577464788701E-2"/>
  </r>
  <r>
    <x v="0"/>
    <d v="2010-04-04T00:00:00"/>
    <x v="7"/>
    <x v="2"/>
    <x v="0"/>
    <x v="5"/>
    <x v="1"/>
    <n v="95910.27"/>
    <n v="107010.38"/>
    <n v="11100.11"/>
    <n v="0.11573432125673298"/>
  </r>
  <r>
    <x v="0"/>
    <d v="2010-04-04T00:00:00"/>
    <x v="7"/>
    <x v="2"/>
    <x v="0"/>
    <x v="6"/>
    <x v="1"/>
    <n v="617324.05000000005"/>
    <n v="662360.99"/>
    <n v="45036.939999999944"/>
    <n v="7.295510356351731E-2"/>
  </r>
  <r>
    <x v="0"/>
    <d v="2010-04-04T00:00:00"/>
    <x v="7"/>
    <x v="2"/>
    <x v="0"/>
    <x v="7"/>
    <x v="1"/>
    <n v="100844.89"/>
    <n v="109746.25"/>
    <n v="8901.36"/>
    <n v="8.8267833898177689E-2"/>
  </r>
  <r>
    <x v="0"/>
    <d v="2010-04-04T00:00:00"/>
    <x v="7"/>
    <x v="2"/>
    <x v="0"/>
    <x v="8"/>
    <x v="1"/>
    <n v="228653.48"/>
    <n v="245279.51"/>
    <n v="16626.03"/>
    <n v="7.271277918009382E-2"/>
  </r>
  <r>
    <x v="0"/>
    <d v="2010-04-04T00:00:00"/>
    <x v="7"/>
    <x v="2"/>
    <x v="0"/>
    <x v="9"/>
    <x v="2"/>
    <n v="408639.77"/>
    <n v="438353.79"/>
    <n v="29714.01999999996"/>
    <n v="7.2714459485918273E-2"/>
  </r>
  <r>
    <x v="0"/>
    <d v="2010-04-04T00:00:00"/>
    <x v="7"/>
    <x v="2"/>
    <x v="0"/>
    <x v="10"/>
    <x v="2"/>
    <n v="185212.5"/>
    <n v="194975.03"/>
    <n v="9762.5299999999988"/>
    <n v="5.2709887291624478E-2"/>
  </r>
  <r>
    <x v="0"/>
    <d v="2010-04-04T00:00:00"/>
    <x v="7"/>
    <x v="2"/>
    <x v="0"/>
    <x v="11"/>
    <x v="2"/>
    <n v="147402.99"/>
    <n v="157191.88"/>
    <n v="9788.890000000014"/>
    <n v="6.6409032815413133E-2"/>
  </r>
  <r>
    <x v="0"/>
    <d v="2010-04-04T00:00:00"/>
    <x v="7"/>
    <x v="2"/>
    <x v="0"/>
    <x v="12"/>
    <x v="2"/>
    <n v="8221.7999999999993"/>
    <n v="8796.0300000000007"/>
    <n v="574.23000000000138"/>
    <n v="6.9842370283879615E-2"/>
  </r>
  <r>
    <x v="0"/>
    <d v="2010-04-04T00:00:00"/>
    <x v="7"/>
    <x v="2"/>
    <x v="0"/>
    <x v="13"/>
    <x v="3"/>
    <n v="53335.98"/>
    <n v="60307.22"/>
    <n v="6971.239999999998"/>
    <n v="0.13070426380090883"/>
  </r>
  <r>
    <x v="0"/>
    <d v="2010-04-04T00:00:00"/>
    <x v="7"/>
    <x v="2"/>
    <x v="0"/>
    <x v="14"/>
    <x v="3"/>
    <n v="54362.54"/>
    <n v="54785.120000000003"/>
    <n v="422.58000000000175"/>
    <n v="7.7733674695847866E-3"/>
  </r>
  <r>
    <x v="0"/>
    <d v="2010-04-04T00:00:00"/>
    <x v="7"/>
    <x v="2"/>
    <x v="0"/>
    <x v="15"/>
    <x v="3"/>
    <n v="630990.5"/>
    <n v="691565.7"/>
    <n v="60575.199999999953"/>
    <n v="9.6000177498710287E-2"/>
  </r>
  <r>
    <x v="0"/>
    <d v="2010-04-04T00:00:00"/>
    <x v="7"/>
    <x v="2"/>
    <x v="0"/>
    <x v="16"/>
    <x v="3"/>
    <n v="80450.720000000001"/>
    <n v="90545.71"/>
    <n v="10094.990000000005"/>
    <n v="0.12548041832316734"/>
  </r>
  <r>
    <x v="0"/>
    <d v="2010-04-04T00:00:00"/>
    <x v="7"/>
    <x v="2"/>
    <x v="0"/>
    <x v="17"/>
    <x v="4"/>
    <n v="584814.35"/>
    <n v="663300.14"/>
    <n v="78485.790000000037"/>
    <n v="0.13420633402720034"/>
  </r>
  <r>
    <x v="0"/>
    <d v="2010-04-04T00:00:00"/>
    <x v="7"/>
    <x v="2"/>
    <x v="0"/>
    <x v="18"/>
    <x v="5"/>
    <n v="3671.16"/>
    <n v="7471.16"/>
    <n v="3800"/>
    <n v="1.0350951742773402"/>
  </r>
  <r>
    <x v="0"/>
    <d v="2010-04-04T00:00:00"/>
    <x v="7"/>
    <x v="2"/>
    <x v="0"/>
    <x v="20"/>
    <x v="5"/>
    <n v="190811.46"/>
    <n v="330735.23"/>
    <n v="139923.76999999999"/>
    <n v="0.73330904758026583"/>
  </r>
  <r>
    <x v="0"/>
    <d v="2010-04-04T00:00:00"/>
    <x v="7"/>
    <x v="2"/>
    <x v="0"/>
    <x v="22"/>
    <x v="6"/>
    <n v="324.72000000000003"/>
    <n v="422.09"/>
    <n v="97.369999999999948"/>
    <n v="0.29985833949248564"/>
  </r>
  <r>
    <x v="0"/>
    <d v="2010-04-04T00:00:00"/>
    <x v="7"/>
    <x v="2"/>
    <x v="0"/>
    <x v="23"/>
    <x v="6"/>
    <n v="225070.37"/>
    <n v="237861.69"/>
    <n v="12791.320000000007"/>
    <n v="5.68325364196096E-2"/>
  </r>
  <r>
    <x v="0"/>
    <d v="2010-04-04T00:00:00"/>
    <x v="7"/>
    <x v="2"/>
    <x v="0"/>
    <x v="24"/>
    <x v="6"/>
    <n v="315792.06"/>
    <n v="346742.65"/>
    <n v="30950.590000000026"/>
    <n v="9.8009398969689188E-2"/>
  </r>
  <r>
    <x v="0"/>
    <d v="2010-04-04T00:00:00"/>
    <x v="7"/>
    <x v="2"/>
    <x v="0"/>
    <x v="25"/>
    <x v="6"/>
    <n v="419762.67"/>
    <n v="416310.64"/>
    <n v="-3452.0299999999697"/>
    <n v="-8.2237660628563507E-3"/>
  </r>
  <r>
    <x v="1"/>
    <d v="2010-02-15T00:00:00"/>
    <x v="0"/>
    <x v="0"/>
    <x v="0"/>
    <x v="0"/>
    <x v="0"/>
    <n v="2213"/>
    <n v="2607.13"/>
    <n v="394.13000000000011"/>
    <n v="0.17809760506100322"/>
  </r>
  <r>
    <x v="1"/>
    <d v="2010-02-15T00:00:00"/>
    <x v="0"/>
    <x v="0"/>
    <x v="0"/>
    <x v="1"/>
    <x v="0"/>
    <n v="51615.08"/>
    <n v="56904.639999999999"/>
    <n v="5289.5599999999977"/>
    <n v="0.1024809028679215"/>
  </r>
  <r>
    <x v="1"/>
    <d v="2010-02-15T00:00:00"/>
    <x v="0"/>
    <x v="0"/>
    <x v="0"/>
    <x v="2"/>
    <x v="0"/>
    <n v="37470.239999999998"/>
    <n v="39765.35"/>
    <n v="2295.1100000000006"/>
    <n v="6.1251542557506991E-2"/>
  </r>
  <r>
    <x v="1"/>
    <d v="2010-02-15T00:00:00"/>
    <x v="0"/>
    <x v="0"/>
    <x v="0"/>
    <x v="3"/>
    <x v="0"/>
    <n v="1286"/>
    <n v="1307.32"/>
    <n v="21.319999999999936"/>
    <n v="1.6578538102643807E-2"/>
  </r>
  <r>
    <x v="1"/>
    <d v="2010-02-15T00:00:00"/>
    <x v="0"/>
    <x v="0"/>
    <x v="0"/>
    <x v="4"/>
    <x v="0"/>
    <n v="6477.89"/>
    <n v="6941.22"/>
    <n v="463.32999999999993"/>
    <n v="7.1524832931710774E-2"/>
  </r>
  <r>
    <x v="1"/>
    <d v="2010-02-15T00:00:00"/>
    <x v="0"/>
    <x v="0"/>
    <x v="0"/>
    <x v="5"/>
    <x v="1"/>
    <n v="113014.8"/>
    <n v="114811.15"/>
    <n v="1796.3499999999913"/>
    <n v="1.5894820855321526E-2"/>
  </r>
  <r>
    <x v="1"/>
    <d v="2010-02-15T00:00:00"/>
    <x v="0"/>
    <x v="0"/>
    <x v="0"/>
    <x v="6"/>
    <x v="1"/>
    <n v="407615.55"/>
    <n v="410088.29"/>
    <n v="2472.7399999999907"/>
    <n v="6.0663534548669471E-3"/>
  </r>
  <r>
    <x v="1"/>
    <d v="2010-02-15T00:00:00"/>
    <x v="0"/>
    <x v="0"/>
    <x v="0"/>
    <x v="7"/>
    <x v="1"/>
    <n v="28027"/>
    <n v="28545.38"/>
    <n v="518.38000000000102"/>
    <n v="1.8495736254326222E-2"/>
  </r>
  <r>
    <x v="1"/>
    <d v="2010-02-15T00:00:00"/>
    <x v="0"/>
    <x v="0"/>
    <x v="0"/>
    <x v="8"/>
    <x v="1"/>
    <n v="72917.289999999994"/>
    <n v="73556.87"/>
    <n v="639.58000000000175"/>
    <n v="8.7713078749909901E-3"/>
  </r>
  <r>
    <x v="1"/>
    <d v="2010-02-15T00:00:00"/>
    <x v="0"/>
    <x v="0"/>
    <x v="0"/>
    <x v="9"/>
    <x v="2"/>
    <n v="108895.48"/>
    <n v="112081.52"/>
    <n v="3186.0400000000081"/>
    <n v="2.9257780029070153E-2"/>
  </r>
  <r>
    <x v="1"/>
    <d v="2010-02-15T00:00:00"/>
    <x v="0"/>
    <x v="0"/>
    <x v="0"/>
    <x v="10"/>
    <x v="2"/>
    <n v="50113.52"/>
    <n v="50964.17"/>
    <n v="850.65000000000146"/>
    <n v="1.69744611833294E-2"/>
  </r>
  <r>
    <x v="1"/>
    <d v="2010-02-15T00:00:00"/>
    <x v="0"/>
    <x v="0"/>
    <x v="0"/>
    <x v="11"/>
    <x v="2"/>
    <n v="42579"/>
    <n v="43163.839999999997"/>
    <n v="584.83999999999651"/>
    <n v="1.3735409474153843E-2"/>
  </r>
  <r>
    <x v="1"/>
    <d v="2010-02-15T00:00:00"/>
    <x v="0"/>
    <x v="0"/>
    <x v="0"/>
    <x v="12"/>
    <x v="2"/>
    <n v="1552"/>
    <n v="1587.78"/>
    <n v="35.779999999999973"/>
    <n v="2.3054123711340187E-2"/>
  </r>
  <r>
    <x v="1"/>
    <d v="2010-02-15T00:00:00"/>
    <x v="0"/>
    <x v="0"/>
    <x v="0"/>
    <x v="13"/>
    <x v="3"/>
    <n v="29689.279999999999"/>
    <n v="34096.870000000003"/>
    <n v="4407.5900000000038"/>
    <n v="0.1484572882872203"/>
  </r>
  <r>
    <x v="1"/>
    <d v="2010-02-15T00:00:00"/>
    <x v="0"/>
    <x v="0"/>
    <x v="0"/>
    <x v="15"/>
    <x v="3"/>
    <n v="68993"/>
    <n v="71760.91"/>
    <n v="2767.9100000000035"/>
    <n v="4.0118707694983602E-2"/>
  </r>
  <r>
    <x v="1"/>
    <d v="2010-02-15T00:00:00"/>
    <x v="0"/>
    <x v="0"/>
    <x v="0"/>
    <x v="16"/>
    <x v="3"/>
    <n v="11895.48"/>
    <n v="13426.12"/>
    <n v="1530.6400000000012"/>
    <n v="0.12867408461028906"/>
  </r>
  <r>
    <x v="1"/>
    <d v="2010-02-15T00:00:00"/>
    <x v="0"/>
    <x v="0"/>
    <x v="0"/>
    <x v="17"/>
    <x v="4"/>
    <n v="81985.48"/>
    <n v="96287.06"/>
    <n v="14301.580000000002"/>
    <n v="0.17444040091001484"/>
  </r>
  <r>
    <x v="1"/>
    <d v="2010-02-15T00:00:00"/>
    <x v="0"/>
    <x v="0"/>
    <x v="0"/>
    <x v="20"/>
    <x v="5"/>
    <n v="5867"/>
    <n v="10291.700000000001"/>
    <n v="4424.7000000000007"/>
    <n v="0.75416737685358803"/>
  </r>
  <r>
    <x v="1"/>
    <d v="2010-02-15T00:00:00"/>
    <x v="0"/>
    <x v="0"/>
    <x v="0"/>
    <x v="22"/>
    <x v="6"/>
    <n v="3897"/>
    <n v="4082.96"/>
    <n v="185.96000000000004"/>
    <n v="4.7718758018988977E-2"/>
  </r>
  <r>
    <x v="1"/>
    <d v="2010-02-15T00:00:00"/>
    <x v="0"/>
    <x v="0"/>
    <x v="0"/>
    <x v="23"/>
    <x v="6"/>
    <n v="30663.77"/>
    <n v="31933.91"/>
    <n v="1270.1399999999994"/>
    <n v="4.1421521228472542E-2"/>
  </r>
  <r>
    <x v="1"/>
    <d v="2010-02-15T00:00:00"/>
    <x v="0"/>
    <x v="0"/>
    <x v="0"/>
    <x v="24"/>
    <x v="6"/>
    <n v="65629.960000000006"/>
    <n v="62320.4"/>
    <n v="-3309.5600000000049"/>
    <n v="-5.0427579111735017E-2"/>
  </r>
  <r>
    <x v="1"/>
    <d v="2010-02-15T00:00:00"/>
    <x v="0"/>
    <x v="0"/>
    <x v="0"/>
    <x v="25"/>
    <x v="6"/>
    <n v="59388.79"/>
    <n v="60611.68"/>
    <n v="1222.8899999999994"/>
    <n v="2.0591259731003096E-2"/>
  </r>
  <r>
    <x v="1"/>
    <d v="2010-02-16T00:00:00"/>
    <x v="0"/>
    <x v="0"/>
    <x v="0"/>
    <x v="0"/>
    <x v="0"/>
    <n v="4074"/>
    <n v="4760.95"/>
    <n v="686.94999999999982"/>
    <n v="0.16861806578301419"/>
  </r>
  <r>
    <x v="1"/>
    <d v="2010-02-16T00:00:00"/>
    <x v="0"/>
    <x v="0"/>
    <x v="0"/>
    <x v="1"/>
    <x v="0"/>
    <n v="57278.98"/>
    <n v="63986.92"/>
    <n v="6707.9399999999951"/>
    <n v="0.11710997646955296"/>
  </r>
  <r>
    <x v="1"/>
    <d v="2010-02-16T00:00:00"/>
    <x v="0"/>
    <x v="0"/>
    <x v="0"/>
    <x v="2"/>
    <x v="0"/>
    <n v="29400.75"/>
    <n v="31656.63"/>
    <n v="2255.880000000001"/>
    <n v="7.6728654881253064E-2"/>
  </r>
  <r>
    <x v="1"/>
    <d v="2010-02-16T00:00:00"/>
    <x v="0"/>
    <x v="0"/>
    <x v="0"/>
    <x v="3"/>
    <x v="0"/>
    <n v="768"/>
    <n v="776.1"/>
    <n v="8.1000000000000227"/>
    <n v="1.054687500000003E-2"/>
  </r>
  <r>
    <x v="1"/>
    <d v="2010-02-16T00:00:00"/>
    <x v="0"/>
    <x v="0"/>
    <x v="0"/>
    <x v="4"/>
    <x v="0"/>
    <n v="3553.62"/>
    <n v="3803.16"/>
    <n v="249.53999999999996"/>
    <n v="7.0221351748358002E-2"/>
  </r>
  <r>
    <x v="1"/>
    <d v="2010-02-16T00:00:00"/>
    <x v="0"/>
    <x v="0"/>
    <x v="0"/>
    <x v="5"/>
    <x v="1"/>
    <n v="126993.67"/>
    <n v="128569.15"/>
    <n v="1575.4799999999959"/>
    <n v="1.2405972675645928E-2"/>
  </r>
  <r>
    <x v="1"/>
    <d v="2010-02-16T00:00:00"/>
    <x v="0"/>
    <x v="0"/>
    <x v="0"/>
    <x v="6"/>
    <x v="1"/>
    <n v="217498.94"/>
    <n v="206503.27"/>
    <n v="-10995.670000000013"/>
    <n v="-5.0555050980938175E-2"/>
  </r>
  <r>
    <x v="1"/>
    <d v="2010-02-16T00:00:00"/>
    <x v="0"/>
    <x v="0"/>
    <x v="0"/>
    <x v="7"/>
    <x v="1"/>
    <n v="40741"/>
    <n v="40621.800000000003"/>
    <n v="-119.19999999999709"/>
    <n v="-2.9257995630936179E-3"/>
  </r>
  <r>
    <x v="1"/>
    <d v="2010-02-16T00:00:00"/>
    <x v="0"/>
    <x v="0"/>
    <x v="0"/>
    <x v="8"/>
    <x v="1"/>
    <n v="72940.91"/>
    <n v="73303.72"/>
    <n v="362.80999999999767"/>
    <n v="4.9740262357571034E-3"/>
  </r>
  <r>
    <x v="1"/>
    <d v="2010-02-16T00:00:00"/>
    <x v="0"/>
    <x v="0"/>
    <x v="0"/>
    <x v="9"/>
    <x v="2"/>
    <n v="125633.47"/>
    <n v="128827.74"/>
    <n v="3194.2700000000041"/>
    <n v="2.5425310627812829E-2"/>
  </r>
  <r>
    <x v="1"/>
    <d v="2010-02-16T00:00:00"/>
    <x v="0"/>
    <x v="0"/>
    <x v="0"/>
    <x v="10"/>
    <x v="2"/>
    <n v="55624.800000000003"/>
    <n v="56502.19"/>
    <n v="877.38999999999942"/>
    <n v="1.5773360083991304E-2"/>
  </r>
  <r>
    <x v="1"/>
    <d v="2010-02-16T00:00:00"/>
    <x v="0"/>
    <x v="0"/>
    <x v="0"/>
    <x v="11"/>
    <x v="2"/>
    <n v="42441"/>
    <n v="42933.08"/>
    <n v="492.08000000000175"/>
    <n v="1.1594448764166767E-2"/>
  </r>
  <r>
    <x v="1"/>
    <d v="2010-02-16T00:00:00"/>
    <x v="0"/>
    <x v="0"/>
    <x v="0"/>
    <x v="12"/>
    <x v="2"/>
    <n v="1104"/>
    <n v="1133.8399999999999"/>
    <n v="29.839999999999918"/>
    <n v="2.7028985507246302E-2"/>
  </r>
  <r>
    <x v="1"/>
    <d v="2010-02-16T00:00:00"/>
    <x v="0"/>
    <x v="0"/>
    <x v="0"/>
    <x v="13"/>
    <x v="3"/>
    <n v="19153.009999999998"/>
    <n v="22002.68"/>
    <n v="2849.6700000000019"/>
    <n v="0.14878444693549484"/>
  </r>
  <r>
    <x v="1"/>
    <d v="2010-02-16T00:00:00"/>
    <x v="0"/>
    <x v="0"/>
    <x v="0"/>
    <x v="15"/>
    <x v="3"/>
    <n v="77657"/>
    <n v="81235.039999999994"/>
    <n v="3578.0399999999936"/>
    <n v="4.6074919195951344E-2"/>
  </r>
  <r>
    <x v="1"/>
    <d v="2010-02-16T00:00:00"/>
    <x v="0"/>
    <x v="0"/>
    <x v="0"/>
    <x v="16"/>
    <x v="3"/>
    <n v="7758.88"/>
    <n v="8752.2999999999993"/>
    <n v="993.41999999999916"/>
    <n v="0.12803652073495134"/>
  </r>
  <r>
    <x v="1"/>
    <d v="2010-02-16T00:00:00"/>
    <x v="0"/>
    <x v="0"/>
    <x v="0"/>
    <x v="17"/>
    <x v="4"/>
    <n v="99125.46"/>
    <n v="113335.24"/>
    <n v="14209.779999999999"/>
    <n v="0.14335146590996903"/>
  </r>
  <r>
    <x v="1"/>
    <d v="2010-02-16T00:00:00"/>
    <x v="0"/>
    <x v="0"/>
    <x v="0"/>
    <x v="20"/>
    <x v="5"/>
    <n v="4358"/>
    <n v="7757.53"/>
    <n v="3399.5299999999997"/>
    <n v="0.78006654428636979"/>
  </r>
  <r>
    <x v="1"/>
    <d v="2010-02-16T00:00:00"/>
    <x v="0"/>
    <x v="0"/>
    <x v="0"/>
    <x v="22"/>
    <x v="6"/>
    <n v="5451"/>
    <n v="5684.88"/>
    <n v="233.88000000000011"/>
    <n v="4.2905888827738048E-2"/>
  </r>
  <r>
    <x v="1"/>
    <d v="2010-02-16T00:00:00"/>
    <x v="0"/>
    <x v="0"/>
    <x v="0"/>
    <x v="23"/>
    <x v="6"/>
    <n v="26704.720000000001"/>
    <n v="27523.54"/>
    <n v="818.81999999999971"/>
    <n v="3.0661995332660282E-2"/>
  </r>
  <r>
    <x v="1"/>
    <d v="2010-02-16T00:00:00"/>
    <x v="0"/>
    <x v="0"/>
    <x v="0"/>
    <x v="24"/>
    <x v="6"/>
    <n v="48586.05"/>
    <n v="46673.64"/>
    <n v="-1912.4100000000035"/>
    <n v="-3.9361298150395088E-2"/>
  </r>
  <r>
    <x v="1"/>
    <d v="2010-02-16T00:00:00"/>
    <x v="0"/>
    <x v="0"/>
    <x v="0"/>
    <x v="25"/>
    <x v="6"/>
    <n v="69921.87"/>
    <n v="71403.820000000007"/>
    <n v="1481.9500000000116"/>
    <n v="2.1194370230659045E-2"/>
  </r>
  <r>
    <x v="1"/>
    <d v="2010-02-17T00:00:00"/>
    <x v="0"/>
    <x v="0"/>
    <x v="0"/>
    <x v="0"/>
    <x v="0"/>
    <n v="5545"/>
    <n v="6279.47"/>
    <n v="734.47000000000025"/>
    <n v="0.13245626690712359"/>
  </r>
  <r>
    <x v="1"/>
    <d v="2010-02-17T00:00:00"/>
    <x v="0"/>
    <x v="0"/>
    <x v="0"/>
    <x v="1"/>
    <x v="0"/>
    <n v="50305.55"/>
    <n v="57540.62"/>
    <n v="7235.07"/>
    <n v="0.14382250069823307"/>
  </r>
  <r>
    <x v="1"/>
    <d v="2010-02-17T00:00:00"/>
    <x v="0"/>
    <x v="0"/>
    <x v="0"/>
    <x v="2"/>
    <x v="0"/>
    <n v="32173.26"/>
    <n v="34614.449999999997"/>
    <n v="2441.1899999999987"/>
    <n v="7.5876364409450545E-2"/>
  </r>
  <r>
    <x v="1"/>
    <d v="2010-02-17T00:00:00"/>
    <x v="0"/>
    <x v="0"/>
    <x v="0"/>
    <x v="3"/>
    <x v="0"/>
    <n v="1077"/>
    <n v="1084.49"/>
    <n v="7.4900000000000091"/>
    <n v="6.9545032497678825E-3"/>
  </r>
  <r>
    <x v="1"/>
    <d v="2010-02-17T00:00:00"/>
    <x v="0"/>
    <x v="0"/>
    <x v="0"/>
    <x v="4"/>
    <x v="0"/>
    <n v="1436"/>
    <n v="1493.86"/>
    <n v="57.8599999999999"/>
    <n v="4.0292479108635031E-2"/>
  </r>
  <r>
    <x v="1"/>
    <d v="2010-02-17T00:00:00"/>
    <x v="0"/>
    <x v="0"/>
    <x v="0"/>
    <x v="5"/>
    <x v="1"/>
    <n v="90121.01"/>
    <n v="91271.8"/>
    <n v="1150.7900000000081"/>
    <n v="1.276938640612226E-2"/>
  </r>
  <r>
    <x v="1"/>
    <d v="2010-02-17T00:00:00"/>
    <x v="0"/>
    <x v="0"/>
    <x v="0"/>
    <x v="6"/>
    <x v="1"/>
    <n v="298270.90000000002"/>
    <n v="277378.18"/>
    <n v="-20892.72000000003"/>
    <n v="-7.0046122501390612E-2"/>
  </r>
  <r>
    <x v="1"/>
    <d v="2010-02-17T00:00:00"/>
    <x v="0"/>
    <x v="0"/>
    <x v="0"/>
    <x v="7"/>
    <x v="1"/>
    <n v="34244"/>
    <n v="34969.300000000003"/>
    <n v="725.30000000000291"/>
    <n v="2.1180352762527829E-2"/>
  </r>
  <r>
    <x v="1"/>
    <d v="2010-02-17T00:00:00"/>
    <x v="0"/>
    <x v="0"/>
    <x v="0"/>
    <x v="8"/>
    <x v="1"/>
    <n v="79713.75"/>
    <n v="80573.37"/>
    <n v="859.61999999999534"/>
    <n v="1.0783835912875701E-2"/>
  </r>
  <r>
    <x v="1"/>
    <d v="2010-02-17T00:00:00"/>
    <x v="0"/>
    <x v="0"/>
    <x v="0"/>
    <x v="9"/>
    <x v="2"/>
    <n v="124325.12"/>
    <n v="127550.39"/>
    <n v="3225.2700000000041"/>
    <n v="2.5942223100206975E-2"/>
  </r>
  <r>
    <x v="1"/>
    <d v="2010-02-17T00:00:00"/>
    <x v="0"/>
    <x v="0"/>
    <x v="0"/>
    <x v="10"/>
    <x v="2"/>
    <n v="53086.52"/>
    <n v="53945.97"/>
    <n v="859.45000000000437"/>
    <n v="1.6189608962878042E-2"/>
  </r>
  <r>
    <x v="1"/>
    <d v="2010-02-17T00:00:00"/>
    <x v="0"/>
    <x v="0"/>
    <x v="0"/>
    <x v="11"/>
    <x v="2"/>
    <n v="31792.99"/>
    <n v="32271.22"/>
    <n v="478.22999999999956"/>
    <n v="1.5041995106468423E-2"/>
  </r>
  <r>
    <x v="1"/>
    <d v="2010-02-17T00:00:00"/>
    <x v="0"/>
    <x v="0"/>
    <x v="0"/>
    <x v="12"/>
    <x v="2"/>
    <n v="3344"/>
    <n v="3435.63"/>
    <n v="91.630000000000109"/>
    <n v="2.7401315789473718E-2"/>
  </r>
  <r>
    <x v="1"/>
    <d v="2010-02-17T00:00:00"/>
    <x v="0"/>
    <x v="0"/>
    <x v="0"/>
    <x v="13"/>
    <x v="3"/>
    <n v="21994.49"/>
    <n v="25261.41"/>
    <n v="3266.9199999999983"/>
    <n v="0.14853356454275585"/>
  </r>
  <r>
    <x v="1"/>
    <d v="2010-02-17T00:00:00"/>
    <x v="0"/>
    <x v="0"/>
    <x v="0"/>
    <x v="15"/>
    <x v="3"/>
    <n v="78195"/>
    <n v="82377.95"/>
    <n v="4182.9499999999971"/>
    <n v="5.3493829528742209E-2"/>
  </r>
  <r>
    <x v="1"/>
    <d v="2010-02-17T00:00:00"/>
    <x v="0"/>
    <x v="0"/>
    <x v="0"/>
    <x v="16"/>
    <x v="3"/>
    <n v="8737.42"/>
    <n v="9857.17"/>
    <n v="1119.75"/>
    <n v="0.12815567982310569"/>
  </r>
  <r>
    <x v="1"/>
    <d v="2010-02-17T00:00:00"/>
    <x v="0"/>
    <x v="0"/>
    <x v="0"/>
    <x v="17"/>
    <x v="4"/>
    <n v="83674.98"/>
    <n v="94340.94"/>
    <n v="10665.960000000006"/>
    <n v="0.12746892798779286"/>
  </r>
  <r>
    <x v="1"/>
    <d v="2010-02-17T00:00:00"/>
    <x v="0"/>
    <x v="0"/>
    <x v="0"/>
    <x v="20"/>
    <x v="5"/>
    <n v="5957"/>
    <n v="10877.25"/>
    <n v="4920.25"/>
    <n v="0.82596105422192378"/>
  </r>
  <r>
    <x v="1"/>
    <d v="2010-02-17T00:00:00"/>
    <x v="0"/>
    <x v="0"/>
    <x v="0"/>
    <x v="22"/>
    <x v="6"/>
    <n v="7944"/>
    <n v="8521.32"/>
    <n v="577.31999999999971"/>
    <n v="7.2673716012084555E-2"/>
  </r>
  <r>
    <x v="1"/>
    <d v="2010-02-17T00:00:00"/>
    <x v="0"/>
    <x v="0"/>
    <x v="0"/>
    <x v="23"/>
    <x v="6"/>
    <n v="24625.32"/>
    <n v="25787.91"/>
    <n v="1162.5900000000001"/>
    <n v="4.7211163144275897E-2"/>
  </r>
  <r>
    <x v="1"/>
    <d v="2010-02-17T00:00:00"/>
    <x v="0"/>
    <x v="0"/>
    <x v="0"/>
    <x v="24"/>
    <x v="6"/>
    <n v="57979.59"/>
    <n v="53219.66"/>
    <n v="-4759.929999999993"/>
    <n v="-8.2096648148080958E-2"/>
  </r>
  <r>
    <x v="1"/>
    <d v="2010-02-17T00:00:00"/>
    <x v="0"/>
    <x v="0"/>
    <x v="0"/>
    <x v="25"/>
    <x v="6"/>
    <n v="54764.37"/>
    <n v="56427.25"/>
    <n v="1662.8799999999974"/>
    <n v="3.0364267862480612E-2"/>
  </r>
  <r>
    <x v="1"/>
    <d v="2010-02-18T00:00:00"/>
    <x v="0"/>
    <x v="0"/>
    <x v="0"/>
    <x v="0"/>
    <x v="0"/>
    <n v="3270"/>
    <n v="3808.78"/>
    <n v="538.7800000000002"/>
    <n v="0.16476452599388386"/>
  </r>
  <r>
    <x v="1"/>
    <d v="2010-02-18T00:00:00"/>
    <x v="0"/>
    <x v="0"/>
    <x v="0"/>
    <x v="1"/>
    <x v="0"/>
    <n v="53039.79"/>
    <n v="59660.99"/>
    <n v="6621.1999999999971"/>
    <n v="0.12483458173571195"/>
  </r>
  <r>
    <x v="1"/>
    <d v="2010-02-18T00:00:00"/>
    <x v="0"/>
    <x v="0"/>
    <x v="0"/>
    <x v="2"/>
    <x v="0"/>
    <n v="40203.97"/>
    <n v="43188.58"/>
    <n v="2984.6100000000006"/>
    <n v="7.4236698515096899E-2"/>
  </r>
  <r>
    <x v="1"/>
    <d v="2010-02-18T00:00:00"/>
    <x v="0"/>
    <x v="0"/>
    <x v="0"/>
    <x v="3"/>
    <x v="0"/>
    <n v="693"/>
    <n v="696"/>
    <n v="3"/>
    <n v="4.329004329004329E-3"/>
  </r>
  <r>
    <x v="1"/>
    <d v="2010-02-18T00:00:00"/>
    <x v="0"/>
    <x v="0"/>
    <x v="0"/>
    <x v="4"/>
    <x v="0"/>
    <n v="4962.6499999999996"/>
    <n v="5357.71"/>
    <n v="395.0600000000004"/>
    <n v="7.9606661763372472E-2"/>
  </r>
  <r>
    <x v="1"/>
    <d v="2010-02-18T00:00:00"/>
    <x v="0"/>
    <x v="0"/>
    <x v="0"/>
    <x v="5"/>
    <x v="1"/>
    <n v="115140.04"/>
    <n v="117039.28"/>
    <n v="1899.2400000000052"/>
    <n v="1.6495043774520188E-2"/>
  </r>
  <r>
    <x v="1"/>
    <d v="2010-02-18T00:00:00"/>
    <x v="0"/>
    <x v="0"/>
    <x v="0"/>
    <x v="6"/>
    <x v="1"/>
    <n v="172370.6"/>
    <n v="170436.58"/>
    <n v="-1934.0200000000186"/>
    <n v="-1.1220126866182624E-2"/>
  </r>
  <r>
    <x v="1"/>
    <d v="2010-02-18T00:00:00"/>
    <x v="0"/>
    <x v="0"/>
    <x v="0"/>
    <x v="7"/>
    <x v="1"/>
    <n v="25780.18"/>
    <n v="26046.53"/>
    <n v="266.34999999999854"/>
    <n v="1.033158030704202E-2"/>
  </r>
  <r>
    <x v="1"/>
    <d v="2010-02-18T00:00:00"/>
    <x v="0"/>
    <x v="0"/>
    <x v="0"/>
    <x v="8"/>
    <x v="1"/>
    <n v="56256.66"/>
    <n v="57184.11"/>
    <n v="927.44999999999709"/>
    <n v="1.64860480519106E-2"/>
  </r>
  <r>
    <x v="1"/>
    <d v="2010-02-18T00:00:00"/>
    <x v="0"/>
    <x v="0"/>
    <x v="0"/>
    <x v="9"/>
    <x v="2"/>
    <n v="168191.47"/>
    <n v="172440.33"/>
    <n v="4248.859999999986"/>
    <n v="2.5262042123777063E-2"/>
  </r>
  <r>
    <x v="1"/>
    <d v="2010-02-18T00:00:00"/>
    <x v="0"/>
    <x v="0"/>
    <x v="0"/>
    <x v="10"/>
    <x v="2"/>
    <n v="51861.599999999999"/>
    <n v="52617.87"/>
    <n v="756.27000000000407"/>
    <n v="1.4582465639317031E-2"/>
  </r>
  <r>
    <x v="1"/>
    <d v="2010-02-18T00:00:00"/>
    <x v="0"/>
    <x v="0"/>
    <x v="0"/>
    <x v="11"/>
    <x v="2"/>
    <n v="33830"/>
    <n v="34193.89"/>
    <n v="363.88999999999942"/>
    <n v="1.0756429204847751E-2"/>
  </r>
  <r>
    <x v="1"/>
    <d v="2010-02-18T00:00:00"/>
    <x v="0"/>
    <x v="0"/>
    <x v="0"/>
    <x v="12"/>
    <x v="2"/>
    <n v="1180"/>
    <n v="1210.02"/>
    <n v="30.019999999999982"/>
    <n v="2.544067796610168E-2"/>
  </r>
  <r>
    <x v="1"/>
    <d v="2010-02-18T00:00:00"/>
    <x v="0"/>
    <x v="0"/>
    <x v="0"/>
    <x v="13"/>
    <x v="3"/>
    <n v="24914.7"/>
    <n v="28646.52"/>
    <n v="3731.8199999999997"/>
    <n v="0.14978386253898299"/>
  </r>
  <r>
    <x v="1"/>
    <d v="2010-02-18T00:00:00"/>
    <x v="0"/>
    <x v="0"/>
    <x v="0"/>
    <x v="15"/>
    <x v="3"/>
    <n v="60663"/>
    <n v="63498.69"/>
    <n v="2835.6900000000023"/>
    <n v="4.6744968102467768E-2"/>
  </r>
  <r>
    <x v="1"/>
    <d v="2010-02-18T00:00:00"/>
    <x v="0"/>
    <x v="0"/>
    <x v="0"/>
    <x v="16"/>
    <x v="3"/>
    <n v="15393.8"/>
    <n v="17400.32"/>
    <n v="2006.5200000000004"/>
    <n v="0.13034598344788165"/>
  </r>
  <r>
    <x v="1"/>
    <d v="2010-02-18T00:00:00"/>
    <x v="0"/>
    <x v="0"/>
    <x v="0"/>
    <x v="17"/>
    <x v="4"/>
    <n v="101850.73"/>
    <n v="112521.19"/>
    <n v="10670.460000000006"/>
    <n v="0.10476567030987413"/>
  </r>
  <r>
    <x v="1"/>
    <d v="2010-02-18T00:00:00"/>
    <x v="0"/>
    <x v="0"/>
    <x v="0"/>
    <x v="20"/>
    <x v="5"/>
    <n v="4729"/>
    <n v="8910.27"/>
    <n v="4181.2700000000004"/>
    <n v="0.88417635863819"/>
  </r>
  <r>
    <x v="1"/>
    <d v="2010-02-18T00:00:00"/>
    <x v="0"/>
    <x v="0"/>
    <x v="0"/>
    <x v="22"/>
    <x v="6"/>
    <n v="1874"/>
    <n v="1955.34"/>
    <n v="81.339999999999918"/>
    <n v="4.3404482390608283E-2"/>
  </r>
  <r>
    <x v="1"/>
    <d v="2010-02-18T00:00:00"/>
    <x v="0"/>
    <x v="0"/>
    <x v="0"/>
    <x v="23"/>
    <x v="6"/>
    <n v="21511.53"/>
    <n v="22798.46"/>
    <n v="1286.9300000000003"/>
    <n v="5.9825126339223676E-2"/>
  </r>
  <r>
    <x v="1"/>
    <d v="2010-02-18T00:00:00"/>
    <x v="0"/>
    <x v="0"/>
    <x v="0"/>
    <x v="24"/>
    <x v="6"/>
    <n v="97230.48"/>
    <n v="88383.18"/>
    <n v="-8847.3000000000029"/>
    <n v="-9.0993071308503287E-2"/>
  </r>
  <r>
    <x v="1"/>
    <d v="2010-02-18T00:00:00"/>
    <x v="0"/>
    <x v="0"/>
    <x v="0"/>
    <x v="25"/>
    <x v="6"/>
    <n v="59825.54"/>
    <n v="61634.81"/>
    <n v="1809.2699999999968"/>
    <n v="3.0242434919935477E-2"/>
  </r>
  <r>
    <x v="1"/>
    <d v="2010-02-19T00:00:00"/>
    <x v="0"/>
    <x v="0"/>
    <x v="0"/>
    <x v="0"/>
    <x v="0"/>
    <n v="5028"/>
    <n v="5746.55"/>
    <n v="718.55000000000018"/>
    <n v="0.14290970564836916"/>
  </r>
  <r>
    <x v="1"/>
    <d v="2010-02-19T00:00:00"/>
    <x v="0"/>
    <x v="0"/>
    <x v="0"/>
    <x v="1"/>
    <x v="0"/>
    <n v="42341.73"/>
    <n v="45684.59"/>
    <n v="3342.8599999999933"/>
    <n v="7.8949537489374971E-2"/>
  </r>
  <r>
    <x v="1"/>
    <d v="2010-02-19T00:00:00"/>
    <x v="0"/>
    <x v="0"/>
    <x v="0"/>
    <x v="2"/>
    <x v="0"/>
    <n v="40642.85"/>
    <n v="43588.97"/>
    <n v="2946.1200000000026"/>
    <n v="7.2488026799301788E-2"/>
  </r>
  <r>
    <x v="1"/>
    <d v="2010-02-19T00:00:00"/>
    <x v="0"/>
    <x v="0"/>
    <x v="0"/>
    <x v="3"/>
    <x v="0"/>
    <n v="672"/>
    <n v="679.23"/>
    <n v="7.2300000000000182"/>
    <n v="1.0758928571428598E-2"/>
  </r>
  <r>
    <x v="1"/>
    <d v="2010-02-19T00:00:00"/>
    <x v="0"/>
    <x v="0"/>
    <x v="0"/>
    <x v="4"/>
    <x v="0"/>
    <n v="8389.8700000000008"/>
    <n v="8948.43"/>
    <n v="558.55999999999949"/>
    <n v="6.6575525008134739E-2"/>
  </r>
  <r>
    <x v="1"/>
    <d v="2010-02-19T00:00:00"/>
    <x v="0"/>
    <x v="0"/>
    <x v="0"/>
    <x v="5"/>
    <x v="1"/>
    <n v="56593.36"/>
    <n v="58569.29"/>
    <n v="1975.9300000000003"/>
    <n v="3.4914520007294149E-2"/>
  </r>
  <r>
    <x v="1"/>
    <d v="2010-02-19T00:00:00"/>
    <x v="0"/>
    <x v="0"/>
    <x v="0"/>
    <x v="6"/>
    <x v="1"/>
    <n v="149188.60999999999"/>
    <n v="152408.78"/>
    <n v="3220.1700000000128"/>
    <n v="2.1584556622653787E-2"/>
  </r>
  <r>
    <x v="1"/>
    <d v="2010-02-19T00:00:00"/>
    <x v="0"/>
    <x v="0"/>
    <x v="0"/>
    <x v="7"/>
    <x v="1"/>
    <n v="32639.13"/>
    <n v="33625.769999999997"/>
    <n v="986.63999999999578"/>
    <n v="3.0228746905937621E-2"/>
  </r>
  <r>
    <x v="1"/>
    <d v="2010-02-19T00:00:00"/>
    <x v="0"/>
    <x v="0"/>
    <x v="0"/>
    <x v="8"/>
    <x v="1"/>
    <n v="64334.720000000001"/>
    <n v="65494.49"/>
    <n v="1159.7699999999968"/>
    <n v="1.802712438944316E-2"/>
  </r>
  <r>
    <x v="1"/>
    <d v="2010-02-19T00:00:00"/>
    <x v="0"/>
    <x v="0"/>
    <x v="0"/>
    <x v="9"/>
    <x v="2"/>
    <n v="227637.98"/>
    <n v="234302.6"/>
    <n v="6664.6199999999953"/>
    <n v="2.9277276138190977E-2"/>
  </r>
  <r>
    <x v="1"/>
    <d v="2010-02-19T00:00:00"/>
    <x v="0"/>
    <x v="0"/>
    <x v="0"/>
    <x v="10"/>
    <x v="2"/>
    <n v="51771.03"/>
    <n v="53097.279999999999"/>
    <n v="1326.25"/>
    <n v="2.5617608921437336E-2"/>
  </r>
  <r>
    <x v="1"/>
    <d v="2010-02-19T00:00:00"/>
    <x v="0"/>
    <x v="0"/>
    <x v="0"/>
    <x v="11"/>
    <x v="2"/>
    <n v="55914"/>
    <n v="56707.81"/>
    <n v="793.80999999999767"/>
    <n v="1.419698107808416E-2"/>
  </r>
  <r>
    <x v="1"/>
    <d v="2010-02-19T00:00:00"/>
    <x v="0"/>
    <x v="0"/>
    <x v="0"/>
    <x v="12"/>
    <x v="2"/>
    <n v="1280"/>
    <n v="1312.84"/>
    <n v="32.839999999999918"/>
    <n v="2.5656249999999936E-2"/>
  </r>
  <r>
    <x v="1"/>
    <d v="2010-02-19T00:00:00"/>
    <x v="0"/>
    <x v="0"/>
    <x v="0"/>
    <x v="13"/>
    <x v="3"/>
    <n v="24319.49"/>
    <n v="27957.41"/>
    <n v="3637.9199999999983"/>
    <n v="0.14958866324910589"/>
  </r>
  <r>
    <x v="1"/>
    <d v="2010-02-19T00:00:00"/>
    <x v="0"/>
    <x v="0"/>
    <x v="0"/>
    <x v="15"/>
    <x v="3"/>
    <n v="71737"/>
    <n v="75696.53"/>
    <n v="3959.5299999999988"/>
    <n v="5.5195087611692693E-2"/>
  </r>
  <r>
    <x v="1"/>
    <d v="2010-02-19T00:00:00"/>
    <x v="0"/>
    <x v="0"/>
    <x v="0"/>
    <x v="16"/>
    <x v="3"/>
    <n v="15519.24"/>
    <n v="17583.7"/>
    <n v="2064.4600000000009"/>
    <n v="0.13302584404906431"/>
  </r>
  <r>
    <x v="1"/>
    <d v="2010-02-19T00:00:00"/>
    <x v="0"/>
    <x v="0"/>
    <x v="0"/>
    <x v="17"/>
    <x v="4"/>
    <n v="75189.08"/>
    <n v="87973.07"/>
    <n v="12783.990000000005"/>
    <n v="0.1700245567574441"/>
  </r>
  <r>
    <x v="1"/>
    <d v="2010-02-19T00:00:00"/>
    <x v="0"/>
    <x v="0"/>
    <x v="0"/>
    <x v="20"/>
    <x v="5"/>
    <n v="3261"/>
    <n v="5518.37"/>
    <n v="2257.37"/>
    <n v="0.69223244403557183"/>
  </r>
  <r>
    <x v="1"/>
    <d v="2010-02-19T00:00:00"/>
    <x v="0"/>
    <x v="0"/>
    <x v="0"/>
    <x v="22"/>
    <x v="6"/>
    <n v="2587"/>
    <n v="2743.94"/>
    <n v="156.94000000000005"/>
    <n v="6.0664862775415558E-2"/>
  </r>
  <r>
    <x v="1"/>
    <d v="2010-02-19T00:00:00"/>
    <x v="0"/>
    <x v="0"/>
    <x v="0"/>
    <x v="23"/>
    <x v="6"/>
    <n v="28799.49"/>
    <n v="29782.34"/>
    <n v="982.84999999999854"/>
    <n v="3.4127340449431519E-2"/>
  </r>
  <r>
    <x v="1"/>
    <d v="2010-02-19T00:00:00"/>
    <x v="0"/>
    <x v="0"/>
    <x v="0"/>
    <x v="24"/>
    <x v="6"/>
    <n v="117983.28"/>
    <n v="108175.06"/>
    <n v="-9808.2200000000012"/>
    <n v="-8.3132287897064741E-2"/>
  </r>
  <r>
    <x v="1"/>
    <d v="2010-02-19T00:00:00"/>
    <x v="0"/>
    <x v="0"/>
    <x v="0"/>
    <x v="25"/>
    <x v="6"/>
    <n v="85511.24"/>
    <n v="88601.37"/>
    <n v="3090.1299999999901"/>
    <n v="3.6137120687291982E-2"/>
  </r>
  <r>
    <x v="1"/>
    <d v="2010-02-20T00:00:00"/>
    <x v="0"/>
    <x v="0"/>
    <x v="0"/>
    <x v="0"/>
    <x v="0"/>
    <n v="5031"/>
    <n v="5816.23"/>
    <n v="785.22999999999956"/>
    <n v="0.15607831445040737"/>
  </r>
  <r>
    <x v="1"/>
    <d v="2010-02-20T00:00:00"/>
    <x v="0"/>
    <x v="0"/>
    <x v="0"/>
    <x v="1"/>
    <x v="0"/>
    <n v="69519.5"/>
    <n v="78148.62"/>
    <n v="8629.1199999999953"/>
    <n v="0.12412517351246766"/>
  </r>
  <r>
    <x v="1"/>
    <d v="2010-02-20T00:00:00"/>
    <x v="0"/>
    <x v="0"/>
    <x v="0"/>
    <x v="2"/>
    <x v="0"/>
    <n v="56268.11"/>
    <n v="59937.25"/>
    <n v="3669.1399999999994"/>
    <n v="6.5208161425716976E-2"/>
  </r>
  <r>
    <x v="1"/>
    <d v="2010-02-20T00:00:00"/>
    <x v="0"/>
    <x v="0"/>
    <x v="0"/>
    <x v="3"/>
    <x v="0"/>
    <n v="672"/>
    <n v="678.51"/>
    <n v="6.5099999999999909"/>
    <n v="9.6874999999999861E-3"/>
  </r>
  <r>
    <x v="1"/>
    <d v="2010-02-20T00:00:00"/>
    <x v="0"/>
    <x v="0"/>
    <x v="0"/>
    <x v="4"/>
    <x v="0"/>
    <n v="8425.01"/>
    <n v="8888.4599999999991"/>
    <n v="463.44999999999891"/>
    <n v="5.5008836784763329E-2"/>
  </r>
  <r>
    <x v="1"/>
    <d v="2010-02-20T00:00:00"/>
    <x v="0"/>
    <x v="0"/>
    <x v="0"/>
    <x v="5"/>
    <x v="1"/>
    <n v="104599.65"/>
    <n v="109578.24000000001"/>
    <n v="4978.5900000000111"/>
    <n v="4.7596621977224696E-2"/>
  </r>
  <r>
    <x v="1"/>
    <d v="2010-02-20T00:00:00"/>
    <x v="0"/>
    <x v="0"/>
    <x v="0"/>
    <x v="6"/>
    <x v="1"/>
    <n v="322887.46000000002"/>
    <n v="332795.03999999998"/>
    <n v="9907.5799999999581"/>
    <n v="3.0684313351778843E-2"/>
  </r>
  <r>
    <x v="1"/>
    <d v="2010-02-20T00:00:00"/>
    <x v="0"/>
    <x v="0"/>
    <x v="0"/>
    <x v="7"/>
    <x v="1"/>
    <n v="67860.98"/>
    <n v="70084.09"/>
    <n v="2223.1100000000006"/>
    <n v="3.2759768573928649E-2"/>
  </r>
  <r>
    <x v="1"/>
    <d v="2010-02-20T00:00:00"/>
    <x v="0"/>
    <x v="0"/>
    <x v="0"/>
    <x v="8"/>
    <x v="1"/>
    <n v="109622.55"/>
    <n v="112122.08"/>
    <n v="2499.5299999999988"/>
    <n v="2.2801239343547462E-2"/>
  </r>
  <r>
    <x v="1"/>
    <d v="2010-02-20T00:00:00"/>
    <x v="0"/>
    <x v="0"/>
    <x v="0"/>
    <x v="9"/>
    <x v="2"/>
    <n v="293751.7"/>
    <n v="300705.18"/>
    <n v="6953.4799999999814"/>
    <n v="2.3671284285333435E-2"/>
  </r>
  <r>
    <x v="1"/>
    <d v="2010-02-20T00:00:00"/>
    <x v="0"/>
    <x v="0"/>
    <x v="0"/>
    <x v="10"/>
    <x v="2"/>
    <n v="78779.41"/>
    <n v="80339.23"/>
    <n v="1559.8199999999924"/>
    <n v="1.9799843639346785E-2"/>
  </r>
  <r>
    <x v="1"/>
    <d v="2010-02-20T00:00:00"/>
    <x v="0"/>
    <x v="0"/>
    <x v="0"/>
    <x v="11"/>
    <x v="2"/>
    <n v="63793"/>
    <n v="64698.18"/>
    <n v="905.18000000000029"/>
    <n v="1.4189331117834251E-2"/>
  </r>
  <r>
    <x v="1"/>
    <d v="2010-02-20T00:00:00"/>
    <x v="0"/>
    <x v="0"/>
    <x v="0"/>
    <x v="12"/>
    <x v="2"/>
    <n v="2436"/>
    <n v="2496.06"/>
    <n v="60.059999999999945"/>
    <n v="2.4655172413793083E-2"/>
  </r>
  <r>
    <x v="1"/>
    <d v="2010-02-20T00:00:00"/>
    <x v="0"/>
    <x v="0"/>
    <x v="0"/>
    <x v="13"/>
    <x v="3"/>
    <n v="31891.69"/>
    <n v="36594.300000000003"/>
    <n v="4702.6100000000042"/>
    <n v="0.14745565380824924"/>
  </r>
  <r>
    <x v="1"/>
    <d v="2010-02-20T00:00:00"/>
    <x v="0"/>
    <x v="0"/>
    <x v="0"/>
    <x v="15"/>
    <x v="3"/>
    <n v="142414"/>
    <n v="148773.71"/>
    <n v="6359.7099999999919"/>
    <n v="4.4656494445770724E-2"/>
  </r>
  <r>
    <x v="1"/>
    <d v="2010-02-20T00:00:00"/>
    <x v="0"/>
    <x v="0"/>
    <x v="0"/>
    <x v="16"/>
    <x v="3"/>
    <n v="24344.880000000001"/>
    <n v="27494.12"/>
    <n v="3149.239999999998"/>
    <n v="0.1293594382063086"/>
  </r>
  <r>
    <x v="1"/>
    <d v="2010-02-20T00:00:00"/>
    <x v="0"/>
    <x v="0"/>
    <x v="0"/>
    <x v="17"/>
    <x v="4"/>
    <n v="195663.68"/>
    <n v="226046.16"/>
    <n v="30382.48000000001"/>
    <n v="0.15527909931981251"/>
  </r>
  <r>
    <x v="1"/>
    <d v="2010-02-20T00:00:00"/>
    <x v="0"/>
    <x v="0"/>
    <x v="0"/>
    <x v="20"/>
    <x v="5"/>
    <n v="7232"/>
    <n v="12829.72"/>
    <n v="5597.7199999999993"/>
    <n v="0.77402101769911491"/>
  </r>
  <r>
    <x v="1"/>
    <d v="2010-02-20T00:00:00"/>
    <x v="0"/>
    <x v="0"/>
    <x v="0"/>
    <x v="22"/>
    <x v="6"/>
    <n v="6347"/>
    <n v="6567.95"/>
    <n v="220.94999999999982"/>
    <n v="3.4811722073420488E-2"/>
  </r>
  <r>
    <x v="1"/>
    <d v="2010-02-20T00:00:00"/>
    <x v="0"/>
    <x v="0"/>
    <x v="0"/>
    <x v="23"/>
    <x v="6"/>
    <n v="85177.74"/>
    <n v="88801.82"/>
    <n v="3624.0800000000017"/>
    <n v="4.2547266457175333E-2"/>
  </r>
  <r>
    <x v="1"/>
    <d v="2010-02-20T00:00:00"/>
    <x v="0"/>
    <x v="0"/>
    <x v="0"/>
    <x v="24"/>
    <x v="6"/>
    <n v="699873.42"/>
    <n v="604406.99"/>
    <n v="-95466.430000000051"/>
    <n v="-0.13640528025767867"/>
  </r>
  <r>
    <x v="1"/>
    <d v="2010-02-20T00:00:00"/>
    <x v="0"/>
    <x v="0"/>
    <x v="0"/>
    <x v="25"/>
    <x v="6"/>
    <n v="146969.44"/>
    <n v="149567.13"/>
    <n v="2597.6900000000023"/>
    <n v="1.7675035027690127E-2"/>
  </r>
  <r>
    <x v="1"/>
    <d v="2010-02-21T00:00:00"/>
    <x v="1"/>
    <x v="0"/>
    <x v="0"/>
    <x v="0"/>
    <x v="0"/>
    <n v="4090"/>
    <n v="4733.22"/>
    <n v="643.22000000000025"/>
    <n v="0.15726650366748174"/>
  </r>
  <r>
    <x v="1"/>
    <d v="2010-02-21T00:00:00"/>
    <x v="1"/>
    <x v="0"/>
    <x v="0"/>
    <x v="1"/>
    <x v="0"/>
    <n v="63211.86"/>
    <n v="72893.59"/>
    <n v="9681.7299999999959"/>
    <n v="0.15316318804730625"/>
  </r>
  <r>
    <x v="1"/>
    <d v="2010-02-21T00:00:00"/>
    <x v="1"/>
    <x v="0"/>
    <x v="0"/>
    <x v="2"/>
    <x v="0"/>
    <n v="82046.929999999993"/>
    <n v="86975.51"/>
    <n v="4928.5800000000017"/>
    <n v="6.0070254913864564E-2"/>
  </r>
  <r>
    <x v="1"/>
    <d v="2010-02-21T00:00:00"/>
    <x v="1"/>
    <x v="0"/>
    <x v="0"/>
    <x v="3"/>
    <x v="0"/>
    <n v="768"/>
    <n v="776"/>
    <n v="8"/>
    <n v="1.0416666666666666E-2"/>
  </r>
  <r>
    <x v="1"/>
    <d v="2010-02-21T00:00:00"/>
    <x v="1"/>
    <x v="0"/>
    <x v="0"/>
    <x v="4"/>
    <x v="0"/>
    <n v="9899.23"/>
    <n v="10157.91"/>
    <n v="258.68000000000029"/>
    <n v="2.6131325365710292E-2"/>
  </r>
  <r>
    <x v="1"/>
    <d v="2010-02-21T00:00:00"/>
    <x v="1"/>
    <x v="0"/>
    <x v="0"/>
    <x v="5"/>
    <x v="1"/>
    <n v="90256.85"/>
    <n v="94662.43"/>
    <n v="4405.5799999999872"/>
    <n v="4.8811586045823523E-2"/>
  </r>
  <r>
    <x v="1"/>
    <d v="2010-02-21T00:00:00"/>
    <x v="1"/>
    <x v="0"/>
    <x v="0"/>
    <x v="6"/>
    <x v="1"/>
    <n v="225981.18"/>
    <n v="230807.26"/>
    <n v="4826.0800000000163"/>
    <n v="2.1356114699463098E-2"/>
  </r>
  <r>
    <x v="1"/>
    <d v="2010-02-21T00:00:00"/>
    <x v="1"/>
    <x v="0"/>
    <x v="0"/>
    <x v="7"/>
    <x v="1"/>
    <n v="64950.18"/>
    <n v="66811.149999999994"/>
    <n v="1860.9699999999939"/>
    <n v="2.865226855414402E-2"/>
  </r>
  <r>
    <x v="1"/>
    <d v="2010-02-21T00:00:00"/>
    <x v="1"/>
    <x v="0"/>
    <x v="0"/>
    <x v="8"/>
    <x v="1"/>
    <n v="112005.69"/>
    <n v="113933.71"/>
    <n v="1928.0200000000041"/>
    <n v="1.7213589773876704E-2"/>
  </r>
  <r>
    <x v="1"/>
    <d v="2010-02-21T00:00:00"/>
    <x v="1"/>
    <x v="0"/>
    <x v="0"/>
    <x v="9"/>
    <x v="2"/>
    <n v="302973.90999999997"/>
    <n v="307802.95"/>
    <n v="4829.0400000000373"/>
    <n v="1.5938798162521774E-2"/>
  </r>
  <r>
    <x v="1"/>
    <d v="2010-02-21T00:00:00"/>
    <x v="1"/>
    <x v="0"/>
    <x v="0"/>
    <x v="10"/>
    <x v="2"/>
    <n v="102552.81"/>
    <n v="103768.96000000001"/>
    <n v="1216.1500000000087"/>
    <n v="1.1858768180023627E-2"/>
  </r>
  <r>
    <x v="1"/>
    <d v="2010-02-21T00:00:00"/>
    <x v="1"/>
    <x v="0"/>
    <x v="0"/>
    <x v="11"/>
    <x v="2"/>
    <n v="73218.990000000005"/>
    <n v="74661.149999999994"/>
    <n v="1442.1599999999889"/>
    <n v="1.9696529547867141E-2"/>
  </r>
  <r>
    <x v="1"/>
    <d v="2010-02-21T00:00:00"/>
    <x v="1"/>
    <x v="0"/>
    <x v="0"/>
    <x v="12"/>
    <x v="2"/>
    <n v="3016"/>
    <n v="3093.43"/>
    <n v="77.429999999999836"/>
    <n v="2.5673076923076868E-2"/>
  </r>
  <r>
    <x v="1"/>
    <d v="2010-02-21T00:00:00"/>
    <x v="1"/>
    <x v="0"/>
    <x v="0"/>
    <x v="13"/>
    <x v="3"/>
    <n v="23711.7"/>
    <n v="27199.599999999999"/>
    <n v="3487.8999999999978"/>
    <n v="0.14709615928001779"/>
  </r>
  <r>
    <x v="1"/>
    <d v="2010-02-21T00:00:00"/>
    <x v="1"/>
    <x v="0"/>
    <x v="0"/>
    <x v="15"/>
    <x v="3"/>
    <n v="130435"/>
    <n v="136344.48000000001"/>
    <n v="5909.4800000000105"/>
    <n v="4.5305937823437038E-2"/>
  </r>
  <r>
    <x v="1"/>
    <d v="2010-02-21T00:00:00"/>
    <x v="1"/>
    <x v="0"/>
    <x v="0"/>
    <x v="16"/>
    <x v="3"/>
    <n v="16774.599999999999"/>
    <n v="18907.14"/>
    <n v="2132.5400000000009"/>
    <n v="0.1271291118715201"/>
  </r>
  <r>
    <x v="1"/>
    <d v="2010-02-21T00:00:00"/>
    <x v="1"/>
    <x v="0"/>
    <x v="0"/>
    <x v="17"/>
    <x v="4"/>
    <n v="151388.49"/>
    <n v="174057.96"/>
    <n v="22669.47"/>
    <n v="0.14974368262739129"/>
  </r>
  <r>
    <x v="1"/>
    <d v="2010-02-21T00:00:00"/>
    <x v="1"/>
    <x v="0"/>
    <x v="0"/>
    <x v="20"/>
    <x v="5"/>
    <n v="5236"/>
    <n v="9319.75"/>
    <n v="4083.75"/>
    <n v="0.77993697478991597"/>
  </r>
  <r>
    <x v="1"/>
    <d v="2010-02-21T00:00:00"/>
    <x v="1"/>
    <x v="0"/>
    <x v="0"/>
    <x v="22"/>
    <x v="6"/>
    <n v="5334"/>
    <n v="5481.6"/>
    <n v="147.60000000000036"/>
    <n v="2.7671541057367896E-2"/>
  </r>
  <r>
    <x v="1"/>
    <d v="2010-02-21T00:00:00"/>
    <x v="1"/>
    <x v="0"/>
    <x v="0"/>
    <x v="23"/>
    <x v="6"/>
    <n v="65493"/>
    <n v="68491.94"/>
    <n v="2998.9400000000023"/>
    <n v="4.5790237124578234E-2"/>
  </r>
  <r>
    <x v="1"/>
    <d v="2010-02-21T00:00:00"/>
    <x v="1"/>
    <x v="0"/>
    <x v="0"/>
    <x v="24"/>
    <x v="6"/>
    <n v="114898.71"/>
    <n v="111345.56"/>
    <n v="-3553.1500000000087"/>
    <n v="-3.092419401401468E-2"/>
  </r>
  <r>
    <x v="1"/>
    <d v="2010-02-21T00:00:00"/>
    <x v="1"/>
    <x v="0"/>
    <x v="0"/>
    <x v="25"/>
    <x v="6"/>
    <n v="164039.51"/>
    <n v="166970"/>
    <n v="2930.4899999999907"/>
    <n v="1.786453763486608E-2"/>
  </r>
  <r>
    <x v="1"/>
    <d v="2010-02-22T00:00:00"/>
    <x v="1"/>
    <x v="0"/>
    <x v="0"/>
    <x v="0"/>
    <x v="0"/>
    <n v="2040"/>
    <n v="2347.04"/>
    <n v="307.03999999999996"/>
    <n v="0.1505098039215686"/>
  </r>
  <r>
    <x v="1"/>
    <d v="2010-02-22T00:00:00"/>
    <x v="1"/>
    <x v="0"/>
    <x v="0"/>
    <x v="1"/>
    <x v="0"/>
    <n v="32345.85"/>
    <n v="35697.18"/>
    <n v="3351.3300000000017"/>
    <n v="0.10360927290517954"/>
  </r>
  <r>
    <x v="1"/>
    <d v="2010-02-22T00:00:00"/>
    <x v="1"/>
    <x v="0"/>
    <x v="0"/>
    <x v="2"/>
    <x v="0"/>
    <n v="33613.019999999997"/>
    <n v="35699.07"/>
    <n v="2086.0500000000029"/>
    <n v="6.2060772879080878E-2"/>
  </r>
  <r>
    <x v="1"/>
    <d v="2010-02-22T00:00:00"/>
    <x v="1"/>
    <x v="0"/>
    <x v="0"/>
    <x v="3"/>
    <x v="0"/>
    <n v="288"/>
    <n v="289.91000000000003"/>
    <n v="1.910000000000025"/>
    <n v="6.6319444444445314E-3"/>
  </r>
  <r>
    <x v="1"/>
    <d v="2010-02-22T00:00:00"/>
    <x v="1"/>
    <x v="0"/>
    <x v="0"/>
    <x v="4"/>
    <x v="0"/>
    <n v="2562"/>
    <n v="2700.49"/>
    <n v="138.48999999999978"/>
    <n v="5.4055425448867989E-2"/>
  </r>
  <r>
    <x v="1"/>
    <d v="2010-02-22T00:00:00"/>
    <x v="1"/>
    <x v="0"/>
    <x v="0"/>
    <x v="5"/>
    <x v="1"/>
    <n v="42639.63"/>
    <n v="44145.41"/>
    <n v="1505.7800000000061"/>
    <n v="3.5314096299616252E-2"/>
  </r>
  <r>
    <x v="1"/>
    <d v="2010-02-22T00:00:00"/>
    <x v="1"/>
    <x v="0"/>
    <x v="0"/>
    <x v="6"/>
    <x v="1"/>
    <n v="144367.23000000001"/>
    <n v="149005.48000000001"/>
    <n v="4638.25"/>
    <n v="3.2128136004271883E-2"/>
  </r>
  <r>
    <x v="1"/>
    <d v="2010-02-22T00:00:00"/>
    <x v="1"/>
    <x v="0"/>
    <x v="0"/>
    <x v="7"/>
    <x v="1"/>
    <n v="44961.83"/>
    <n v="46168.13"/>
    <n v="1206.2999999999956"/>
    <n v="2.6829423980296079E-2"/>
  </r>
  <r>
    <x v="1"/>
    <d v="2010-02-22T00:00:00"/>
    <x v="1"/>
    <x v="0"/>
    <x v="0"/>
    <x v="8"/>
    <x v="1"/>
    <n v="46689.18"/>
    <n v="47386.39"/>
    <n v="697.20999999999913"/>
    <n v="1.4933010174948438E-2"/>
  </r>
  <r>
    <x v="1"/>
    <d v="2010-02-22T00:00:00"/>
    <x v="1"/>
    <x v="0"/>
    <x v="0"/>
    <x v="9"/>
    <x v="2"/>
    <n v="158538.35999999999"/>
    <n v="163402.4"/>
    <n v="4864.0400000000081"/>
    <n v="3.068052425923927E-2"/>
  </r>
  <r>
    <x v="1"/>
    <d v="2010-02-22T00:00:00"/>
    <x v="1"/>
    <x v="0"/>
    <x v="0"/>
    <x v="10"/>
    <x v="2"/>
    <n v="66205.97"/>
    <n v="67448.009999999995"/>
    <n v="1242.0399999999936"/>
    <n v="1.8760241712340951E-2"/>
  </r>
  <r>
    <x v="1"/>
    <d v="2010-02-22T00:00:00"/>
    <x v="1"/>
    <x v="0"/>
    <x v="0"/>
    <x v="11"/>
    <x v="2"/>
    <n v="37695"/>
    <n v="38233.800000000003"/>
    <n v="538.80000000000291"/>
    <n v="1.4293672900915318E-2"/>
  </r>
  <r>
    <x v="1"/>
    <d v="2010-02-22T00:00:00"/>
    <x v="1"/>
    <x v="0"/>
    <x v="0"/>
    <x v="12"/>
    <x v="2"/>
    <n v="1252"/>
    <n v="1289.3399999999999"/>
    <n v="37.339999999999918"/>
    <n v="2.9824281150159677E-2"/>
  </r>
  <r>
    <x v="1"/>
    <d v="2010-02-22T00:00:00"/>
    <x v="1"/>
    <x v="0"/>
    <x v="0"/>
    <x v="13"/>
    <x v="3"/>
    <n v="11155.29"/>
    <n v="12825.04"/>
    <n v="1669.75"/>
    <n v="0.14968234801605335"/>
  </r>
  <r>
    <x v="1"/>
    <d v="2010-02-22T00:00:00"/>
    <x v="1"/>
    <x v="0"/>
    <x v="0"/>
    <x v="15"/>
    <x v="3"/>
    <n v="60971"/>
    <n v="63685.31"/>
    <n v="2714.3099999999977"/>
    <n v="4.4518049564547045E-2"/>
  </r>
  <r>
    <x v="1"/>
    <d v="2010-02-22T00:00:00"/>
    <x v="1"/>
    <x v="0"/>
    <x v="0"/>
    <x v="16"/>
    <x v="3"/>
    <n v="8003.78"/>
    <n v="9045.81"/>
    <n v="1042.0299999999997"/>
    <n v="0.13019223416935496"/>
  </r>
  <r>
    <x v="1"/>
    <d v="2010-02-22T00:00:00"/>
    <x v="1"/>
    <x v="0"/>
    <x v="0"/>
    <x v="17"/>
    <x v="4"/>
    <n v="220499.27"/>
    <n v="165863.82"/>
    <n v="-54635.449999999983"/>
    <n v="-0.24778063891095869"/>
  </r>
  <r>
    <x v="1"/>
    <d v="2010-02-22T00:00:00"/>
    <x v="1"/>
    <x v="0"/>
    <x v="0"/>
    <x v="20"/>
    <x v="5"/>
    <n v="2533"/>
    <n v="4166.38"/>
    <n v="1633.38"/>
    <n v="0.64484011054086066"/>
  </r>
  <r>
    <x v="1"/>
    <d v="2010-02-22T00:00:00"/>
    <x v="1"/>
    <x v="0"/>
    <x v="0"/>
    <x v="22"/>
    <x v="6"/>
    <n v="2541"/>
    <n v="2641.89"/>
    <n v="100.88999999999987"/>
    <n v="3.9704840613931473E-2"/>
  </r>
  <r>
    <x v="1"/>
    <d v="2010-02-22T00:00:00"/>
    <x v="1"/>
    <x v="0"/>
    <x v="0"/>
    <x v="23"/>
    <x v="6"/>
    <n v="37201.620000000003"/>
    <n v="38750.879999999997"/>
    <n v="1549.2599999999948"/>
    <n v="4.1644960622682414E-2"/>
  </r>
  <r>
    <x v="1"/>
    <d v="2010-02-22T00:00:00"/>
    <x v="1"/>
    <x v="0"/>
    <x v="0"/>
    <x v="24"/>
    <x v="6"/>
    <n v="52644.43"/>
    <n v="52327.6"/>
    <n v="-316.83000000000175"/>
    <n v="-6.0183005115641243E-3"/>
  </r>
  <r>
    <x v="1"/>
    <d v="2010-02-22T00:00:00"/>
    <x v="1"/>
    <x v="0"/>
    <x v="0"/>
    <x v="25"/>
    <x v="6"/>
    <n v="66551.87"/>
    <n v="67788.679999999993"/>
    <n v="1236.8099999999977"/>
    <n v="1.8584150978777872E-2"/>
  </r>
  <r>
    <x v="1"/>
    <d v="2010-02-23T00:00:00"/>
    <x v="1"/>
    <x v="0"/>
    <x v="0"/>
    <x v="0"/>
    <x v="0"/>
    <n v="3481"/>
    <n v="4016.78"/>
    <n v="535.7800000000002"/>
    <n v="0.1539155415110601"/>
  </r>
  <r>
    <x v="1"/>
    <d v="2010-02-23T00:00:00"/>
    <x v="1"/>
    <x v="0"/>
    <x v="0"/>
    <x v="1"/>
    <x v="0"/>
    <n v="38888.67"/>
    <n v="42892.99"/>
    <n v="4004.3199999999997"/>
    <n v="0.10296880813872009"/>
  </r>
  <r>
    <x v="1"/>
    <d v="2010-02-23T00:00:00"/>
    <x v="1"/>
    <x v="0"/>
    <x v="0"/>
    <x v="2"/>
    <x v="0"/>
    <n v="30956.99"/>
    <n v="32607.16"/>
    <n v="1650.1699999999983"/>
    <n v="5.3305247054057842E-2"/>
  </r>
  <r>
    <x v="1"/>
    <d v="2010-02-23T00:00:00"/>
    <x v="1"/>
    <x v="0"/>
    <x v="0"/>
    <x v="3"/>
    <x v="0"/>
    <n v="192"/>
    <n v="193.29"/>
    <n v="1.289999999999992"/>
    <n v="6.7187499999999583E-3"/>
  </r>
  <r>
    <x v="1"/>
    <d v="2010-02-23T00:00:00"/>
    <x v="1"/>
    <x v="0"/>
    <x v="0"/>
    <x v="4"/>
    <x v="0"/>
    <n v="5708.99"/>
    <n v="6248.41"/>
    <n v="539.42000000000007"/>
    <n v="9.4486064960702346E-2"/>
  </r>
  <r>
    <x v="1"/>
    <d v="2010-02-23T00:00:00"/>
    <x v="1"/>
    <x v="0"/>
    <x v="0"/>
    <x v="5"/>
    <x v="1"/>
    <n v="35872.89"/>
    <n v="37337.07"/>
    <n v="1464.1800000000003"/>
    <n v="4.0815780384574542E-2"/>
  </r>
  <r>
    <x v="1"/>
    <d v="2010-02-23T00:00:00"/>
    <x v="1"/>
    <x v="0"/>
    <x v="0"/>
    <x v="6"/>
    <x v="1"/>
    <n v="137995.93"/>
    <n v="140007.72"/>
    <n v="2011.7900000000081"/>
    <n v="1.4578618369396897E-2"/>
  </r>
  <r>
    <x v="1"/>
    <d v="2010-02-23T00:00:00"/>
    <x v="1"/>
    <x v="0"/>
    <x v="0"/>
    <x v="7"/>
    <x v="1"/>
    <n v="31720.6"/>
    <n v="32702.85"/>
    <n v="982.25"/>
    <n v="3.0965681607535798E-2"/>
  </r>
  <r>
    <x v="1"/>
    <d v="2010-02-23T00:00:00"/>
    <x v="1"/>
    <x v="0"/>
    <x v="0"/>
    <x v="8"/>
    <x v="1"/>
    <n v="51926.73"/>
    <n v="52820.5"/>
    <n v="893.7699999999968"/>
    <n v="1.7212137178674581E-2"/>
  </r>
  <r>
    <x v="1"/>
    <d v="2010-02-23T00:00:00"/>
    <x v="1"/>
    <x v="0"/>
    <x v="0"/>
    <x v="9"/>
    <x v="2"/>
    <n v="114743.65"/>
    <n v="118334.97"/>
    <n v="3591.320000000007"/>
    <n v="3.1298638312446982E-2"/>
  </r>
  <r>
    <x v="1"/>
    <d v="2010-02-23T00:00:00"/>
    <x v="1"/>
    <x v="0"/>
    <x v="0"/>
    <x v="10"/>
    <x v="2"/>
    <n v="47707.34"/>
    <n v="48416.800000000003"/>
    <n v="709.4600000000064"/>
    <n v="1.4871086922892922E-2"/>
  </r>
  <r>
    <x v="1"/>
    <d v="2010-02-23T00:00:00"/>
    <x v="1"/>
    <x v="0"/>
    <x v="0"/>
    <x v="11"/>
    <x v="2"/>
    <n v="37374"/>
    <n v="37928.51"/>
    <n v="554.51000000000204"/>
    <n v="1.4836784930700541E-2"/>
  </r>
  <r>
    <x v="1"/>
    <d v="2010-02-23T00:00:00"/>
    <x v="1"/>
    <x v="0"/>
    <x v="0"/>
    <x v="12"/>
    <x v="2"/>
    <n v="824"/>
    <n v="845.46"/>
    <n v="21.460000000000036"/>
    <n v="2.6043689320388395E-2"/>
  </r>
  <r>
    <x v="1"/>
    <d v="2010-02-23T00:00:00"/>
    <x v="1"/>
    <x v="0"/>
    <x v="0"/>
    <x v="13"/>
    <x v="3"/>
    <n v="10924.15"/>
    <n v="12590.9"/>
    <n v="1666.75"/>
    <n v="0.15257479987001277"/>
  </r>
  <r>
    <x v="1"/>
    <d v="2010-02-23T00:00:00"/>
    <x v="1"/>
    <x v="0"/>
    <x v="0"/>
    <x v="15"/>
    <x v="3"/>
    <n v="65359"/>
    <n v="68787.820000000007"/>
    <n v="3428.820000000007"/>
    <n v="5.2461328967701573E-2"/>
  </r>
  <r>
    <x v="1"/>
    <d v="2010-02-23T00:00:00"/>
    <x v="1"/>
    <x v="0"/>
    <x v="0"/>
    <x v="16"/>
    <x v="3"/>
    <n v="9769.86"/>
    <n v="11122.46"/>
    <n v="1352.5999999999985"/>
    <n v="0.13844620086674717"/>
  </r>
  <r>
    <x v="1"/>
    <d v="2010-02-23T00:00:00"/>
    <x v="1"/>
    <x v="0"/>
    <x v="0"/>
    <x v="17"/>
    <x v="4"/>
    <n v="65107.42"/>
    <n v="75319.55"/>
    <n v="10212.130000000005"/>
    <n v="0.1568504787933542"/>
  </r>
  <r>
    <x v="1"/>
    <d v="2010-02-23T00:00:00"/>
    <x v="1"/>
    <x v="0"/>
    <x v="0"/>
    <x v="20"/>
    <x v="5"/>
    <n v="4873"/>
    <n v="8663.2000000000007"/>
    <n v="3790.2000000000007"/>
    <n v="0.77779601887954042"/>
  </r>
  <r>
    <x v="1"/>
    <d v="2010-02-23T00:00:00"/>
    <x v="1"/>
    <x v="0"/>
    <x v="0"/>
    <x v="22"/>
    <x v="6"/>
    <n v="698"/>
    <n v="720.55"/>
    <n v="22.549999999999955"/>
    <n v="3.2306590257879589E-2"/>
  </r>
  <r>
    <x v="1"/>
    <d v="2010-02-23T00:00:00"/>
    <x v="1"/>
    <x v="0"/>
    <x v="0"/>
    <x v="23"/>
    <x v="6"/>
    <n v="36758.68"/>
    <n v="38667.15"/>
    <n v="1908.4700000000012"/>
    <n v="5.1918893714355388E-2"/>
  </r>
  <r>
    <x v="1"/>
    <d v="2010-02-23T00:00:00"/>
    <x v="1"/>
    <x v="0"/>
    <x v="0"/>
    <x v="24"/>
    <x v="6"/>
    <n v="88117.35"/>
    <n v="90259.18"/>
    <n v="2141.8299999999872"/>
    <n v="2.4306563917321469E-2"/>
  </r>
  <r>
    <x v="1"/>
    <d v="2010-02-23T00:00:00"/>
    <x v="1"/>
    <x v="0"/>
    <x v="0"/>
    <x v="25"/>
    <x v="6"/>
    <n v="60657.760000000002"/>
    <n v="61686.42"/>
    <n v="1028.6599999999962"/>
    <n v="1.695842378617338E-2"/>
  </r>
  <r>
    <x v="1"/>
    <d v="2010-02-24T00:00:00"/>
    <x v="1"/>
    <x v="0"/>
    <x v="0"/>
    <x v="0"/>
    <x v="0"/>
    <n v="2528"/>
    <n v="2922.9"/>
    <n v="394.90000000000009"/>
    <n v="0.15621044303797471"/>
  </r>
  <r>
    <x v="1"/>
    <d v="2010-02-24T00:00:00"/>
    <x v="1"/>
    <x v="0"/>
    <x v="0"/>
    <x v="1"/>
    <x v="0"/>
    <n v="39621.1"/>
    <n v="44463.96"/>
    <n v="4842.8600000000006"/>
    <n v="0.12222931720724566"/>
  </r>
  <r>
    <x v="1"/>
    <d v="2010-02-24T00:00:00"/>
    <x v="1"/>
    <x v="0"/>
    <x v="0"/>
    <x v="2"/>
    <x v="0"/>
    <n v="25452.959999999999"/>
    <n v="27382.65"/>
    <n v="1929.6900000000023"/>
    <n v="7.5813972127406884E-2"/>
  </r>
  <r>
    <x v="1"/>
    <d v="2010-02-24T00:00:00"/>
    <x v="1"/>
    <x v="0"/>
    <x v="0"/>
    <x v="3"/>
    <x v="0"/>
    <n v="710"/>
    <n v="724.61"/>
    <n v="14.610000000000014"/>
    <n v="2.0577464788732413E-2"/>
  </r>
  <r>
    <x v="1"/>
    <d v="2010-02-24T00:00:00"/>
    <x v="1"/>
    <x v="0"/>
    <x v="0"/>
    <x v="4"/>
    <x v="0"/>
    <n v="7671.36"/>
    <n v="8189.44"/>
    <n v="518.07999999999993"/>
    <n v="6.7534309431443701E-2"/>
  </r>
  <r>
    <x v="1"/>
    <d v="2010-02-24T00:00:00"/>
    <x v="1"/>
    <x v="0"/>
    <x v="0"/>
    <x v="5"/>
    <x v="1"/>
    <n v="43871.54"/>
    <n v="46091.62"/>
    <n v="2220.0800000000017"/>
    <n v="5.0604104619988308E-2"/>
  </r>
  <r>
    <x v="1"/>
    <d v="2010-02-24T00:00:00"/>
    <x v="1"/>
    <x v="0"/>
    <x v="0"/>
    <x v="6"/>
    <x v="1"/>
    <n v="129710"/>
    <n v="132092.46"/>
    <n v="2382.4599999999919"/>
    <n v="1.8367589237529812E-2"/>
  </r>
  <r>
    <x v="1"/>
    <d v="2010-02-24T00:00:00"/>
    <x v="1"/>
    <x v="0"/>
    <x v="0"/>
    <x v="7"/>
    <x v="1"/>
    <n v="31395.279999999999"/>
    <n v="32322.37"/>
    <n v="927.09000000000015"/>
    <n v="2.9529598079711349E-2"/>
  </r>
  <r>
    <x v="1"/>
    <d v="2010-02-24T00:00:00"/>
    <x v="1"/>
    <x v="0"/>
    <x v="0"/>
    <x v="8"/>
    <x v="1"/>
    <n v="56389.55"/>
    <n v="57258.14"/>
    <n v="868.58999999999651"/>
    <n v="1.5403385911041966E-2"/>
  </r>
  <r>
    <x v="1"/>
    <d v="2010-02-24T00:00:00"/>
    <x v="1"/>
    <x v="0"/>
    <x v="0"/>
    <x v="9"/>
    <x v="2"/>
    <n v="126358.5"/>
    <n v="130248.75"/>
    <n v="3890.25"/>
    <n v="3.0787402509526468E-2"/>
  </r>
  <r>
    <x v="1"/>
    <d v="2010-02-24T00:00:00"/>
    <x v="1"/>
    <x v="0"/>
    <x v="0"/>
    <x v="10"/>
    <x v="2"/>
    <n v="53928.9"/>
    <n v="54806.13"/>
    <n v="877.22999999999593"/>
    <n v="1.6266417449641954E-2"/>
  </r>
  <r>
    <x v="1"/>
    <d v="2010-02-24T00:00:00"/>
    <x v="1"/>
    <x v="0"/>
    <x v="0"/>
    <x v="11"/>
    <x v="2"/>
    <n v="28256.49"/>
    <n v="28667.119999999999"/>
    <n v="410.62999999999738"/>
    <n v="1.4532236664921842E-2"/>
  </r>
  <r>
    <x v="1"/>
    <d v="2010-02-24T00:00:00"/>
    <x v="1"/>
    <x v="0"/>
    <x v="0"/>
    <x v="12"/>
    <x v="2"/>
    <n v="500"/>
    <n v="514.37"/>
    <n v="14.370000000000005"/>
    <n v="2.8740000000000009E-2"/>
  </r>
  <r>
    <x v="1"/>
    <d v="2010-02-24T00:00:00"/>
    <x v="1"/>
    <x v="0"/>
    <x v="0"/>
    <x v="13"/>
    <x v="3"/>
    <n v="10139.64"/>
    <n v="11690.12"/>
    <n v="1550.4800000000014"/>
    <n v="0.15291272668457673"/>
  </r>
  <r>
    <x v="1"/>
    <d v="2010-02-24T00:00:00"/>
    <x v="1"/>
    <x v="0"/>
    <x v="0"/>
    <x v="15"/>
    <x v="3"/>
    <n v="60837"/>
    <n v="63964.3"/>
    <n v="3127.3000000000029"/>
    <n v="5.1404572875059631E-2"/>
  </r>
  <r>
    <x v="1"/>
    <d v="2010-02-24T00:00:00"/>
    <x v="1"/>
    <x v="0"/>
    <x v="0"/>
    <x v="16"/>
    <x v="3"/>
    <n v="3728.78"/>
    <n v="4220.01"/>
    <n v="491.23"/>
    <n v="0.1317401402067164"/>
  </r>
  <r>
    <x v="1"/>
    <d v="2010-02-24T00:00:00"/>
    <x v="1"/>
    <x v="0"/>
    <x v="0"/>
    <x v="17"/>
    <x v="4"/>
    <n v="71495.320000000007"/>
    <n v="81843.600000000006"/>
    <n v="10348.279999999999"/>
    <n v="0.14474066274547759"/>
  </r>
  <r>
    <x v="1"/>
    <d v="2010-02-24T00:00:00"/>
    <x v="1"/>
    <x v="0"/>
    <x v="0"/>
    <x v="20"/>
    <x v="5"/>
    <n v="4998"/>
    <n v="8310.67"/>
    <n v="3312.67"/>
    <n v="0.6627991196478592"/>
  </r>
  <r>
    <x v="1"/>
    <d v="2010-02-24T00:00:00"/>
    <x v="1"/>
    <x v="0"/>
    <x v="0"/>
    <x v="22"/>
    <x v="6"/>
    <n v="1903"/>
    <n v="1951.96"/>
    <n v="48.960000000000036"/>
    <n v="2.5727798213347364E-2"/>
  </r>
  <r>
    <x v="1"/>
    <d v="2010-02-24T00:00:00"/>
    <x v="1"/>
    <x v="0"/>
    <x v="0"/>
    <x v="23"/>
    <x v="6"/>
    <n v="28220.35"/>
    <n v="29496.23"/>
    <n v="1275.880000000001"/>
    <n v="4.5211345713288498E-2"/>
  </r>
  <r>
    <x v="1"/>
    <d v="2010-02-24T00:00:00"/>
    <x v="1"/>
    <x v="0"/>
    <x v="0"/>
    <x v="24"/>
    <x v="6"/>
    <n v="68018.91"/>
    <n v="68017.710000000006"/>
    <n v="-1.1999999999970896"/>
    <n v="-1.7642152748362029E-5"/>
  </r>
  <r>
    <x v="1"/>
    <d v="2010-02-24T00:00:00"/>
    <x v="1"/>
    <x v="0"/>
    <x v="0"/>
    <x v="25"/>
    <x v="6"/>
    <n v="77050.13"/>
    <n v="78454.649999999994"/>
    <n v="1404.5199999999895"/>
    <n v="1.8228651917913563E-2"/>
  </r>
  <r>
    <x v="1"/>
    <d v="2010-02-25T00:00:00"/>
    <x v="1"/>
    <x v="0"/>
    <x v="0"/>
    <x v="0"/>
    <x v="0"/>
    <n v="1462"/>
    <n v="1730.58"/>
    <n v="268.57999999999993"/>
    <n v="0.18370725034199722"/>
  </r>
  <r>
    <x v="1"/>
    <d v="2010-02-25T00:00:00"/>
    <x v="1"/>
    <x v="0"/>
    <x v="0"/>
    <x v="1"/>
    <x v="0"/>
    <n v="35139.51"/>
    <n v="40317.97"/>
    <n v="5178.4599999999991"/>
    <n v="0.14736858880502315"/>
  </r>
  <r>
    <x v="1"/>
    <d v="2010-02-25T00:00:00"/>
    <x v="1"/>
    <x v="0"/>
    <x v="0"/>
    <x v="2"/>
    <x v="0"/>
    <n v="30112.79"/>
    <n v="32193.79"/>
    <n v="2081"/>
    <n v="6.9106847953975703E-2"/>
  </r>
  <r>
    <x v="1"/>
    <d v="2010-02-25T00:00:00"/>
    <x v="1"/>
    <x v="0"/>
    <x v="0"/>
    <x v="3"/>
    <x v="0"/>
    <n v="96"/>
    <n v="96.64"/>
    <n v="0.64000000000000057"/>
    <n v="6.6666666666666723E-3"/>
  </r>
  <r>
    <x v="1"/>
    <d v="2010-02-25T00:00:00"/>
    <x v="1"/>
    <x v="0"/>
    <x v="0"/>
    <x v="4"/>
    <x v="0"/>
    <n v="1598"/>
    <n v="1688.9"/>
    <n v="90.900000000000091"/>
    <n v="5.6883604505632096E-2"/>
  </r>
  <r>
    <x v="1"/>
    <d v="2010-02-25T00:00:00"/>
    <x v="1"/>
    <x v="0"/>
    <x v="0"/>
    <x v="5"/>
    <x v="1"/>
    <n v="54517.73"/>
    <n v="57298.19"/>
    <n v="2780.4599999999991"/>
    <n v="5.1001022969958565E-2"/>
  </r>
  <r>
    <x v="1"/>
    <d v="2010-02-25T00:00:00"/>
    <x v="1"/>
    <x v="0"/>
    <x v="0"/>
    <x v="6"/>
    <x v="1"/>
    <n v="144060.89000000001"/>
    <n v="143842.31"/>
    <n v="-218.5800000000163"/>
    <n v="-1.5172750911091573E-3"/>
  </r>
  <r>
    <x v="1"/>
    <d v="2010-02-25T00:00:00"/>
    <x v="1"/>
    <x v="0"/>
    <x v="0"/>
    <x v="7"/>
    <x v="1"/>
    <n v="34098.47"/>
    <n v="34985.440000000002"/>
    <n v="886.97000000000116"/>
    <n v="2.6012017548001455E-2"/>
  </r>
  <r>
    <x v="1"/>
    <d v="2010-02-25T00:00:00"/>
    <x v="1"/>
    <x v="0"/>
    <x v="0"/>
    <x v="8"/>
    <x v="1"/>
    <n v="54472.21"/>
    <n v="55142.19"/>
    <n v="669.9800000000032"/>
    <n v="1.2299482616916097E-2"/>
  </r>
  <r>
    <x v="1"/>
    <d v="2010-02-25T00:00:00"/>
    <x v="1"/>
    <x v="0"/>
    <x v="0"/>
    <x v="9"/>
    <x v="2"/>
    <n v="91016.52"/>
    <n v="93558.61"/>
    <n v="2542.0899999999965"/>
    <n v="2.7929984578623709E-2"/>
  </r>
  <r>
    <x v="1"/>
    <d v="2010-02-25T00:00:00"/>
    <x v="1"/>
    <x v="0"/>
    <x v="0"/>
    <x v="10"/>
    <x v="2"/>
    <n v="29191.43"/>
    <n v="29791.48"/>
    <n v="600.04999999999927"/>
    <n v="2.0555690488612558E-2"/>
  </r>
  <r>
    <x v="1"/>
    <d v="2010-02-25T00:00:00"/>
    <x v="1"/>
    <x v="0"/>
    <x v="0"/>
    <x v="11"/>
    <x v="2"/>
    <n v="27588.47"/>
    <n v="28135.29"/>
    <n v="546.81999999999971"/>
    <n v="1.9820598967612183E-2"/>
  </r>
  <r>
    <x v="1"/>
    <d v="2010-02-25T00:00:00"/>
    <x v="1"/>
    <x v="0"/>
    <x v="0"/>
    <x v="12"/>
    <x v="2"/>
    <n v="340"/>
    <n v="350.13"/>
    <n v="10.129999999999995"/>
    <n v="2.9794117647058811E-2"/>
  </r>
  <r>
    <x v="1"/>
    <d v="2010-02-25T00:00:00"/>
    <x v="1"/>
    <x v="0"/>
    <x v="0"/>
    <x v="13"/>
    <x v="3"/>
    <n v="7688.65"/>
    <n v="8882.1"/>
    <n v="1193.4500000000007"/>
    <n v="0.15522230820755278"/>
  </r>
  <r>
    <x v="1"/>
    <d v="2010-02-25T00:00:00"/>
    <x v="1"/>
    <x v="0"/>
    <x v="0"/>
    <x v="15"/>
    <x v="3"/>
    <n v="56232"/>
    <n v="58603.77"/>
    <n v="2371.7699999999968"/>
    <n v="4.2178297055057559E-2"/>
  </r>
  <r>
    <x v="1"/>
    <d v="2010-02-25T00:00:00"/>
    <x v="1"/>
    <x v="0"/>
    <x v="0"/>
    <x v="16"/>
    <x v="3"/>
    <n v="7391.9"/>
    <n v="8387.9500000000007"/>
    <n v="996.05000000000109"/>
    <n v="0.13474884671058876"/>
  </r>
  <r>
    <x v="1"/>
    <d v="2010-02-25T00:00:00"/>
    <x v="1"/>
    <x v="0"/>
    <x v="0"/>
    <x v="17"/>
    <x v="4"/>
    <n v="56330.2"/>
    <n v="61401.71"/>
    <n v="5071.510000000002"/>
    <n v="9.0031812420335852E-2"/>
  </r>
  <r>
    <x v="1"/>
    <d v="2010-02-25T00:00:00"/>
    <x v="1"/>
    <x v="0"/>
    <x v="0"/>
    <x v="20"/>
    <x v="5"/>
    <n v="3921"/>
    <n v="6445.25"/>
    <n v="2524.25"/>
    <n v="0.64377709767916347"/>
  </r>
  <r>
    <x v="1"/>
    <d v="2010-02-25T00:00:00"/>
    <x v="1"/>
    <x v="0"/>
    <x v="0"/>
    <x v="22"/>
    <x v="6"/>
    <n v="1549"/>
    <n v="1584.26"/>
    <n v="35.259999999999991"/>
    <n v="2.2763072950290505E-2"/>
  </r>
  <r>
    <x v="1"/>
    <d v="2010-02-25T00:00:00"/>
    <x v="1"/>
    <x v="0"/>
    <x v="0"/>
    <x v="23"/>
    <x v="6"/>
    <n v="30387.87"/>
    <n v="31440.31"/>
    <n v="1052.4400000000023"/>
    <n v="3.4633556086688617E-2"/>
  </r>
  <r>
    <x v="1"/>
    <d v="2010-02-25T00:00:00"/>
    <x v="1"/>
    <x v="0"/>
    <x v="0"/>
    <x v="24"/>
    <x v="6"/>
    <n v="94167.31"/>
    <n v="94154.14"/>
    <n v="-13.169999999998254"/>
    <n v="-1.3985745159332102E-4"/>
  </r>
  <r>
    <x v="1"/>
    <d v="2010-02-25T00:00:00"/>
    <x v="1"/>
    <x v="0"/>
    <x v="0"/>
    <x v="25"/>
    <x v="6"/>
    <n v="65576.570000000007"/>
    <n v="66641.59"/>
    <n v="1065.0199999999895"/>
    <n v="1.6240861637014402E-2"/>
  </r>
  <r>
    <x v="1"/>
    <d v="2010-02-26T00:00:00"/>
    <x v="1"/>
    <x v="0"/>
    <x v="0"/>
    <x v="0"/>
    <x v="0"/>
    <n v="1809"/>
    <n v="2188.23"/>
    <n v="379.23"/>
    <n v="0.20963515754560533"/>
  </r>
  <r>
    <x v="1"/>
    <d v="2010-02-26T00:00:00"/>
    <x v="1"/>
    <x v="0"/>
    <x v="0"/>
    <x v="1"/>
    <x v="0"/>
    <n v="40794.47"/>
    <n v="47345.82"/>
    <n v="6551.3499999999985"/>
    <n v="0.1605940707159573"/>
  </r>
  <r>
    <x v="1"/>
    <d v="2010-02-26T00:00:00"/>
    <x v="1"/>
    <x v="0"/>
    <x v="0"/>
    <x v="2"/>
    <x v="0"/>
    <n v="30800.95"/>
    <n v="33247.4"/>
    <n v="2446.4500000000007"/>
    <n v="7.9427744923452059E-2"/>
  </r>
  <r>
    <x v="1"/>
    <d v="2010-02-26T00:00:00"/>
    <x v="1"/>
    <x v="0"/>
    <x v="0"/>
    <x v="3"/>
    <x v="0"/>
    <n v="1002"/>
    <n v="1019.98"/>
    <n v="17.980000000000018"/>
    <n v="1.7944111776447124E-2"/>
  </r>
  <r>
    <x v="1"/>
    <d v="2010-02-26T00:00:00"/>
    <x v="1"/>
    <x v="0"/>
    <x v="0"/>
    <x v="4"/>
    <x v="0"/>
    <n v="4066.56"/>
    <n v="4308.6499999999996"/>
    <n v="242.08999999999969"/>
    <n v="5.9531889361032347E-2"/>
  </r>
  <r>
    <x v="1"/>
    <d v="2010-02-26T00:00:00"/>
    <x v="1"/>
    <x v="0"/>
    <x v="0"/>
    <x v="5"/>
    <x v="1"/>
    <n v="45527.39"/>
    <n v="47609.31"/>
    <n v="2081.9199999999983"/>
    <n v="4.5728955690189976E-2"/>
  </r>
  <r>
    <x v="1"/>
    <d v="2010-02-26T00:00:00"/>
    <x v="1"/>
    <x v="0"/>
    <x v="0"/>
    <x v="6"/>
    <x v="1"/>
    <n v="308124.87"/>
    <n v="290266.99"/>
    <n v="-17857.880000000005"/>
    <n v="-5.7956632971561187E-2"/>
  </r>
  <r>
    <x v="1"/>
    <d v="2010-02-26T00:00:00"/>
    <x v="1"/>
    <x v="0"/>
    <x v="0"/>
    <x v="7"/>
    <x v="1"/>
    <n v="41367.26"/>
    <n v="42351.23"/>
    <n v="983.97000000000116"/>
    <n v="2.37862019384412E-2"/>
  </r>
  <r>
    <x v="1"/>
    <d v="2010-02-26T00:00:00"/>
    <x v="1"/>
    <x v="0"/>
    <x v="0"/>
    <x v="8"/>
    <x v="1"/>
    <n v="53744.54"/>
    <n v="54286.98"/>
    <n v="542.44000000000233"/>
    <n v="1.0092932230883403E-2"/>
  </r>
  <r>
    <x v="1"/>
    <d v="2010-02-26T00:00:00"/>
    <x v="1"/>
    <x v="0"/>
    <x v="0"/>
    <x v="9"/>
    <x v="2"/>
    <n v="162172.71"/>
    <n v="167077.57"/>
    <n v="4904.8600000000151"/>
    <n v="3.0244669402145499E-2"/>
  </r>
  <r>
    <x v="1"/>
    <d v="2010-02-26T00:00:00"/>
    <x v="1"/>
    <x v="0"/>
    <x v="0"/>
    <x v="10"/>
    <x v="2"/>
    <n v="63880.09"/>
    <n v="65750.45"/>
    <n v="1870.3600000000006"/>
    <n v="2.9279232386804726E-2"/>
  </r>
  <r>
    <x v="1"/>
    <d v="2010-02-26T00:00:00"/>
    <x v="1"/>
    <x v="0"/>
    <x v="0"/>
    <x v="11"/>
    <x v="2"/>
    <n v="45977.49"/>
    <n v="46839.1"/>
    <n v="861.61000000000058"/>
    <n v="1.8739822465297706E-2"/>
  </r>
  <r>
    <x v="1"/>
    <d v="2010-02-26T00:00:00"/>
    <x v="1"/>
    <x v="0"/>
    <x v="0"/>
    <x v="12"/>
    <x v="2"/>
    <n v="660"/>
    <n v="679.69"/>
    <n v="19.690000000000055"/>
    <n v="2.9833333333333416E-2"/>
  </r>
  <r>
    <x v="1"/>
    <d v="2010-02-26T00:00:00"/>
    <x v="1"/>
    <x v="0"/>
    <x v="0"/>
    <x v="13"/>
    <x v="3"/>
    <n v="2332.36"/>
    <n v="2681.66"/>
    <n v="349.29999999999973"/>
    <n v="0.14976247234560691"/>
  </r>
  <r>
    <x v="1"/>
    <d v="2010-02-26T00:00:00"/>
    <x v="1"/>
    <x v="0"/>
    <x v="0"/>
    <x v="15"/>
    <x v="3"/>
    <n v="62018"/>
    <n v="65238.5"/>
    <n v="3220.5"/>
    <n v="5.1928472378986748E-2"/>
  </r>
  <r>
    <x v="1"/>
    <d v="2010-02-26T00:00:00"/>
    <x v="1"/>
    <x v="0"/>
    <x v="0"/>
    <x v="16"/>
    <x v="3"/>
    <n v="9025.64"/>
    <n v="10269.540000000001"/>
    <n v="1243.9000000000015"/>
    <n v="0.13781848157028218"/>
  </r>
  <r>
    <x v="1"/>
    <d v="2010-02-26T00:00:00"/>
    <x v="1"/>
    <x v="0"/>
    <x v="0"/>
    <x v="17"/>
    <x v="4"/>
    <n v="-75712.05"/>
    <n v="84974.52"/>
    <n v="160686.57"/>
    <n v="-2.1223381218709569"/>
  </r>
  <r>
    <x v="1"/>
    <d v="2010-02-26T00:00:00"/>
    <x v="1"/>
    <x v="0"/>
    <x v="0"/>
    <x v="20"/>
    <x v="5"/>
    <n v="3510"/>
    <n v="5898.88"/>
    <n v="2388.88"/>
    <n v="0.68059259259259264"/>
  </r>
  <r>
    <x v="1"/>
    <d v="2010-02-26T00:00:00"/>
    <x v="1"/>
    <x v="0"/>
    <x v="0"/>
    <x v="22"/>
    <x v="6"/>
    <n v="923"/>
    <n v="959.87"/>
    <n v="36.870000000000005"/>
    <n v="3.994582881906826E-2"/>
  </r>
  <r>
    <x v="1"/>
    <d v="2010-02-26T00:00:00"/>
    <x v="1"/>
    <x v="0"/>
    <x v="0"/>
    <x v="23"/>
    <x v="6"/>
    <n v="29155.65"/>
    <n v="30422.49"/>
    <n v="1266.8400000000001"/>
    <n v="4.3450926321313366E-2"/>
  </r>
  <r>
    <x v="1"/>
    <d v="2010-02-26T00:00:00"/>
    <x v="1"/>
    <x v="0"/>
    <x v="0"/>
    <x v="24"/>
    <x v="6"/>
    <n v="60976.4"/>
    <n v="61947.32"/>
    <n v="970.91999999999825"/>
    <n v="1.5922881639453924E-2"/>
  </r>
  <r>
    <x v="1"/>
    <d v="2010-02-26T00:00:00"/>
    <x v="1"/>
    <x v="0"/>
    <x v="0"/>
    <x v="25"/>
    <x v="6"/>
    <n v="77060.960000000006"/>
    <n v="78707.66"/>
    <n v="1646.6999999999971"/>
    <n v="2.1368796859006129E-2"/>
  </r>
  <r>
    <x v="1"/>
    <d v="2010-02-27T00:00:00"/>
    <x v="1"/>
    <x v="0"/>
    <x v="0"/>
    <x v="0"/>
    <x v="0"/>
    <n v="4086"/>
    <n v="4679.92"/>
    <n v="593.92000000000007"/>
    <n v="0.14535487028879102"/>
  </r>
  <r>
    <x v="1"/>
    <d v="2010-02-27T00:00:00"/>
    <x v="1"/>
    <x v="0"/>
    <x v="0"/>
    <x v="1"/>
    <x v="0"/>
    <n v="67931.48"/>
    <n v="74869.36"/>
    <n v="6937.8800000000047"/>
    <n v="0.10213055861582884"/>
  </r>
  <r>
    <x v="1"/>
    <d v="2010-02-27T00:00:00"/>
    <x v="1"/>
    <x v="0"/>
    <x v="0"/>
    <x v="2"/>
    <x v="0"/>
    <n v="53058.65"/>
    <n v="57266.07"/>
    <n v="4207.4199999999983"/>
    <n v="7.9297532070642551E-2"/>
  </r>
  <r>
    <x v="1"/>
    <d v="2010-02-27T00:00:00"/>
    <x v="1"/>
    <x v="0"/>
    <x v="0"/>
    <x v="4"/>
    <x v="0"/>
    <n v="2639.56"/>
    <n v="2828.43"/>
    <n v="188.86999999999989"/>
    <n v="7.1553592265377525E-2"/>
  </r>
  <r>
    <x v="1"/>
    <d v="2010-02-27T00:00:00"/>
    <x v="1"/>
    <x v="0"/>
    <x v="0"/>
    <x v="5"/>
    <x v="1"/>
    <n v="75248.66"/>
    <n v="78482.960000000006"/>
    <n v="3234.3000000000029"/>
    <n v="4.298149628179429E-2"/>
  </r>
  <r>
    <x v="1"/>
    <d v="2010-02-27T00:00:00"/>
    <x v="1"/>
    <x v="0"/>
    <x v="0"/>
    <x v="6"/>
    <x v="1"/>
    <n v="271900.93"/>
    <n v="272793.86"/>
    <n v="892.92999999999302"/>
    <n v="3.2840270167519949E-3"/>
  </r>
  <r>
    <x v="1"/>
    <d v="2010-02-27T00:00:00"/>
    <x v="1"/>
    <x v="0"/>
    <x v="0"/>
    <x v="7"/>
    <x v="1"/>
    <n v="66495.11"/>
    <n v="68286.64"/>
    <n v="1791.5299999999988"/>
    <n v="2.6942281921181855E-2"/>
  </r>
  <r>
    <x v="1"/>
    <d v="2010-02-27T00:00:00"/>
    <x v="1"/>
    <x v="0"/>
    <x v="0"/>
    <x v="8"/>
    <x v="1"/>
    <n v="105517.66"/>
    <n v="106193.01"/>
    <n v="675.34999999999127"/>
    <n v="6.4003504247534607E-3"/>
  </r>
  <r>
    <x v="1"/>
    <d v="2010-02-27T00:00:00"/>
    <x v="1"/>
    <x v="0"/>
    <x v="0"/>
    <x v="9"/>
    <x v="2"/>
    <n v="208400.07"/>
    <n v="213826.97"/>
    <n v="5426.8999999999942"/>
    <n v="2.6040778201274088E-2"/>
  </r>
  <r>
    <x v="1"/>
    <d v="2010-02-27T00:00:00"/>
    <x v="1"/>
    <x v="0"/>
    <x v="0"/>
    <x v="10"/>
    <x v="2"/>
    <n v="56677.5"/>
    <n v="58449.68"/>
    <n v="1772.1800000000003"/>
    <n v="3.1267787040712813E-2"/>
  </r>
  <r>
    <x v="1"/>
    <d v="2010-02-27T00:00:00"/>
    <x v="1"/>
    <x v="0"/>
    <x v="0"/>
    <x v="11"/>
    <x v="2"/>
    <n v="48735.99"/>
    <n v="49862.77"/>
    <n v="1126.7799999999988"/>
    <n v="2.3120080252806988E-2"/>
  </r>
  <r>
    <x v="1"/>
    <d v="2010-02-27T00:00:00"/>
    <x v="1"/>
    <x v="0"/>
    <x v="0"/>
    <x v="12"/>
    <x v="2"/>
    <n v="700"/>
    <n v="720.95"/>
    <n v="20.950000000000045"/>
    <n v="2.9928571428571492E-2"/>
  </r>
  <r>
    <x v="1"/>
    <d v="2010-02-27T00:00:00"/>
    <x v="1"/>
    <x v="0"/>
    <x v="0"/>
    <x v="13"/>
    <x v="3"/>
    <n v="8215.69"/>
    <n v="9446.66"/>
    <n v="1230.9699999999993"/>
    <n v="0.14983160270165979"/>
  </r>
  <r>
    <x v="1"/>
    <d v="2010-02-27T00:00:00"/>
    <x v="1"/>
    <x v="0"/>
    <x v="0"/>
    <x v="15"/>
    <x v="3"/>
    <n v="95623"/>
    <n v="100835.59"/>
    <n v="5212.5899999999965"/>
    <n v="5.4511885215899905E-2"/>
  </r>
  <r>
    <x v="1"/>
    <d v="2010-02-27T00:00:00"/>
    <x v="1"/>
    <x v="0"/>
    <x v="0"/>
    <x v="16"/>
    <x v="3"/>
    <n v="13782.64"/>
    <n v="15652.5"/>
    <n v="1869.8600000000006"/>
    <n v="0.13566776756847748"/>
  </r>
  <r>
    <x v="1"/>
    <d v="2010-02-27T00:00:00"/>
    <x v="1"/>
    <x v="0"/>
    <x v="0"/>
    <x v="17"/>
    <x v="4"/>
    <n v="102542.65"/>
    <n v="115236.76"/>
    <n v="12694.11"/>
    <n v="0.12379346545071734"/>
  </r>
  <r>
    <x v="1"/>
    <d v="2010-02-27T00:00:00"/>
    <x v="1"/>
    <x v="0"/>
    <x v="0"/>
    <x v="20"/>
    <x v="5"/>
    <n v="1682"/>
    <n v="3039.75"/>
    <n v="1357.75"/>
    <n v="0.80722354340071345"/>
  </r>
  <r>
    <x v="1"/>
    <d v="2010-02-27T00:00:00"/>
    <x v="1"/>
    <x v="0"/>
    <x v="0"/>
    <x v="22"/>
    <x v="6"/>
    <n v="6491"/>
    <n v="6784.07"/>
    <n v="293.06999999999971"/>
    <n v="4.5150207980280341E-2"/>
  </r>
  <r>
    <x v="1"/>
    <d v="2010-02-27T00:00:00"/>
    <x v="1"/>
    <x v="0"/>
    <x v="0"/>
    <x v="23"/>
    <x v="6"/>
    <n v="76420.160000000003"/>
    <n v="79355.05"/>
    <n v="2934.8899999999994"/>
    <n v="3.8404656572297143E-2"/>
  </r>
  <r>
    <x v="1"/>
    <d v="2010-02-27T00:00:00"/>
    <x v="1"/>
    <x v="0"/>
    <x v="0"/>
    <x v="24"/>
    <x v="6"/>
    <n v="136763.18"/>
    <n v="133920.94"/>
    <n v="-2842.2399999999907"/>
    <n v="-2.0782201759274616E-2"/>
  </r>
  <r>
    <x v="1"/>
    <d v="2010-02-27T00:00:00"/>
    <x v="1"/>
    <x v="0"/>
    <x v="0"/>
    <x v="25"/>
    <x v="6"/>
    <n v="146853.53"/>
    <n v="150001.62"/>
    <n v="3148.0899999999965"/>
    <n v="2.1436937879532051E-2"/>
  </r>
  <r>
    <x v="1"/>
    <d v="2010-02-28T00:00:00"/>
    <x v="2"/>
    <x v="0"/>
    <x v="0"/>
    <x v="0"/>
    <x v="0"/>
    <n v="2273"/>
    <n v="2655.62"/>
    <n v="382.61999999999989"/>
    <n v="0.16833260008798939"/>
  </r>
  <r>
    <x v="1"/>
    <d v="2010-02-28T00:00:00"/>
    <x v="2"/>
    <x v="0"/>
    <x v="0"/>
    <x v="1"/>
    <x v="0"/>
    <n v="55657.99"/>
    <n v="62724.08"/>
    <n v="7066.0900000000038"/>
    <n v="0.12695553684205996"/>
  </r>
  <r>
    <x v="1"/>
    <d v="2010-02-28T00:00:00"/>
    <x v="2"/>
    <x v="0"/>
    <x v="0"/>
    <x v="2"/>
    <x v="0"/>
    <n v="145583.97"/>
    <n v="151503.91"/>
    <n v="5919.9400000000023"/>
    <n v="4.066340545597158E-2"/>
  </r>
  <r>
    <x v="1"/>
    <d v="2010-02-28T00:00:00"/>
    <x v="2"/>
    <x v="0"/>
    <x v="0"/>
    <x v="3"/>
    <x v="0"/>
    <n v="710"/>
    <n v="724.65"/>
    <n v="14.649999999999977"/>
    <n v="2.0633802816901376E-2"/>
  </r>
  <r>
    <x v="1"/>
    <d v="2010-02-28T00:00:00"/>
    <x v="2"/>
    <x v="0"/>
    <x v="0"/>
    <x v="4"/>
    <x v="0"/>
    <n v="7281.64"/>
    <n v="7918.33"/>
    <n v="636.6899999999996"/>
    <n v="8.7437720074049194E-2"/>
  </r>
  <r>
    <x v="1"/>
    <d v="2010-02-28T00:00:00"/>
    <x v="2"/>
    <x v="0"/>
    <x v="0"/>
    <x v="5"/>
    <x v="1"/>
    <n v="80535.23"/>
    <n v="83045.100000000006"/>
    <n v="2509.8700000000099"/>
    <n v="3.1164870330661624E-2"/>
  </r>
  <r>
    <x v="1"/>
    <d v="2010-02-28T00:00:00"/>
    <x v="2"/>
    <x v="0"/>
    <x v="0"/>
    <x v="6"/>
    <x v="1"/>
    <n v="228922.34"/>
    <n v="232866.52"/>
    <n v="3944.179999999993"/>
    <n v="1.7229336376694354E-2"/>
  </r>
  <r>
    <x v="1"/>
    <d v="2010-02-28T00:00:00"/>
    <x v="2"/>
    <x v="0"/>
    <x v="0"/>
    <x v="7"/>
    <x v="1"/>
    <n v="52868.49"/>
    <n v="54092.47"/>
    <n v="1223.9800000000032"/>
    <n v="2.3151408334151462E-2"/>
  </r>
  <r>
    <x v="1"/>
    <d v="2010-02-28T00:00:00"/>
    <x v="2"/>
    <x v="0"/>
    <x v="0"/>
    <x v="8"/>
    <x v="1"/>
    <n v="91994.76"/>
    <n v="92433.03"/>
    <n v="438.27000000000407"/>
    <n v="4.7640756930069075E-3"/>
  </r>
  <r>
    <x v="1"/>
    <d v="2010-02-28T00:00:00"/>
    <x v="2"/>
    <x v="0"/>
    <x v="0"/>
    <x v="9"/>
    <x v="2"/>
    <n v="182363.71"/>
    <n v="188290.68"/>
    <n v="5926.9700000000012"/>
    <n v="3.2500819379031064E-2"/>
  </r>
  <r>
    <x v="1"/>
    <d v="2010-02-28T00:00:00"/>
    <x v="2"/>
    <x v="0"/>
    <x v="0"/>
    <x v="10"/>
    <x v="2"/>
    <n v="57555.12"/>
    <n v="59087.58"/>
    <n v="1532.4599999999991"/>
    <n v="2.6625954389461772E-2"/>
  </r>
  <r>
    <x v="1"/>
    <d v="2010-02-28T00:00:00"/>
    <x v="2"/>
    <x v="0"/>
    <x v="0"/>
    <x v="11"/>
    <x v="2"/>
    <n v="40355"/>
    <n v="41185.230000000003"/>
    <n v="830.2300000000032"/>
    <n v="2.0573163176805926E-2"/>
  </r>
  <r>
    <x v="1"/>
    <d v="2010-02-28T00:00:00"/>
    <x v="2"/>
    <x v="0"/>
    <x v="0"/>
    <x v="12"/>
    <x v="2"/>
    <n v="1480"/>
    <n v="1524.28"/>
    <n v="44.279999999999973"/>
    <n v="2.9918918918918902E-2"/>
  </r>
  <r>
    <x v="1"/>
    <d v="2010-02-28T00:00:00"/>
    <x v="2"/>
    <x v="0"/>
    <x v="0"/>
    <x v="13"/>
    <x v="3"/>
    <n v="5397.86"/>
    <n v="6208.33"/>
    <n v="810.47000000000025"/>
    <n v="0.15014653955456428"/>
  </r>
  <r>
    <x v="1"/>
    <d v="2010-02-28T00:00:00"/>
    <x v="2"/>
    <x v="0"/>
    <x v="0"/>
    <x v="15"/>
    <x v="3"/>
    <n v="90433"/>
    <n v="95964.25"/>
    <n v="5531.25"/>
    <n v="6.1164066214766735E-2"/>
  </r>
  <r>
    <x v="1"/>
    <d v="2010-02-28T00:00:00"/>
    <x v="2"/>
    <x v="0"/>
    <x v="0"/>
    <x v="16"/>
    <x v="3"/>
    <n v="17606.7"/>
    <n v="19883.330000000002"/>
    <n v="2276.630000000001"/>
    <n v="0.12930475330413996"/>
  </r>
  <r>
    <x v="1"/>
    <d v="2010-02-28T00:00:00"/>
    <x v="2"/>
    <x v="0"/>
    <x v="0"/>
    <x v="17"/>
    <x v="4"/>
    <n v="86215.9"/>
    <n v="98633.13"/>
    <n v="12417.23000000001"/>
    <n v="0.14402482604716776"/>
  </r>
  <r>
    <x v="1"/>
    <d v="2010-02-28T00:00:00"/>
    <x v="2"/>
    <x v="0"/>
    <x v="0"/>
    <x v="20"/>
    <x v="5"/>
    <n v="4583"/>
    <n v="8454.81"/>
    <n v="3871.8099999999995"/>
    <n v="0.84481998690813864"/>
  </r>
  <r>
    <x v="1"/>
    <d v="2010-02-28T00:00:00"/>
    <x v="2"/>
    <x v="0"/>
    <x v="0"/>
    <x v="22"/>
    <x v="6"/>
    <n v="6220"/>
    <n v="6758.62"/>
    <n v="538.61999999999989"/>
    <n v="8.659485530546622E-2"/>
  </r>
  <r>
    <x v="1"/>
    <d v="2010-02-28T00:00:00"/>
    <x v="2"/>
    <x v="0"/>
    <x v="0"/>
    <x v="23"/>
    <x v="6"/>
    <n v="73658.289999999994"/>
    <n v="76257.070000000007"/>
    <n v="2598.7800000000134"/>
    <n v="3.5281568442601823E-2"/>
  </r>
  <r>
    <x v="1"/>
    <d v="2010-02-28T00:00:00"/>
    <x v="2"/>
    <x v="0"/>
    <x v="0"/>
    <x v="24"/>
    <x v="6"/>
    <n v="158361.01"/>
    <n v="157760.42000000001"/>
    <n v="-600.58999999999651"/>
    <n v="-3.7925370645210993E-3"/>
  </r>
  <r>
    <x v="1"/>
    <d v="2010-02-28T00:00:00"/>
    <x v="2"/>
    <x v="0"/>
    <x v="0"/>
    <x v="25"/>
    <x v="6"/>
    <n v="136848.15"/>
    <n v="140567.85"/>
    <n v="3719.7000000000116"/>
    <n v="2.7181222398695283E-2"/>
  </r>
  <r>
    <x v="1"/>
    <d v="2010-03-01T00:00:00"/>
    <x v="2"/>
    <x v="1"/>
    <x v="0"/>
    <x v="0"/>
    <x v="0"/>
    <n v="1761"/>
    <n v="2034.59"/>
    <n v="273.58999999999992"/>
    <n v="0.15536059057353771"/>
  </r>
  <r>
    <x v="1"/>
    <d v="2010-03-01T00:00:00"/>
    <x v="2"/>
    <x v="1"/>
    <x v="0"/>
    <x v="1"/>
    <x v="0"/>
    <n v="25984.080000000002"/>
    <n v="30920.68"/>
    <n v="4936.5999999999985"/>
    <n v="0.18998556038928444"/>
  </r>
  <r>
    <x v="1"/>
    <d v="2010-03-01T00:00:00"/>
    <x v="2"/>
    <x v="1"/>
    <x v="0"/>
    <x v="2"/>
    <x v="0"/>
    <n v="18750.849999999999"/>
    <n v="20558.88"/>
    <n v="1808.0300000000025"/>
    <n v="9.6423895450073072E-2"/>
  </r>
  <r>
    <x v="1"/>
    <d v="2010-03-01T00:00:00"/>
    <x v="2"/>
    <x v="1"/>
    <x v="0"/>
    <x v="3"/>
    <x v="0"/>
    <n v="1420"/>
    <n v="1634"/>
    <n v="214"/>
    <n v="0.15070422535211267"/>
  </r>
  <r>
    <x v="1"/>
    <d v="2010-03-01T00:00:00"/>
    <x v="2"/>
    <x v="1"/>
    <x v="0"/>
    <x v="4"/>
    <x v="0"/>
    <n v="4215.17"/>
    <n v="4744.51"/>
    <n v="529.34000000000015"/>
    <n v="0.12557975123186019"/>
  </r>
  <r>
    <x v="1"/>
    <d v="2010-03-01T00:00:00"/>
    <x v="2"/>
    <x v="1"/>
    <x v="0"/>
    <x v="5"/>
    <x v="1"/>
    <n v="31868.7"/>
    <n v="35136.089999999997"/>
    <n v="3267.3899999999958"/>
    <n v="0.10252661702548255"/>
  </r>
  <r>
    <x v="1"/>
    <d v="2010-03-01T00:00:00"/>
    <x v="2"/>
    <x v="1"/>
    <x v="0"/>
    <x v="6"/>
    <x v="1"/>
    <n v="155928.57"/>
    <n v="161138.04"/>
    <n v="5209.4700000000012"/>
    <n v="3.3409336082540875E-2"/>
  </r>
  <r>
    <x v="1"/>
    <d v="2010-03-01T00:00:00"/>
    <x v="2"/>
    <x v="1"/>
    <x v="0"/>
    <x v="7"/>
    <x v="1"/>
    <n v="23145.25"/>
    <n v="25459.599999999999"/>
    <n v="2314.3499999999985"/>
    <n v="9.9992439053369422E-2"/>
  </r>
  <r>
    <x v="1"/>
    <d v="2010-03-01T00:00:00"/>
    <x v="2"/>
    <x v="1"/>
    <x v="0"/>
    <x v="8"/>
    <x v="1"/>
    <n v="51221.67"/>
    <n v="54080.5"/>
    <n v="2858.8300000000017"/>
    <n v="5.5812901063163341E-2"/>
  </r>
  <r>
    <x v="1"/>
    <d v="2010-03-01T00:00:00"/>
    <x v="2"/>
    <x v="1"/>
    <x v="0"/>
    <x v="9"/>
    <x v="2"/>
    <n v="61377.5"/>
    <n v="67070.98"/>
    <n v="5693.4799999999959"/>
    <n v="9.27616797686448E-2"/>
  </r>
  <r>
    <x v="1"/>
    <d v="2010-03-01T00:00:00"/>
    <x v="2"/>
    <x v="1"/>
    <x v="0"/>
    <x v="10"/>
    <x v="2"/>
    <n v="33718.269999999997"/>
    <n v="36728.339999999997"/>
    <n v="3010.0699999999997"/>
    <n v="8.927118740077708E-2"/>
  </r>
  <r>
    <x v="1"/>
    <d v="2010-03-01T00:00:00"/>
    <x v="2"/>
    <x v="1"/>
    <x v="0"/>
    <x v="11"/>
    <x v="2"/>
    <n v="13252"/>
    <n v="14622.23"/>
    <n v="1370.2299999999996"/>
    <n v="0.10339797766374884"/>
  </r>
  <r>
    <x v="1"/>
    <d v="2010-03-01T00:00:00"/>
    <x v="2"/>
    <x v="1"/>
    <x v="0"/>
    <x v="12"/>
    <x v="2"/>
    <n v="180"/>
    <n v="206.99"/>
    <n v="26.990000000000009"/>
    <n v="0.14994444444444449"/>
  </r>
  <r>
    <x v="1"/>
    <d v="2010-03-01T00:00:00"/>
    <x v="2"/>
    <x v="1"/>
    <x v="0"/>
    <x v="13"/>
    <x v="3"/>
    <n v="1324.58"/>
    <n v="1523.03"/>
    <n v="198.45000000000005"/>
    <n v="0.14982107535973671"/>
  </r>
  <r>
    <x v="1"/>
    <d v="2010-03-01T00:00:00"/>
    <x v="2"/>
    <x v="1"/>
    <x v="0"/>
    <x v="15"/>
    <x v="3"/>
    <n v="48951"/>
    <n v="54897.88"/>
    <n v="5946.8799999999974"/>
    <n v="0.12148638434352715"/>
  </r>
  <r>
    <x v="1"/>
    <d v="2010-03-01T00:00:00"/>
    <x v="2"/>
    <x v="1"/>
    <x v="0"/>
    <x v="16"/>
    <x v="3"/>
    <n v="8368.92"/>
    <n v="9469.67"/>
    <n v="1100.75"/>
    <n v="0.13152832145605406"/>
  </r>
  <r>
    <x v="1"/>
    <d v="2010-03-01T00:00:00"/>
    <x v="2"/>
    <x v="1"/>
    <x v="0"/>
    <x v="17"/>
    <x v="4"/>
    <n v="42114.66"/>
    <n v="48871.13"/>
    <n v="6756.4699999999939"/>
    <n v="0.1604303584547517"/>
  </r>
  <r>
    <x v="1"/>
    <d v="2010-03-01T00:00:00"/>
    <x v="2"/>
    <x v="1"/>
    <x v="0"/>
    <x v="20"/>
    <x v="5"/>
    <n v="3026"/>
    <n v="5091.99"/>
    <n v="2065.9899999999998"/>
    <n v="0.68274619960343685"/>
  </r>
  <r>
    <x v="1"/>
    <d v="2010-03-01T00:00:00"/>
    <x v="2"/>
    <x v="1"/>
    <x v="0"/>
    <x v="22"/>
    <x v="6"/>
    <n v="2940"/>
    <n v="3293"/>
    <n v="353"/>
    <n v="0.12006802721088436"/>
  </r>
  <r>
    <x v="1"/>
    <d v="2010-03-01T00:00:00"/>
    <x v="2"/>
    <x v="1"/>
    <x v="0"/>
    <x v="23"/>
    <x v="6"/>
    <n v="20239.849999999999"/>
    <n v="22700.49"/>
    <n v="2460.6400000000031"/>
    <n v="0.12157402352290177"/>
  </r>
  <r>
    <x v="1"/>
    <d v="2010-03-01T00:00:00"/>
    <x v="2"/>
    <x v="1"/>
    <x v="0"/>
    <x v="24"/>
    <x v="6"/>
    <n v="59698.81"/>
    <n v="62913.59"/>
    <n v="3214.7799999999988"/>
    <n v="5.3849984614433667E-2"/>
  </r>
  <r>
    <x v="1"/>
    <d v="2010-03-01T00:00:00"/>
    <x v="2"/>
    <x v="1"/>
    <x v="0"/>
    <x v="25"/>
    <x v="6"/>
    <n v="91037.7"/>
    <n v="93840.27"/>
    <n v="2802.570000000007"/>
    <n v="3.0784718858231339E-2"/>
  </r>
  <r>
    <x v="1"/>
    <d v="2010-03-02T00:00:00"/>
    <x v="2"/>
    <x v="1"/>
    <x v="0"/>
    <x v="0"/>
    <x v="0"/>
    <n v="2744"/>
    <n v="3156.54"/>
    <n v="412.53999999999996"/>
    <n v="0.15034256559766762"/>
  </r>
  <r>
    <x v="1"/>
    <d v="2010-03-02T00:00:00"/>
    <x v="2"/>
    <x v="1"/>
    <x v="0"/>
    <x v="1"/>
    <x v="0"/>
    <n v="34139.21"/>
    <n v="39272.5"/>
    <n v="5133.2900000000009"/>
    <n v="0.15036346769594261"/>
  </r>
  <r>
    <x v="1"/>
    <d v="2010-03-02T00:00:00"/>
    <x v="2"/>
    <x v="1"/>
    <x v="0"/>
    <x v="2"/>
    <x v="0"/>
    <n v="34322.75"/>
    <n v="38007.660000000003"/>
    <n v="3684.9100000000035"/>
    <n v="0.10736056988440622"/>
  </r>
  <r>
    <x v="1"/>
    <d v="2010-03-02T00:00:00"/>
    <x v="2"/>
    <x v="1"/>
    <x v="0"/>
    <x v="4"/>
    <x v="0"/>
    <n v="3422"/>
    <n v="3838.83"/>
    <n v="416.82999999999993"/>
    <n v="0.12180888369374633"/>
  </r>
  <r>
    <x v="1"/>
    <d v="2010-03-02T00:00:00"/>
    <x v="2"/>
    <x v="1"/>
    <x v="0"/>
    <x v="5"/>
    <x v="1"/>
    <n v="51122.38"/>
    <n v="57127.63"/>
    <n v="6005.25"/>
    <n v="0.1174681225717582"/>
  </r>
  <r>
    <x v="1"/>
    <d v="2010-03-02T00:00:00"/>
    <x v="2"/>
    <x v="1"/>
    <x v="0"/>
    <x v="6"/>
    <x v="1"/>
    <n v="199955.11"/>
    <n v="207476.32"/>
    <n v="7521.210000000021"/>
    <n v="3.7614492572858087E-2"/>
  </r>
  <r>
    <x v="1"/>
    <d v="2010-03-02T00:00:00"/>
    <x v="2"/>
    <x v="1"/>
    <x v="0"/>
    <x v="7"/>
    <x v="1"/>
    <n v="40530.6"/>
    <n v="44775.35"/>
    <n v="4244.75"/>
    <n v="0.10472951300992336"/>
  </r>
  <r>
    <x v="1"/>
    <d v="2010-03-02T00:00:00"/>
    <x v="2"/>
    <x v="1"/>
    <x v="0"/>
    <x v="8"/>
    <x v="1"/>
    <n v="51949.83"/>
    <n v="54890.86"/>
    <n v="2941.0299999999988"/>
    <n v="5.6612889782314949E-2"/>
  </r>
  <r>
    <x v="1"/>
    <d v="2010-03-02T00:00:00"/>
    <x v="2"/>
    <x v="1"/>
    <x v="0"/>
    <x v="9"/>
    <x v="2"/>
    <n v="95666"/>
    <n v="105602.27"/>
    <n v="9936.2700000000041"/>
    <n v="0.10386417326950018"/>
  </r>
  <r>
    <x v="1"/>
    <d v="2010-03-02T00:00:00"/>
    <x v="2"/>
    <x v="1"/>
    <x v="0"/>
    <x v="10"/>
    <x v="2"/>
    <n v="31426.61"/>
    <n v="33103.33"/>
    <n v="1676.7200000000012"/>
    <n v="5.3353511562335268E-2"/>
  </r>
  <r>
    <x v="1"/>
    <d v="2010-03-02T00:00:00"/>
    <x v="2"/>
    <x v="1"/>
    <x v="0"/>
    <x v="11"/>
    <x v="2"/>
    <n v="33678.44"/>
    <n v="35755.11"/>
    <n v="2076.6699999999983"/>
    <n v="6.1661704045674268E-2"/>
  </r>
  <r>
    <x v="1"/>
    <d v="2010-03-02T00:00:00"/>
    <x v="2"/>
    <x v="1"/>
    <x v="0"/>
    <x v="12"/>
    <x v="2"/>
    <n v="520"/>
    <n v="595.55999999999995"/>
    <n v="75.559999999999945"/>
    <n v="0.14530769230769219"/>
  </r>
  <r>
    <x v="1"/>
    <d v="2010-03-02T00:00:00"/>
    <x v="2"/>
    <x v="1"/>
    <x v="0"/>
    <x v="13"/>
    <x v="3"/>
    <n v="4153.38"/>
    <n v="4775.47"/>
    <n v="622.09000000000015"/>
    <n v="0.14977921596386559"/>
  </r>
  <r>
    <x v="1"/>
    <d v="2010-03-02T00:00:00"/>
    <x v="2"/>
    <x v="1"/>
    <x v="0"/>
    <x v="15"/>
    <x v="3"/>
    <n v="61611"/>
    <n v="67411.38"/>
    <n v="5800.3800000000047"/>
    <n v="9.4145201343915935E-2"/>
  </r>
  <r>
    <x v="1"/>
    <d v="2010-03-02T00:00:00"/>
    <x v="2"/>
    <x v="1"/>
    <x v="0"/>
    <x v="16"/>
    <x v="3"/>
    <n v="9632.52"/>
    <n v="10950.57"/>
    <n v="1318.0499999999993"/>
    <n v="0.13683335202003205"/>
  </r>
  <r>
    <x v="1"/>
    <d v="2010-03-02T00:00:00"/>
    <x v="2"/>
    <x v="1"/>
    <x v="0"/>
    <x v="17"/>
    <x v="4"/>
    <n v="64119.07"/>
    <n v="74443.16"/>
    <n v="10324.090000000004"/>
    <n v="0.16101434409451049"/>
  </r>
  <r>
    <x v="1"/>
    <d v="2010-03-02T00:00:00"/>
    <x v="2"/>
    <x v="1"/>
    <x v="0"/>
    <x v="20"/>
    <x v="5"/>
    <n v="3813.82"/>
    <n v="5005.03"/>
    <n v="1191.2099999999996"/>
    <n v="0.31234038313292173"/>
  </r>
  <r>
    <x v="1"/>
    <d v="2010-03-02T00:00:00"/>
    <x v="2"/>
    <x v="1"/>
    <x v="0"/>
    <x v="22"/>
    <x v="6"/>
    <n v="1357"/>
    <n v="1502.49"/>
    <n v="145.49"/>
    <n v="0.10721444362564481"/>
  </r>
  <r>
    <x v="1"/>
    <d v="2010-03-02T00:00:00"/>
    <x v="2"/>
    <x v="1"/>
    <x v="0"/>
    <x v="23"/>
    <x v="6"/>
    <n v="32120.959999999999"/>
    <n v="36039.440000000002"/>
    <n v="3918.4800000000032"/>
    <n v="0.12199137261152852"/>
  </r>
  <r>
    <x v="1"/>
    <d v="2010-03-02T00:00:00"/>
    <x v="2"/>
    <x v="1"/>
    <x v="0"/>
    <x v="24"/>
    <x v="6"/>
    <n v="58623.23"/>
    <n v="63508.73"/>
    <n v="4885.5"/>
    <n v="8.3337270907795427E-2"/>
  </r>
  <r>
    <x v="1"/>
    <d v="2010-03-02T00:00:00"/>
    <x v="2"/>
    <x v="1"/>
    <x v="0"/>
    <x v="25"/>
    <x v="6"/>
    <n v="75581.039999999994"/>
    <n v="78443.240000000005"/>
    <n v="2862.2000000000116"/>
    <n v="3.7869285736211247E-2"/>
  </r>
  <r>
    <x v="1"/>
    <d v="2010-03-03T00:00:00"/>
    <x v="2"/>
    <x v="1"/>
    <x v="0"/>
    <x v="0"/>
    <x v="0"/>
    <n v="1639"/>
    <n v="1895.89"/>
    <n v="256.8900000000001"/>
    <n v="0.15673581452104948"/>
  </r>
  <r>
    <x v="1"/>
    <d v="2010-03-03T00:00:00"/>
    <x v="2"/>
    <x v="1"/>
    <x v="0"/>
    <x v="1"/>
    <x v="0"/>
    <n v="36537.230000000003"/>
    <n v="41724.839999999997"/>
    <n v="5187.6099999999933"/>
    <n v="0.14198148025999763"/>
  </r>
  <r>
    <x v="1"/>
    <d v="2010-03-03T00:00:00"/>
    <x v="2"/>
    <x v="1"/>
    <x v="0"/>
    <x v="2"/>
    <x v="0"/>
    <n v="190955.49"/>
    <n v="200063.33"/>
    <n v="9107.8399999999965"/>
    <n v="4.7696141126919139E-2"/>
  </r>
  <r>
    <x v="1"/>
    <d v="2010-03-03T00:00:00"/>
    <x v="2"/>
    <x v="1"/>
    <x v="0"/>
    <x v="4"/>
    <x v="0"/>
    <n v="6060.15"/>
    <n v="6809.7"/>
    <n v="749.55000000000018"/>
    <n v="0.12368505730056191"/>
  </r>
  <r>
    <x v="1"/>
    <d v="2010-03-03T00:00:00"/>
    <x v="2"/>
    <x v="1"/>
    <x v="0"/>
    <x v="5"/>
    <x v="1"/>
    <n v="70251.55"/>
    <n v="77956.05"/>
    <n v="7704.5"/>
    <n v="0.10967017809571461"/>
  </r>
  <r>
    <x v="1"/>
    <d v="2010-03-03T00:00:00"/>
    <x v="2"/>
    <x v="1"/>
    <x v="0"/>
    <x v="6"/>
    <x v="1"/>
    <n v="177719.91"/>
    <n v="186816.81"/>
    <n v="9096.8999999999942"/>
    <n v="5.1186724098611087E-2"/>
  </r>
  <r>
    <x v="1"/>
    <d v="2010-03-03T00:00:00"/>
    <x v="2"/>
    <x v="1"/>
    <x v="0"/>
    <x v="7"/>
    <x v="1"/>
    <n v="35171.14"/>
    <n v="38879.22"/>
    <n v="3708.0800000000017"/>
    <n v="0.10542962212768769"/>
  </r>
  <r>
    <x v="1"/>
    <d v="2010-03-03T00:00:00"/>
    <x v="2"/>
    <x v="1"/>
    <x v="0"/>
    <x v="8"/>
    <x v="1"/>
    <n v="71466.28"/>
    <n v="75985.89"/>
    <n v="4519.6100000000006"/>
    <n v="6.3241153730122804E-2"/>
  </r>
  <r>
    <x v="1"/>
    <d v="2010-03-03T00:00:00"/>
    <x v="2"/>
    <x v="1"/>
    <x v="0"/>
    <x v="9"/>
    <x v="2"/>
    <n v="127147.5"/>
    <n v="140558.79"/>
    <n v="13411.290000000008"/>
    <n v="0.10547820444759046"/>
  </r>
  <r>
    <x v="1"/>
    <d v="2010-03-03T00:00:00"/>
    <x v="2"/>
    <x v="1"/>
    <x v="0"/>
    <x v="10"/>
    <x v="2"/>
    <n v="31187.66"/>
    <n v="33364.65"/>
    <n v="2176.9900000000016"/>
    <n v="6.9802928465938177E-2"/>
  </r>
  <r>
    <x v="1"/>
    <d v="2010-03-03T00:00:00"/>
    <x v="2"/>
    <x v="1"/>
    <x v="0"/>
    <x v="11"/>
    <x v="2"/>
    <n v="30994.97"/>
    <n v="33658.75"/>
    <n v="2663.7799999999988"/>
    <n v="8.5942331933213642E-2"/>
  </r>
  <r>
    <x v="1"/>
    <d v="2010-03-03T00:00:00"/>
    <x v="2"/>
    <x v="1"/>
    <x v="0"/>
    <x v="12"/>
    <x v="2"/>
    <n v="340"/>
    <n v="388.57"/>
    <n v="48.569999999999993"/>
    <n v="0.14285294117647057"/>
  </r>
  <r>
    <x v="1"/>
    <d v="2010-03-03T00:00:00"/>
    <x v="2"/>
    <x v="1"/>
    <x v="0"/>
    <x v="13"/>
    <x v="3"/>
    <n v="2214.92"/>
    <n v="2548.0300000000002"/>
    <n v="333.11000000000013"/>
    <n v="0.15039369367742406"/>
  </r>
  <r>
    <x v="1"/>
    <d v="2010-03-03T00:00:00"/>
    <x v="2"/>
    <x v="1"/>
    <x v="0"/>
    <x v="15"/>
    <x v="3"/>
    <n v="57537"/>
    <n v="63224.11"/>
    <n v="5687.1100000000006"/>
    <n v="9.884265776804492E-2"/>
  </r>
  <r>
    <x v="1"/>
    <d v="2010-03-03T00:00:00"/>
    <x v="2"/>
    <x v="1"/>
    <x v="0"/>
    <x v="16"/>
    <x v="3"/>
    <n v="15749.24"/>
    <n v="17808"/>
    <n v="2058.7600000000002"/>
    <n v="0.13072122845292855"/>
  </r>
  <r>
    <x v="1"/>
    <d v="2010-03-03T00:00:00"/>
    <x v="2"/>
    <x v="1"/>
    <x v="0"/>
    <x v="17"/>
    <x v="4"/>
    <n v="76631.75"/>
    <n v="86979.72"/>
    <n v="10347.970000000001"/>
    <n v="0.13503502138473936"/>
  </r>
  <r>
    <x v="1"/>
    <d v="2010-03-03T00:00:00"/>
    <x v="2"/>
    <x v="1"/>
    <x v="0"/>
    <x v="20"/>
    <x v="5"/>
    <n v="1963"/>
    <n v="3161.29"/>
    <n v="1198.29"/>
    <n v="0.61043810494141615"/>
  </r>
  <r>
    <x v="1"/>
    <d v="2010-03-03T00:00:00"/>
    <x v="2"/>
    <x v="1"/>
    <x v="0"/>
    <x v="22"/>
    <x v="6"/>
    <n v="2335"/>
    <n v="2579.83"/>
    <n v="244.82999999999993"/>
    <n v="0.10485224839400425"/>
  </r>
  <r>
    <x v="1"/>
    <d v="2010-03-03T00:00:00"/>
    <x v="2"/>
    <x v="1"/>
    <x v="0"/>
    <x v="23"/>
    <x v="6"/>
    <n v="36840.68"/>
    <n v="40634.29"/>
    <n v="3793.6100000000006"/>
    <n v="0.10297339788516391"/>
  </r>
  <r>
    <x v="1"/>
    <d v="2010-03-03T00:00:00"/>
    <x v="2"/>
    <x v="1"/>
    <x v="0"/>
    <x v="24"/>
    <x v="6"/>
    <n v="84732.79"/>
    <n v="91284.44"/>
    <n v="6551.6500000000087"/>
    <n v="7.7321306190909198E-2"/>
  </r>
  <r>
    <x v="1"/>
    <d v="2010-03-03T00:00:00"/>
    <x v="2"/>
    <x v="1"/>
    <x v="0"/>
    <x v="25"/>
    <x v="6"/>
    <n v="87706.54"/>
    <n v="91206.38"/>
    <n v="3499.8400000000111"/>
    <n v="3.9903979794437348E-2"/>
  </r>
  <r>
    <x v="1"/>
    <d v="2010-03-04T00:00:00"/>
    <x v="2"/>
    <x v="1"/>
    <x v="0"/>
    <x v="0"/>
    <x v="0"/>
    <n v="4912"/>
    <n v="5680.55"/>
    <n v="768.55000000000018"/>
    <n v="0.15646376221498376"/>
  </r>
  <r>
    <x v="1"/>
    <d v="2010-03-04T00:00:00"/>
    <x v="2"/>
    <x v="1"/>
    <x v="0"/>
    <x v="1"/>
    <x v="0"/>
    <n v="36523.89"/>
    <n v="43359.5"/>
    <n v="6835.6100000000006"/>
    <n v="0.18715448984212801"/>
  </r>
  <r>
    <x v="1"/>
    <d v="2010-03-04T00:00:00"/>
    <x v="2"/>
    <x v="1"/>
    <x v="0"/>
    <x v="2"/>
    <x v="0"/>
    <n v="139797.18"/>
    <n v="147105.24"/>
    <n v="7308.0599999999977"/>
    <n v="5.2276161793821579E-2"/>
  </r>
  <r>
    <x v="1"/>
    <d v="2010-03-04T00:00:00"/>
    <x v="2"/>
    <x v="1"/>
    <x v="0"/>
    <x v="4"/>
    <x v="0"/>
    <n v="4342"/>
    <n v="4830.7299999999996"/>
    <n v="488.72999999999956"/>
    <n v="0.11255872869645314"/>
  </r>
  <r>
    <x v="1"/>
    <d v="2010-03-04T00:00:00"/>
    <x v="2"/>
    <x v="1"/>
    <x v="0"/>
    <x v="5"/>
    <x v="1"/>
    <n v="44895.1"/>
    <n v="50557.88"/>
    <n v="5662.7799999999988"/>
    <n v="0.12613358696160604"/>
  </r>
  <r>
    <x v="1"/>
    <d v="2010-03-04T00:00:00"/>
    <x v="2"/>
    <x v="1"/>
    <x v="0"/>
    <x v="6"/>
    <x v="1"/>
    <n v="159932.71"/>
    <n v="168279.28"/>
    <n v="8346.570000000007"/>
    <n v="5.2188010820300661E-2"/>
  </r>
  <r>
    <x v="1"/>
    <d v="2010-03-04T00:00:00"/>
    <x v="2"/>
    <x v="1"/>
    <x v="0"/>
    <x v="7"/>
    <x v="1"/>
    <n v="29141.66"/>
    <n v="32846.28"/>
    <n v="3704.619999999999"/>
    <n v="0.12712453580200986"/>
  </r>
  <r>
    <x v="1"/>
    <d v="2010-03-04T00:00:00"/>
    <x v="2"/>
    <x v="1"/>
    <x v="0"/>
    <x v="8"/>
    <x v="1"/>
    <n v="56297.91"/>
    <n v="59530.77"/>
    <n v="3232.8599999999933"/>
    <n v="5.7424156598353177E-2"/>
  </r>
  <r>
    <x v="1"/>
    <d v="2010-03-04T00:00:00"/>
    <x v="2"/>
    <x v="1"/>
    <x v="0"/>
    <x v="9"/>
    <x v="2"/>
    <n v="155526.01"/>
    <n v="168348.46"/>
    <n v="12822.449999999983"/>
    <n v="8.2445695096273489E-2"/>
  </r>
  <r>
    <x v="1"/>
    <d v="2010-03-04T00:00:00"/>
    <x v="2"/>
    <x v="1"/>
    <x v="0"/>
    <x v="10"/>
    <x v="2"/>
    <n v="55890.58"/>
    <n v="59467.74"/>
    <n v="3577.1599999999962"/>
    <n v="6.4002914265695515E-2"/>
  </r>
  <r>
    <x v="1"/>
    <d v="2010-03-04T00:00:00"/>
    <x v="2"/>
    <x v="1"/>
    <x v="0"/>
    <x v="11"/>
    <x v="2"/>
    <n v="61958.49"/>
    <n v="67496.97"/>
    <n v="5538.4800000000032"/>
    <n v="8.9390170741733749E-2"/>
  </r>
  <r>
    <x v="1"/>
    <d v="2010-03-04T00:00:00"/>
    <x v="2"/>
    <x v="1"/>
    <x v="0"/>
    <x v="12"/>
    <x v="2"/>
    <n v="700"/>
    <n v="754.5"/>
    <n v="54.5"/>
    <n v="7.7857142857142861E-2"/>
  </r>
  <r>
    <x v="1"/>
    <d v="2010-03-04T00:00:00"/>
    <x v="2"/>
    <x v="1"/>
    <x v="0"/>
    <x v="13"/>
    <x v="3"/>
    <n v="379.5"/>
    <n v="436.51"/>
    <n v="57.009999999999991"/>
    <n v="0.15022397891963107"/>
  </r>
  <r>
    <x v="1"/>
    <d v="2010-03-04T00:00:00"/>
    <x v="2"/>
    <x v="1"/>
    <x v="0"/>
    <x v="15"/>
    <x v="3"/>
    <n v="59567"/>
    <n v="64309.78"/>
    <n v="4742.7799999999988"/>
    <n v="7.9620931052428345E-2"/>
  </r>
  <r>
    <x v="1"/>
    <d v="2010-03-04T00:00:00"/>
    <x v="2"/>
    <x v="1"/>
    <x v="0"/>
    <x v="16"/>
    <x v="3"/>
    <n v="5743.6"/>
    <n v="6481.14"/>
    <n v="737.54"/>
    <n v="0.12841075283794134"/>
  </r>
  <r>
    <x v="1"/>
    <d v="2010-03-04T00:00:00"/>
    <x v="2"/>
    <x v="1"/>
    <x v="0"/>
    <x v="17"/>
    <x v="4"/>
    <n v="39107.440000000002"/>
    <n v="45893.4"/>
    <n v="6785.9599999999991"/>
    <n v="0.17352094639792323"/>
  </r>
  <r>
    <x v="1"/>
    <d v="2010-03-04T00:00:00"/>
    <x v="2"/>
    <x v="1"/>
    <x v="0"/>
    <x v="20"/>
    <x v="5"/>
    <n v="5834.82"/>
    <n v="9079.09"/>
    <n v="3244.2700000000004"/>
    <n v="0.55601886604899564"/>
  </r>
  <r>
    <x v="1"/>
    <d v="2010-03-04T00:00:00"/>
    <x v="2"/>
    <x v="1"/>
    <x v="0"/>
    <x v="22"/>
    <x v="6"/>
    <n v="12634"/>
    <n v="14150.71"/>
    <n v="1516.7099999999991"/>
    <n v="0.1200498654424568"/>
  </r>
  <r>
    <x v="1"/>
    <d v="2010-03-04T00:00:00"/>
    <x v="2"/>
    <x v="1"/>
    <x v="0"/>
    <x v="23"/>
    <x v="6"/>
    <n v="50208.84"/>
    <n v="55212.38"/>
    <n v="5003.5400000000009"/>
    <n v="9.9654562822005077E-2"/>
  </r>
  <r>
    <x v="1"/>
    <d v="2010-03-04T00:00:00"/>
    <x v="2"/>
    <x v="1"/>
    <x v="0"/>
    <x v="24"/>
    <x v="6"/>
    <n v="72980.850000000006"/>
    <n v="77066.789999999994"/>
    <n v="4085.9399999999878"/>
    <n v="5.5986467682960492E-2"/>
  </r>
  <r>
    <x v="1"/>
    <d v="2010-03-04T00:00:00"/>
    <x v="2"/>
    <x v="1"/>
    <x v="0"/>
    <x v="25"/>
    <x v="6"/>
    <n v="58998.49"/>
    <n v="61909.53"/>
    <n v="2911.0400000000009"/>
    <n v="4.9340923810083967E-2"/>
  </r>
  <r>
    <x v="1"/>
    <d v="2010-03-05T00:00:00"/>
    <x v="2"/>
    <x v="1"/>
    <x v="0"/>
    <x v="0"/>
    <x v="0"/>
    <n v="1318"/>
    <n v="1504.65"/>
    <n v="186.65000000000009"/>
    <n v="0.14161608497723832"/>
  </r>
  <r>
    <x v="1"/>
    <d v="2010-03-05T00:00:00"/>
    <x v="2"/>
    <x v="1"/>
    <x v="0"/>
    <x v="1"/>
    <x v="0"/>
    <n v="45919.21"/>
    <n v="52901.98"/>
    <n v="6982.7700000000041"/>
    <n v="0.15206642274551335"/>
  </r>
  <r>
    <x v="1"/>
    <d v="2010-03-05T00:00:00"/>
    <x v="2"/>
    <x v="1"/>
    <x v="0"/>
    <x v="2"/>
    <x v="0"/>
    <n v="204618.2"/>
    <n v="215991.48"/>
    <n v="11373.279999999999"/>
    <n v="5.558293446037546E-2"/>
  </r>
  <r>
    <x v="1"/>
    <d v="2010-03-05T00:00:00"/>
    <x v="2"/>
    <x v="1"/>
    <x v="0"/>
    <x v="4"/>
    <x v="0"/>
    <n v="2837"/>
    <n v="3149.82"/>
    <n v="312.82000000000016"/>
    <n v="0.11026436376454006"/>
  </r>
  <r>
    <x v="1"/>
    <d v="2010-03-05T00:00:00"/>
    <x v="2"/>
    <x v="1"/>
    <x v="0"/>
    <x v="5"/>
    <x v="1"/>
    <n v="53128.76"/>
    <n v="60450.82"/>
    <n v="7322.0599999999977"/>
    <n v="0.13781725754563059"/>
  </r>
  <r>
    <x v="1"/>
    <d v="2010-03-05T00:00:00"/>
    <x v="2"/>
    <x v="1"/>
    <x v="0"/>
    <x v="6"/>
    <x v="1"/>
    <n v="145602.13"/>
    <n v="153331.25"/>
    <n v="7729.1199999999953"/>
    <n v="5.3083838814720605E-2"/>
  </r>
  <r>
    <x v="1"/>
    <d v="2010-03-05T00:00:00"/>
    <x v="2"/>
    <x v="1"/>
    <x v="0"/>
    <x v="7"/>
    <x v="1"/>
    <n v="27363.360000000001"/>
    <n v="31000.959999999999"/>
    <n v="3637.5999999999985"/>
    <n v="0.13293689079118934"/>
  </r>
  <r>
    <x v="1"/>
    <d v="2010-03-05T00:00:00"/>
    <x v="2"/>
    <x v="1"/>
    <x v="0"/>
    <x v="8"/>
    <x v="1"/>
    <n v="64665.919999999998"/>
    <n v="68866.679999999993"/>
    <n v="4200.7599999999948"/>
    <n v="6.4960956250216417E-2"/>
  </r>
  <r>
    <x v="1"/>
    <d v="2010-03-05T00:00:00"/>
    <x v="2"/>
    <x v="1"/>
    <x v="0"/>
    <x v="9"/>
    <x v="2"/>
    <n v="248540.43"/>
    <n v="267612.44"/>
    <n v="19072.010000000009"/>
    <n v="7.6736046525710158E-2"/>
  </r>
  <r>
    <x v="1"/>
    <d v="2010-03-05T00:00:00"/>
    <x v="2"/>
    <x v="1"/>
    <x v="0"/>
    <x v="10"/>
    <x v="2"/>
    <n v="66279.06"/>
    <n v="68981.13"/>
    <n v="2702.070000000007"/>
    <n v="4.0768079692138165E-2"/>
  </r>
  <r>
    <x v="1"/>
    <d v="2010-03-05T00:00:00"/>
    <x v="2"/>
    <x v="1"/>
    <x v="0"/>
    <x v="11"/>
    <x v="2"/>
    <n v="55180.99"/>
    <n v="59440.17"/>
    <n v="4259.18"/>
    <n v="7.7185639474753903E-2"/>
  </r>
  <r>
    <x v="1"/>
    <d v="2010-03-05T00:00:00"/>
    <x v="2"/>
    <x v="1"/>
    <x v="0"/>
    <x v="12"/>
    <x v="2"/>
    <n v="240"/>
    <n v="271.17"/>
    <n v="31.170000000000016"/>
    <n v="0.12987500000000007"/>
  </r>
  <r>
    <x v="1"/>
    <d v="2010-03-05T00:00:00"/>
    <x v="2"/>
    <x v="1"/>
    <x v="0"/>
    <x v="13"/>
    <x v="3"/>
    <n v="3448.62"/>
    <n v="3966.38"/>
    <n v="517.76000000000022"/>
    <n v="0.15013541648543482"/>
  </r>
  <r>
    <x v="1"/>
    <d v="2010-03-05T00:00:00"/>
    <x v="2"/>
    <x v="1"/>
    <x v="0"/>
    <x v="15"/>
    <x v="3"/>
    <n v="63816"/>
    <n v="69468.75"/>
    <n v="5652.75"/>
    <n v="8.8578883038736372E-2"/>
  </r>
  <r>
    <x v="1"/>
    <d v="2010-03-05T00:00:00"/>
    <x v="2"/>
    <x v="1"/>
    <x v="0"/>
    <x v="16"/>
    <x v="3"/>
    <n v="10904.44"/>
    <n v="12336.79"/>
    <n v="1432.3500000000004"/>
    <n v="0.13135475090880414"/>
  </r>
  <r>
    <x v="1"/>
    <d v="2010-03-05T00:00:00"/>
    <x v="2"/>
    <x v="1"/>
    <x v="0"/>
    <x v="17"/>
    <x v="4"/>
    <n v="56540.76"/>
    <n v="63201.63"/>
    <n v="6660.8699999999953"/>
    <n v="0.11780651692690362"/>
  </r>
  <r>
    <x v="1"/>
    <d v="2010-03-05T00:00:00"/>
    <x v="2"/>
    <x v="1"/>
    <x v="0"/>
    <x v="20"/>
    <x v="5"/>
    <n v="1481"/>
    <n v="3025.03"/>
    <n v="1544.0300000000002"/>
    <n v="1.0425590817015531"/>
  </r>
  <r>
    <x v="1"/>
    <d v="2010-03-05T00:00:00"/>
    <x v="2"/>
    <x v="1"/>
    <x v="0"/>
    <x v="22"/>
    <x v="6"/>
    <n v="3198"/>
    <n v="3555.16"/>
    <n v="357.15999999999985"/>
    <n v="0.11168230143839895"/>
  </r>
  <r>
    <x v="1"/>
    <d v="2010-03-05T00:00:00"/>
    <x v="2"/>
    <x v="1"/>
    <x v="0"/>
    <x v="23"/>
    <x v="6"/>
    <n v="51903.06"/>
    <n v="57420.35"/>
    <n v="5517.2900000000009"/>
    <n v="0.10629989831042719"/>
  </r>
  <r>
    <x v="1"/>
    <d v="2010-03-05T00:00:00"/>
    <x v="2"/>
    <x v="1"/>
    <x v="0"/>
    <x v="24"/>
    <x v="6"/>
    <n v="74341.31"/>
    <n v="82106.42"/>
    <n v="7765.1100000000006"/>
    <n v="0.10445215452888845"/>
  </r>
  <r>
    <x v="1"/>
    <d v="2010-03-05T00:00:00"/>
    <x v="2"/>
    <x v="1"/>
    <x v="0"/>
    <x v="25"/>
    <x v="6"/>
    <n v="86344.77"/>
    <n v="90131.26"/>
    <n v="3786.4899999999907"/>
    <n v="4.3853148256692218E-2"/>
  </r>
  <r>
    <x v="1"/>
    <d v="2010-03-06T00:00:00"/>
    <x v="2"/>
    <x v="1"/>
    <x v="0"/>
    <x v="0"/>
    <x v="0"/>
    <n v="3015"/>
    <n v="3473.35"/>
    <n v="458.34999999999991"/>
    <n v="0.1520232172470978"/>
  </r>
  <r>
    <x v="1"/>
    <d v="2010-03-06T00:00:00"/>
    <x v="2"/>
    <x v="1"/>
    <x v="0"/>
    <x v="1"/>
    <x v="0"/>
    <n v="68274.17"/>
    <n v="80484.77"/>
    <n v="12210.600000000006"/>
    <n v="0.17884655353554654"/>
  </r>
  <r>
    <x v="1"/>
    <d v="2010-03-06T00:00:00"/>
    <x v="2"/>
    <x v="1"/>
    <x v="0"/>
    <x v="2"/>
    <x v="0"/>
    <n v="175893.87"/>
    <n v="185176.71"/>
    <n v="9282.8399999999965"/>
    <n v="5.2775233156220833E-2"/>
  </r>
  <r>
    <x v="1"/>
    <d v="2010-03-06T00:00:00"/>
    <x v="2"/>
    <x v="1"/>
    <x v="0"/>
    <x v="4"/>
    <x v="0"/>
    <n v="12604.82"/>
    <n v="13921.78"/>
    <n v="1316.9600000000009"/>
    <n v="0.10448066691948009"/>
  </r>
  <r>
    <x v="1"/>
    <d v="2010-03-06T00:00:00"/>
    <x v="2"/>
    <x v="1"/>
    <x v="0"/>
    <x v="5"/>
    <x v="1"/>
    <n v="73775.740000000005"/>
    <n v="83237.649999999994"/>
    <n v="9461.9099999999889"/>
    <n v="0.12825232251143789"/>
  </r>
  <r>
    <x v="1"/>
    <d v="2010-03-06T00:00:00"/>
    <x v="2"/>
    <x v="1"/>
    <x v="0"/>
    <x v="6"/>
    <x v="1"/>
    <n v="338462.83"/>
    <n v="357330.92"/>
    <n v="18868.089999999967"/>
    <n v="5.5746416822195707E-2"/>
  </r>
  <r>
    <x v="1"/>
    <d v="2010-03-06T00:00:00"/>
    <x v="2"/>
    <x v="1"/>
    <x v="0"/>
    <x v="7"/>
    <x v="1"/>
    <n v="83545.679999999993"/>
    <n v="93071.16"/>
    <n v="9525.4800000000105"/>
    <n v="0.11401523094910486"/>
  </r>
  <r>
    <x v="1"/>
    <d v="2010-03-06T00:00:00"/>
    <x v="2"/>
    <x v="1"/>
    <x v="0"/>
    <x v="8"/>
    <x v="1"/>
    <n v="125282.75"/>
    <n v="132781.76999999999"/>
    <n v="7499.0199999999895"/>
    <n v="5.9856763999832294E-2"/>
  </r>
  <r>
    <x v="1"/>
    <d v="2010-03-06T00:00:00"/>
    <x v="2"/>
    <x v="1"/>
    <x v="0"/>
    <x v="9"/>
    <x v="2"/>
    <n v="348904.58"/>
    <n v="379161.35"/>
    <n v="30256.76999999996"/>
    <n v="8.6719325954391191E-2"/>
  </r>
  <r>
    <x v="1"/>
    <d v="2010-03-06T00:00:00"/>
    <x v="2"/>
    <x v="1"/>
    <x v="0"/>
    <x v="10"/>
    <x v="2"/>
    <n v="71402.009999999995"/>
    <n v="76006.649999999994"/>
    <n v="4604.6399999999994"/>
    <n v="6.4488940857547278E-2"/>
  </r>
  <r>
    <x v="1"/>
    <d v="2010-03-06T00:00:00"/>
    <x v="2"/>
    <x v="1"/>
    <x v="0"/>
    <x v="11"/>
    <x v="2"/>
    <n v="73734.990000000005"/>
    <n v="80993.25"/>
    <n v="7258.2599999999948"/>
    <n v="9.843711920215889E-2"/>
  </r>
  <r>
    <x v="1"/>
    <d v="2010-03-06T00:00:00"/>
    <x v="2"/>
    <x v="1"/>
    <x v="0"/>
    <x v="12"/>
    <x v="2"/>
    <n v="500"/>
    <n v="567.74"/>
    <n v="67.740000000000009"/>
    <n v="0.13548000000000002"/>
  </r>
  <r>
    <x v="1"/>
    <d v="2010-03-06T00:00:00"/>
    <x v="2"/>
    <x v="1"/>
    <x v="0"/>
    <x v="13"/>
    <x v="3"/>
    <n v="8206.8799999999992"/>
    <n v="9435.33"/>
    <n v="1228.4500000000007"/>
    <n v="0.14968538592010616"/>
  </r>
  <r>
    <x v="1"/>
    <d v="2010-03-06T00:00:00"/>
    <x v="2"/>
    <x v="1"/>
    <x v="0"/>
    <x v="15"/>
    <x v="3"/>
    <n v="125224.23"/>
    <n v="138937.72"/>
    <n v="13713.490000000005"/>
    <n v="0.10951147393759184"/>
  </r>
  <r>
    <x v="1"/>
    <d v="2010-03-06T00:00:00"/>
    <x v="2"/>
    <x v="1"/>
    <x v="0"/>
    <x v="16"/>
    <x v="3"/>
    <n v="19727.66"/>
    <n v="22347.52"/>
    <n v="2619.8600000000006"/>
    <n v="0.13280135606554455"/>
  </r>
  <r>
    <x v="1"/>
    <d v="2010-03-06T00:00:00"/>
    <x v="2"/>
    <x v="1"/>
    <x v="0"/>
    <x v="17"/>
    <x v="4"/>
    <n v="132610.79999999999"/>
    <n v="146346.78"/>
    <n v="13735.98000000001"/>
    <n v="0.10358115628591345"/>
  </r>
  <r>
    <x v="1"/>
    <d v="2010-03-06T00:00:00"/>
    <x v="2"/>
    <x v="1"/>
    <x v="0"/>
    <x v="20"/>
    <x v="5"/>
    <n v="6016.82"/>
    <n v="9140.0499999999993"/>
    <n v="3123.2299999999996"/>
    <n v="0.51908317017959649"/>
  </r>
  <r>
    <x v="1"/>
    <d v="2010-03-06T00:00:00"/>
    <x v="2"/>
    <x v="1"/>
    <x v="0"/>
    <x v="22"/>
    <x v="6"/>
    <n v="1608"/>
    <n v="1800.83"/>
    <n v="192.82999999999993"/>
    <n v="0.11991915422885567"/>
  </r>
  <r>
    <x v="1"/>
    <d v="2010-03-06T00:00:00"/>
    <x v="2"/>
    <x v="1"/>
    <x v="0"/>
    <x v="23"/>
    <x v="6"/>
    <n v="69115.91"/>
    <n v="76270.899999999994"/>
    <n v="7154.9899999999907"/>
    <n v="0.10352160595150943"/>
  </r>
  <r>
    <x v="1"/>
    <d v="2010-03-06T00:00:00"/>
    <x v="2"/>
    <x v="1"/>
    <x v="0"/>
    <x v="24"/>
    <x v="6"/>
    <n v="130342.71"/>
    <n v="140430.96"/>
    <n v="10088.249999999985"/>
    <n v="7.7397884392613789E-2"/>
  </r>
  <r>
    <x v="1"/>
    <d v="2010-03-06T00:00:00"/>
    <x v="2"/>
    <x v="1"/>
    <x v="0"/>
    <x v="25"/>
    <x v="6"/>
    <n v="170241.96"/>
    <n v="175911.62"/>
    <n v="5669.6600000000035"/>
    <n v="3.3303540443260893E-2"/>
  </r>
  <r>
    <x v="1"/>
    <d v="2010-03-07T00:00:00"/>
    <x v="3"/>
    <x v="1"/>
    <x v="0"/>
    <x v="0"/>
    <x v="0"/>
    <n v="3291"/>
    <n v="3733.3"/>
    <n v="442.30000000000018"/>
    <n v="0.1343968398663021"/>
  </r>
  <r>
    <x v="1"/>
    <d v="2010-03-07T00:00:00"/>
    <x v="3"/>
    <x v="1"/>
    <x v="0"/>
    <x v="1"/>
    <x v="0"/>
    <n v="48701.52"/>
    <n v="51784.76"/>
    <n v="3083.2400000000052"/>
    <n v="6.330890699099341E-2"/>
  </r>
  <r>
    <x v="1"/>
    <d v="2010-03-07T00:00:00"/>
    <x v="3"/>
    <x v="1"/>
    <x v="0"/>
    <x v="2"/>
    <x v="0"/>
    <n v="53216.19"/>
    <n v="58150.7"/>
    <n v="4934.5099999999948"/>
    <n v="9.2725728767880503E-2"/>
  </r>
  <r>
    <x v="1"/>
    <d v="2010-03-07T00:00:00"/>
    <x v="3"/>
    <x v="1"/>
    <x v="0"/>
    <x v="4"/>
    <x v="0"/>
    <n v="4142"/>
    <n v="4534.59"/>
    <n v="392.59000000000015"/>
    <n v="9.4782713664896226E-2"/>
  </r>
  <r>
    <x v="1"/>
    <d v="2010-03-07T00:00:00"/>
    <x v="3"/>
    <x v="1"/>
    <x v="0"/>
    <x v="5"/>
    <x v="1"/>
    <n v="70185.97"/>
    <n v="78844.070000000007"/>
    <n v="8658.1000000000058"/>
    <n v="0.12335941214462101"/>
  </r>
  <r>
    <x v="1"/>
    <d v="2010-03-07T00:00:00"/>
    <x v="3"/>
    <x v="1"/>
    <x v="0"/>
    <x v="6"/>
    <x v="1"/>
    <n v="228615.79"/>
    <n v="241460.18"/>
    <n v="12844.389999999985"/>
    <n v="5.6183302124494482E-2"/>
  </r>
  <r>
    <x v="1"/>
    <d v="2010-03-07T00:00:00"/>
    <x v="3"/>
    <x v="1"/>
    <x v="0"/>
    <x v="7"/>
    <x v="1"/>
    <n v="52525.3"/>
    <n v="59317.65"/>
    <n v="6792.3499999999985"/>
    <n v="0.12931577734920122"/>
  </r>
  <r>
    <x v="1"/>
    <d v="2010-03-07T00:00:00"/>
    <x v="3"/>
    <x v="1"/>
    <x v="0"/>
    <x v="8"/>
    <x v="1"/>
    <n v="95620.17"/>
    <n v="101045.37"/>
    <n v="5425.1999999999971"/>
    <n v="5.6736983420966489E-2"/>
  </r>
  <r>
    <x v="1"/>
    <d v="2010-03-07T00:00:00"/>
    <x v="3"/>
    <x v="1"/>
    <x v="0"/>
    <x v="9"/>
    <x v="2"/>
    <n v="317558.08"/>
    <n v="344886.88"/>
    <n v="27328.799999999988"/>
    <n v="8.6059217891731765E-2"/>
  </r>
  <r>
    <x v="1"/>
    <d v="2010-03-07T00:00:00"/>
    <x v="3"/>
    <x v="1"/>
    <x v="0"/>
    <x v="10"/>
    <x v="2"/>
    <n v="84223.81"/>
    <n v="88509.17"/>
    <n v="4285.3600000000006"/>
    <n v="5.0880623899583748E-2"/>
  </r>
  <r>
    <x v="1"/>
    <d v="2010-03-07T00:00:00"/>
    <x v="3"/>
    <x v="1"/>
    <x v="0"/>
    <x v="11"/>
    <x v="2"/>
    <n v="70653.490000000005"/>
    <n v="75747.64"/>
    <n v="5094.1499999999942"/>
    <n v="7.2100472319201692E-2"/>
  </r>
  <r>
    <x v="1"/>
    <d v="2010-03-07T00:00:00"/>
    <x v="3"/>
    <x v="1"/>
    <x v="0"/>
    <x v="12"/>
    <x v="2"/>
    <n v="820"/>
    <n v="926.08"/>
    <n v="106.08000000000004"/>
    <n v="0.12936585365853664"/>
  </r>
  <r>
    <x v="1"/>
    <d v="2010-03-07T00:00:00"/>
    <x v="3"/>
    <x v="1"/>
    <x v="0"/>
    <x v="13"/>
    <x v="3"/>
    <n v="6274.04"/>
    <n v="7211.98"/>
    <n v="937.9399999999996"/>
    <n v="0.14949538096664983"/>
  </r>
  <r>
    <x v="1"/>
    <d v="2010-03-07T00:00:00"/>
    <x v="3"/>
    <x v="1"/>
    <x v="0"/>
    <x v="15"/>
    <x v="3"/>
    <n v="94608.85"/>
    <n v="104908.26"/>
    <n v="10299.409999999989"/>
    <n v="0.10886307147798528"/>
  </r>
  <r>
    <x v="1"/>
    <d v="2010-03-07T00:00:00"/>
    <x v="3"/>
    <x v="1"/>
    <x v="0"/>
    <x v="16"/>
    <x v="3"/>
    <n v="15766.98"/>
    <n v="17831.32"/>
    <n v="2064.34"/>
    <n v="0.1309280534382615"/>
  </r>
  <r>
    <x v="1"/>
    <d v="2010-03-07T00:00:00"/>
    <x v="3"/>
    <x v="1"/>
    <x v="0"/>
    <x v="17"/>
    <x v="4"/>
    <n v="64592.54"/>
    <n v="72410.73"/>
    <n v="7818.1899999999951"/>
    <n v="0.12103859052454037"/>
  </r>
  <r>
    <x v="1"/>
    <d v="2010-03-07T00:00:00"/>
    <x v="3"/>
    <x v="1"/>
    <x v="0"/>
    <x v="20"/>
    <x v="5"/>
    <n v="3808"/>
    <n v="6241.37"/>
    <n v="2433.37"/>
    <n v="0.63901523109243696"/>
  </r>
  <r>
    <x v="1"/>
    <d v="2010-03-07T00:00:00"/>
    <x v="3"/>
    <x v="1"/>
    <x v="0"/>
    <x v="22"/>
    <x v="6"/>
    <n v="3023"/>
    <n v="3385.77"/>
    <n v="362.77"/>
    <n v="0.12000330797221302"/>
  </r>
  <r>
    <x v="1"/>
    <d v="2010-03-07T00:00:00"/>
    <x v="3"/>
    <x v="1"/>
    <x v="0"/>
    <x v="23"/>
    <x v="6"/>
    <n v="72884.990000000005"/>
    <n v="80831.839999999997"/>
    <n v="7946.8499999999913"/>
    <n v="0.10903273774202329"/>
  </r>
  <r>
    <x v="1"/>
    <d v="2010-03-07T00:00:00"/>
    <x v="3"/>
    <x v="1"/>
    <x v="0"/>
    <x v="24"/>
    <x v="6"/>
    <n v="102688.53"/>
    <n v="110255.63"/>
    <n v="7567.1000000000058"/>
    <n v="7.3689826896928073E-2"/>
  </r>
  <r>
    <x v="1"/>
    <d v="2010-03-07T00:00:00"/>
    <x v="3"/>
    <x v="1"/>
    <x v="0"/>
    <x v="25"/>
    <x v="6"/>
    <n v="127548.97"/>
    <n v="132091.26"/>
    <n v="4542.2900000000081"/>
    <n v="3.5612126072049097E-2"/>
  </r>
  <r>
    <x v="1"/>
    <d v="2010-03-08T00:00:00"/>
    <x v="3"/>
    <x v="1"/>
    <x v="0"/>
    <x v="0"/>
    <x v="0"/>
    <n v="1536"/>
    <n v="1852.78"/>
    <n v="316.77999999999997"/>
    <n v="0.20623697916666664"/>
  </r>
  <r>
    <x v="1"/>
    <d v="2010-03-08T00:00:00"/>
    <x v="3"/>
    <x v="1"/>
    <x v="0"/>
    <x v="1"/>
    <x v="0"/>
    <n v="32933.56"/>
    <n v="41414.6"/>
    <n v="8481.0400000000009"/>
    <n v="0.2575196850871877"/>
  </r>
  <r>
    <x v="1"/>
    <d v="2010-03-08T00:00:00"/>
    <x v="3"/>
    <x v="1"/>
    <x v="0"/>
    <x v="2"/>
    <x v="0"/>
    <n v="130814.83"/>
    <n v="137113.51999999999"/>
    <n v="6298.6899999999878"/>
    <n v="4.8149663153634704E-2"/>
  </r>
  <r>
    <x v="1"/>
    <d v="2010-03-08T00:00:00"/>
    <x v="3"/>
    <x v="1"/>
    <x v="0"/>
    <x v="4"/>
    <x v="0"/>
    <n v="2890.56"/>
    <n v="3176.42"/>
    <n v="285.86000000000013"/>
    <n v="9.8894331894165882E-2"/>
  </r>
  <r>
    <x v="1"/>
    <d v="2010-03-08T00:00:00"/>
    <x v="3"/>
    <x v="1"/>
    <x v="0"/>
    <x v="5"/>
    <x v="1"/>
    <n v="24166.74"/>
    <n v="27312.05"/>
    <n v="3145.3099999999977"/>
    <n v="0.13015036368165492"/>
  </r>
  <r>
    <x v="1"/>
    <d v="2010-03-08T00:00:00"/>
    <x v="3"/>
    <x v="1"/>
    <x v="0"/>
    <x v="6"/>
    <x v="1"/>
    <n v="117287.84"/>
    <n v="123181.06"/>
    <n v="5893.2200000000012"/>
    <n v="5.0245788480715488E-2"/>
  </r>
  <r>
    <x v="1"/>
    <d v="2010-03-08T00:00:00"/>
    <x v="3"/>
    <x v="1"/>
    <x v="0"/>
    <x v="7"/>
    <x v="1"/>
    <n v="22803"/>
    <n v="25617.95"/>
    <n v="2814.9500000000007"/>
    <n v="0.12344647634083238"/>
  </r>
  <r>
    <x v="1"/>
    <d v="2010-03-08T00:00:00"/>
    <x v="3"/>
    <x v="1"/>
    <x v="0"/>
    <x v="8"/>
    <x v="1"/>
    <n v="40793.49"/>
    <n v="43651.97"/>
    <n v="2858.4800000000032"/>
    <n v="7.0071964914009646E-2"/>
  </r>
  <r>
    <x v="1"/>
    <d v="2010-03-08T00:00:00"/>
    <x v="3"/>
    <x v="1"/>
    <x v="0"/>
    <x v="9"/>
    <x v="2"/>
    <n v="231612.43"/>
    <n v="248402.34"/>
    <n v="16789.910000000003"/>
    <n v="7.2491402987309467E-2"/>
  </r>
  <r>
    <x v="1"/>
    <d v="2010-03-08T00:00:00"/>
    <x v="3"/>
    <x v="1"/>
    <x v="0"/>
    <x v="10"/>
    <x v="2"/>
    <n v="-47858.2"/>
    <n v="50924.9"/>
    <n v="98783.1"/>
    <n v="-2.0640788830336287"/>
  </r>
  <r>
    <x v="1"/>
    <d v="2010-03-08T00:00:00"/>
    <x v="3"/>
    <x v="1"/>
    <x v="0"/>
    <x v="11"/>
    <x v="2"/>
    <n v="63445.98"/>
    <n v="67517.75"/>
    <n v="4071.7699999999968"/>
    <n v="6.4176958098842454E-2"/>
  </r>
  <r>
    <x v="1"/>
    <d v="2010-03-08T00:00:00"/>
    <x v="3"/>
    <x v="1"/>
    <x v="0"/>
    <x v="12"/>
    <x v="2"/>
    <n v="80"/>
    <n v="91.99"/>
    <n v="11.989999999999995"/>
    <n v="0.14987499999999992"/>
  </r>
  <r>
    <x v="1"/>
    <d v="2010-03-08T00:00:00"/>
    <x v="3"/>
    <x v="1"/>
    <x v="0"/>
    <x v="13"/>
    <x v="3"/>
    <n v="8328.64"/>
    <n v="9574.76"/>
    <n v="1246.1200000000008"/>
    <n v="0.14961866523225892"/>
  </r>
  <r>
    <x v="1"/>
    <d v="2010-03-08T00:00:00"/>
    <x v="3"/>
    <x v="1"/>
    <x v="0"/>
    <x v="15"/>
    <x v="3"/>
    <n v="44923.45"/>
    <n v="49848.62"/>
    <n v="4925.1700000000055"/>
    <n v="0.10963472306779658"/>
  </r>
  <r>
    <x v="1"/>
    <d v="2010-03-08T00:00:00"/>
    <x v="3"/>
    <x v="1"/>
    <x v="0"/>
    <x v="16"/>
    <x v="3"/>
    <n v="5207.58"/>
    <n v="5921.61"/>
    <n v="714.02999999999975"/>
    <n v="0.13711359210996274"/>
  </r>
  <r>
    <x v="1"/>
    <d v="2010-03-08T00:00:00"/>
    <x v="3"/>
    <x v="1"/>
    <x v="0"/>
    <x v="17"/>
    <x v="4"/>
    <n v="22249.41"/>
    <n v="24825.87"/>
    <n v="2576.4599999999991"/>
    <n v="0.11579902568202928"/>
  </r>
  <r>
    <x v="1"/>
    <d v="2010-03-08T00:00:00"/>
    <x v="3"/>
    <x v="1"/>
    <x v="0"/>
    <x v="20"/>
    <x v="5"/>
    <n v="3384"/>
    <n v="6390.95"/>
    <n v="3006.95"/>
    <n v="0.88857860520094556"/>
  </r>
  <r>
    <x v="1"/>
    <d v="2010-03-08T00:00:00"/>
    <x v="3"/>
    <x v="1"/>
    <x v="0"/>
    <x v="22"/>
    <x v="6"/>
    <n v="482"/>
    <n v="539.76"/>
    <n v="57.759999999999991"/>
    <n v="0.11983402489626555"/>
  </r>
  <r>
    <x v="1"/>
    <d v="2010-03-08T00:00:00"/>
    <x v="3"/>
    <x v="1"/>
    <x v="0"/>
    <x v="23"/>
    <x v="6"/>
    <n v="35191.279999999999"/>
    <n v="38627.93"/>
    <n v="3436.6500000000015"/>
    <n v="9.7656294400203736E-2"/>
  </r>
  <r>
    <x v="1"/>
    <d v="2010-03-08T00:00:00"/>
    <x v="3"/>
    <x v="1"/>
    <x v="0"/>
    <x v="24"/>
    <x v="6"/>
    <n v="48877.94"/>
    <n v="52131.93"/>
    <n v="3253.989999999998"/>
    <n v="6.6573795867829078E-2"/>
  </r>
  <r>
    <x v="1"/>
    <d v="2010-03-08T00:00:00"/>
    <x v="3"/>
    <x v="1"/>
    <x v="0"/>
    <x v="25"/>
    <x v="6"/>
    <n v="42419.46"/>
    <n v="43975.19"/>
    <n v="1555.7300000000032"/>
    <n v="3.6674912881965102E-2"/>
  </r>
  <r>
    <x v="1"/>
    <d v="2010-03-09T00:00:00"/>
    <x v="3"/>
    <x v="1"/>
    <x v="0"/>
    <x v="0"/>
    <x v="0"/>
    <n v="1264"/>
    <n v="1440.6"/>
    <n v="176.59999999999991"/>
    <n v="0.13971518987341766"/>
  </r>
  <r>
    <x v="1"/>
    <d v="2010-03-09T00:00:00"/>
    <x v="3"/>
    <x v="1"/>
    <x v="0"/>
    <x v="1"/>
    <x v="0"/>
    <n v="15517.69"/>
    <n v="14303.05"/>
    <n v="-1214.6400000000012"/>
    <n v="-7.827453699616381E-2"/>
  </r>
  <r>
    <x v="1"/>
    <d v="2010-03-09T00:00:00"/>
    <x v="3"/>
    <x v="1"/>
    <x v="0"/>
    <x v="2"/>
    <x v="0"/>
    <n v="11335.52"/>
    <n v="12786.32"/>
    <n v="1450.7999999999993"/>
    <n v="0.12798707072988263"/>
  </r>
  <r>
    <x v="1"/>
    <d v="2010-03-09T00:00:00"/>
    <x v="3"/>
    <x v="1"/>
    <x v="0"/>
    <x v="4"/>
    <x v="0"/>
    <n v="5357"/>
    <n v="6198.99"/>
    <n v="841.98999999999978"/>
    <n v="0.1571756580175471"/>
  </r>
  <r>
    <x v="1"/>
    <d v="2010-03-09T00:00:00"/>
    <x v="3"/>
    <x v="1"/>
    <x v="0"/>
    <x v="5"/>
    <x v="1"/>
    <n v="22683.14"/>
    <n v="25127.72"/>
    <n v="2444.5800000000017"/>
    <n v="0.10777079363791793"/>
  </r>
  <r>
    <x v="1"/>
    <d v="2010-03-09T00:00:00"/>
    <x v="3"/>
    <x v="1"/>
    <x v="0"/>
    <x v="6"/>
    <x v="1"/>
    <n v="110748.65"/>
    <n v="114984.91"/>
    <n v="4236.2600000000093"/>
    <n v="3.8251120894024528E-2"/>
  </r>
  <r>
    <x v="1"/>
    <d v="2010-03-09T00:00:00"/>
    <x v="3"/>
    <x v="1"/>
    <x v="0"/>
    <x v="7"/>
    <x v="1"/>
    <n v="12662"/>
    <n v="14354.23"/>
    <n v="1692.2299999999996"/>
    <n v="0.13364634338966985"/>
  </r>
  <r>
    <x v="1"/>
    <d v="2010-03-09T00:00:00"/>
    <x v="3"/>
    <x v="1"/>
    <x v="0"/>
    <x v="8"/>
    <x v="1"/>
    <n v="38316.36"/>
    <n v="40494.050000000003"/>
    <n v="2177.6900000000023"/>
    <n v="5.6834469662567173E-2"/>
  </r>
  <r>
    <x v="1"/>
    <d v="2010-03-09T00:00:00"/>
    <x v="3"/>
    <x v="1"/>
    <x v="0"/>
    <x v="9"/>
    <x v="2"/>
    <n v="72340.009999999995"/>
    <n v="78303.72"/>
    <n v="5963.7100000000064"/>
    <n v="8.2439994133260516E-2"/>
  </r>
  <r>
    <x v="1"/>
    <d v="2010-03-09T00:00:00"/>
    <x v="3"/>
    <x v="1"/>
    <x v="0"/>
    <x v="10"/>
    <x v="2"/>
    <n v="40118.6"/>
    <n v="42476.12"/>
    <n v="2357.5200000000041"/>
    <n v="5.8763765435483895E-2"/>
  </r>
  <r>
    <x v="1"/>
    <d v="2010-03-09T00:00:00"/>
    <x v="3"/>
    <x v="1"/>
    <x v="0"/>
    <x v="11"/>
    <x v="2"/>
    <n v="14107.49"/>
    <n v="15212.43"/>
    <n v="1104.9400000000005"/>
    <n v="7.8322933420473848E-2"/>
  </r>
  <r>
    <x v="1"/>
    <d v="2010-03-09T00:00:00"/>
    <x v="3"/>
    <x v="1"/>
    <x v="0"/>
    <x v="12"/>
    <x v="2"/>
    <n v="300"/>
    <n v="340.16"/>
    <n v="40.160000000000025"/>
    <n v="0.13386666666666674"/>
  </r>
  <r>
    <x v="1"/>
    <d v="2010-03-09T00:00:00"/>
    <x v="3"/>
    <x v="1"/>
    <x v="0"/>
    <x v="13"/>
    <x v="3"/>
    <n v="3242.54"/>
    <n v="3729.17"/>
    <n v="486.63000000000011"/>
    <n v="0.15007679165098969"/>
  </r>
  <r>
    <x v="1"/>
    <d v="2010-03-09T00:00:00"/>
    <x v="3"/>
    <x v="1"/>
    <x v="0"/>
    <x v="15"/>
    <x v="3"/>
    <n v="44866.22"/>
    <n v="48319.35"/>
    <n v="3453.1299999999974"/>
    <n v="7.6965030706843532E-2"/>
  </r>
  <r>
    <x v="1"/>
    <d v="2010-03-09T00:00:00"/>
    <x v="3"/>
    <x v="1"/>
    <x v="0"/>
    <x v="16"/>
    <x v="3"/>
    <n v="2440.7199999999998"/>
    <n v="2744.31"/>
    <n v="303.59000000000015"/>
    <n v="0.12438542725097519"/>
  </r>
  <r>
    <x v="1"/>
    <d v="2010-03-09T00:00:00"/>
    <x v="3"/>
    <x v="1"/>
    <x v="0"/>
    <x v="17"/>
    <x v="4"/>
    <n v="17090.63"/>
    <n v="18995.87"/>
    <n v="1905.239999999998"/>
    <n v="0.11147862893292979"/>
  </r>
  <r>
    <x v="1"/>
    <d v="2010-03-09T00:00:00"/>
    <x v="3"/>
    <x v="1"/>
    <x v="0"/>
    <x v="20"/>
    <x v="5"/>
    <n v="5687.64"/>
    <n v="7328.73"/>
    <n v="1641.0899999999992"/>
    <n v="0.28853619427389904"/>
  </r>
  <r>
    <x v="1"/>
    <d v="2010-03-09T00:00:00"/>
    <x v="3"/>
    <x v="1"/>
    <x v="0"/>
    <x v="22"/>
    <x v="6"/>
    <n v="2598"/>
    <n v="2909.5"/>
    <n v="311.5"/>
    <n v="0.11989992301770593"/>
  </r>
  <r>
    <x v="1"/>
    <d v="2010-03-09T00:00:00"/>
    <x v="3"/>
    <x v="1"/>
    <x v="0"/>
    <x v="23"/>
    <x v="6"/>
    <n v="21410.68"/>
    <n v="23391.13"/>
    <n v="1980.4500000000007"/>
    <n v="9.2498229855380615E-2"/>
  </r>
  <r>
    <x v="1"/>
    <d v="2010-03-09T00:00:00"/>
    <x v="3"/>
    <x v="1"/>
    <x v="0"/>
    <x v="24"/>
    <x v="6"/>
    <n v="29468.81"/>
    <n v="30734.73"/>
    <n v="1265.9199999999983"/>
    <n v="4.295796131570967E-2"/>
  </r>
  <r>
    <x v="1"/>
    <d v="2010-03-09T00:00:00"/>
    <x v="3"/>
    <x v="1"/>
    <x v="0"/>
    <x v="25"/>
    <x v="6"/>
    <n v="28875.83"/>
    <n v="29706.69"/>
    <n v="830.85999999999694"/>
    <n v="2.8773545210648382E-2"/>
  </r>
  <r>
    <x v="1"/>
    <d v="2010-03-10T00:00:00"/>
    <x v="3"/>
    <x v="1"/>
    <x v="0"/>
    <x v="0"/>
    <x v="0"/>
    <n v="40"/>
    <n v="41.99"/>
    <n v="1.990000000000002"/>
    <n v="4.9750000000000051E-2"/>
  </r>
  <r>
    <x v="1"/>
    <d v="2010-03-10T00:00:00"/>
    <x v="3"/>
    <x v="1"/>
    <x v="0"/>
    <x v="1"/>
    <x v="0"/>
    <n v="24426.62"/>
    <n v="20575.060000000001"/>
    <n v="-3851.5599999999977"/>
    <n v="-0.15767879469202034"/>
  </r>
  <r>
    <x v="1"/>
    <d v="2010-03-10T00:00:00"/>
    <x v="3"/>
    <x v="1"/>
    <x v="0"/>
    <x v="2"/>
    <x v="0"/>
    <n v="15634.31"/>
    <n v="17048.810000000001"/>
    <n v="1414.5000000000018"/>
    <n v="9.0474091917072258E-2"/>
  </r>
  <r>
    <x v="1"/>
    <d v="2010-03-10T00:00:00"/>
    <x v="3"/>
    <x v="1"/>
    <x v="0"/>
    <x v="4"/>
    <x v="0"/>
    <n v="4441"/>
    <n v="4971.17"/>
    <n v="530.17000000000007"/>
    <n v="0.11938077009682506"/>
  </r>
  <r>
    <x v="1"/>
    <d v="2010-03-10T00:00:00"/>
    <x v="3"/>
    <x v="1"/>
    <x v="0"/>
    <x v="5"/>
    <x v="1"/>
    <n v="42177"/>
    <n v="47535.93"/>
    <n v="5358.93"/>
    <n v="0.12705811224126895"/>
  </r>
  <r>
    <x v="1"/>
    <d v="2010-03-10T00:00:00"/>
    <x v="3"/>
    <x v="1"/>
    <x v="0"/>
    <x v="6"/>
    <x v="1"/>
    <n v="105245.86"/>
    <n v="112145.02"/>
    <n v="6899.1600000000035"/>
    <n v="6.5552792290357112E-2"/>
  </r>
  <r>
    <x v="1"/>
    <d v="2010-03-10T00:00:00"/>
    <x v="3"/>
    <x v="1"/>
    <x v="0"/>
    <x v="7"/>
    <x v="1"/>
    <n v="19367"/>
    <n v="21883.71"/>
    <n v="2516.7099999999991"/>
    <n v="0.12994836577683685"/>
  </r>
  <r>
    <x v="1"/>
    <d v="2010-03-10T00:00:00"/>
    <x v="3"/>
    <x v="1"/>
    <x v="0"/>
    <x v="8"/>
    <x v="1"/>
    <n v="40220.92"/>
    <n v="42741"/>
    <n v="2520.0800000000017"/>
    <n v="6.265595118162394E-2"/>
  </r>
  <r>
    <x v="1"/>
    <d v="2010-03-10T00:00:00"/>
    <x v="3"/>
    <x v="1"/>
    <x v="0"/>
    <x v="9"/>
    <x v="2"/>
    <n v="96459.51"/>
    <n v="105568.5"/>
    <n v="9108.9900000000052"/>
    <n v="9.4433301599811212E-2"/>
  </r>
  <r>
    <x v="1"/>
    <d v="2010-03-10T00:00:00"/>
    <x v="3"/>
    <x v="1"/>
    <x v="0"/>
    <x v="10"/>
    <x v="2"/>
    <n v="36942"/>
    <n v="38726.61"/>
    <n v="1784.6100000000006"/>
    <n v="4.8308429429917185E-2"/>
  </r>
  <r>
    <x v="1"/>
    <d v="2010-03-10T00:00:00"/>
    <x v="3"/>
    <x v="1"/>
    <x v="0"/>
    <x v="11"/>
    <x v="2"/>
    <n v="19502"/>
    <n v="20634.27"/>
    <n v="1132.2700000000004"/>
    <n v="5.8059173418110982E-2"/>
  </r>
  <r>
    <x v="1"/>
    <d v="2010-03-10T00:00:00"/>
    <x v="3"/>
    <x v="1"/>
    <x v="0"/>
    <x v="12"/>
    <x v="2"/>
    <n v="20"/>
    <n v="23"/>
    <n v="3"/>
    <n v="0.15"/>
  </r>
  <r>
    <x v="1"/>
    <d v="2010-03-10T00:00:00"/>
    <x v="3"/>
    <x v="1"/>
    <x v="0"/>
    <x v="13"/>
    <x v="3"/>
    <n v="4225.74"/>
    <n v="4859.6499999999996"/>
    <n v="633.90999999999985"/>
    <n v="0.15001159560219035"/>
  </r>
  <r>
    <x v="1"/>
    <d v="2010-03-10T00:00:00"/>
    <x v="3"/>
    <x v="1"/>
    <x v="0"/>
    <x v="15"/>
    <x v="3"/>
    <n v="98856.74"/>
    <n v="104559.49"/>
    <n v="5702.75"/>
    <n v="5.7687012539559768E-2"/>
  </r>
  <r>
    <x v="1"/>
    <d v="2010-03-10T00:00:00"/>
    <x v="3"/>
    <x v="1"/>
    <x v="0"/>
    <x v="16"/>
    <x v="3"/>
    <n v="2382.1799999999998"/>
    <n v="2699.46"/>
    <n v="317.2800000000002"/>
    <n v="0.13318892778883218"/>
  </r>
  <r>
    <x v="1"/>
    <d v="2010-03-10T00:00:00"/>
    <x v="3"/>
    <x v="1"/>
    <x v="0"/>
    <x v="17"/>
    <x v="4"/>
    <n v="36115.49"/>
    <n v="39057.129999999997"/>
    <n v="2941.6399999999994"/>
    <n v="8.1450923135751432E-2"/>
  </r>
  <r>
    <x v="1"/>
    <d v="2010-03-10T00:00:00"/>
    <x v="3"/>
    <x v="1"/>
    <x v="0"/>
    <x v="20"/>
    <x v="5"/>
    <n v="2777"/>
    <n v="4976"/>
    <n v="2199"/>
    <n v="0.79186172128195897"/>
  </r>
  <r>
    <x v="1"/>
    <d v="2010-03-10T00:00:00"/>
    <x v="3"/>
    <x v="1"/>
    <x v="0"/>
    <x v="22"/>
    <x v="6"/>
    <n v="1616"/>
    <n v="1810"/>
    <n v="194"/>
    <n v="0.12004950495049505"/>
  </r>
  <r>
    <x v="1"/>
    <d v="2010-03-10T00:00:00"/>
    <x v="3"/>
    <x v="1"/>
    <x v="0"/>
    <x v="23"/>
    <x v="6"/>
    <n v="17387.13"/>
    <n v="19068.21"/>
    <n v="1681.0799999999981"/>
    <n v="9.6685306890786346E-2"/>
  </r>
  <r>
    <x v="1"/>
    <d v="2010-03-10T00:00:00"/>
    <x v="3"/>
    <x v="1"/>
    <x v="0"/>
    <x v="24"/>
    <x v="6"/>
    <n v="49855.82"/>
    <n v="53739.57"/>
    <n v="3883.75"/>
    <n v="7.7899631377038828E-2"/>
  </r>
  <r>
    <x v="1"/>
    <d v="2010-03-10T00:00:00"/>
    <x v="3"/>
    <x v="1"/>
    <x v="0"/>
    <x v="25"/>
    <x v="6"/>
    <n v="65034.26"/>
    <n v="67043.289999999994"/>
    <n v="2009.0299999999916"/>
    <n v="3.0891871453599864E-2"/>
  </r>
  <r>
    <x v="1"/>
    <d v="2010-03-11T00:00:00"/>
    <x v="3"/>
    <x v="1"/>
    <x v="0"/>
    <x v="0"/>
    <x v="0"/>
    <n v="1040"/>
    <n v="1299.75"/>
    <n v="259.75"/>
    <n v="0.24975961538461539"/>
  </r>
  <r>
    <x v="1"/>
    <d v="2010-03-11T00:00:00"/>
    <x v="3"/>
    <x v="1"/>
    <x v="0"/>
    <x v="1"/>
    <x v="0"/>
    <n v="23938.12"/>
    <n v="26947.77"/>
    <n v="3009.6500000000015"/>
    <n v="0.12572624750815861"/>
  </r>
  <r>
    <x v="1"/>
    <d v="2010-03-11T00:00:00"/>
    <x v="3"/>
    <x v="1"/>
    <x v="0"/>
    <x v="2"/>
    <x v="0"/>
    <n v="17989.310000000001"/>
    <n v="20026.16"/>
    <n v="2036.8499999999985"/>
    <n v="0.11322557674530032"/>
  </r>
  <r>
    <x v="1"/>
    <d v="2010-03-11T00:00:00"/>
    <x v="3"/>
    <x v="1"/>
    <x v="0"/>
    <x v="3"/>
    <x v="0"/>
    <n v="810"/>
    <n v="931.9"/>
    <n v="121.89999999999998"/>
    <n v="0.15049382716049381"/>
  </r>
  <r>
    <x v="1"/>
    <d v="2010-03-11T00:00:00"/>
    <x v="3"/>
    <x v="1"/>
    <x v="0"/>
    <x v="4"/>
    <x v="0"/>
    <n v="5000.43"/>
    <n v="5430.54"/>
    <n v="430.10999999999967"/>
    <n v="8.6014602744163934E-2"/>
  </r>
  <r>
    <x v="1"/>
    <d v="2010-03-11T00:00:00"/>
    <x v="3"/>
    <x v="1"/>
    <x v="0"/>
    <x v="5"/>
    <x v="1"/>
    <n v="37916.870000000003"/>
    <n v="42162.71"/>
    <n v="4245.8399999999965"/>
    <n v="0.1119775973069506"/>
  </r>
  <r>
    <x v="1"/>
    <d v="2010-03-11T00:00:00"/>
    <x v="3"/>
    <x v="1"/>
    <x v="0"/>
    <x v="6"/>
    <x v="1"/>
    <n v="184459.5"/>
    <n v="191368.3"/>
    <n v="6908.7999999999884"/>
    <n v="3.7454292134587744E-2"/>
  </r>
  <r>
    <x v="1"/>
    <d v="2010-03-11T00:00:00"/>
    <x v="3"/>
    <x v="1"/>
    <x v="0"/>
    <x v="7"/>
    <x v="1"/>
    <n v="17224"/>
    <n v="19361.330000000002"/>
    <n v="2137.3300000000017"/>
    <n v="0.12409022294472839"/>
  </r>
  <r>
    <x v="1"/>
    <d v="2010-03-11T00:00:00"/>
    <x v="3"/>
    <x v="1"/>
    <x v="0"/>
    <x v="8"/>
    <x v="1"/>
    <n v="44278.33"/>
    <n v="47292.23"/>
    <n v="3013.9000000000015"/>
    <n v="6.8067156100964088E-2"/>
  </r>
  <r>
    <x v="1"/>
    <d v="2010-03-11T00:00:00"/>
    <x v="3"/>
    <x v="1"/>
    <x v="0"/>
    <x v="9"/>
    <x v="2"/>
    <n v="97055.06"/>
    <n v="104773.46"/>
    <n v="7718.4000000000087"/>
    <n v="7.9525992771525861E-2"/>
  </r>
  <r>
    <x v="1"/>
    <d v="2010-03-11T00:00:00"/>
    <x v="3"/>
    <x v="1"/>
    <x v="0"/>
    <x v="10"/>
    <x v="2"/>
    <n v="45816.5"/>
    <n v="48411.69"/>
    <n v="2595.1900000000023"/>
    <n v="5.664313074983908E-2"/>
  </r>
  <r>
    <x v="1"/>
    <d v="2010-03-11T00:00:00"/>
    <x v="3"/>
    <x v="1"/>
    <x v="0"/>
    <x v="11"/>
    <x v="2"/>
    <n v="19380"/>
    <n v="20996.34"/>
    <n v="1616.3400000000001"/>
    <n v="8.3402476780185766E-2"/>
  </r>
  <r>
    <x v="1"/>
    <d v="2010-03-11T00:00:00"/>
    <x v="3"/>
    <x v="1"/>
    <x v="0"/>
    <x v="13"/>
    <x v="3"/>
    <n v="5807.34"/>
    <n v="6676.96"/>
    <n v="869.61999999999989"/>
    <n v="0.14974497790726907"/>
  </r>
  <r>
    <x v="1"/>
    <d v="2010-03-11T00:00:00"/>
    <x v="3"/>
    <x v="1"/>
    <x v="0"/>
    <x v="15"/>
    <x v="3"/>
    <n v="53656.87"/>
    <n v="59396.26"/>
    <n v="5739.3899999999994"/>
    <n v="0.10696468131667015"/>
  </r>
  <r>
    <x v="1"/>
    <d v="2010-03-11T00:00:00"/>
    <x v="3"/>
    <x v="1"/>
    <x v="0"/>
    <x v="16"/>
    <x v="3"/>
    <n v="5871.84"/>
    <n v="6686.71"/>
    <n v="814.86999999999989"/>
    <n v="0.13877592032480446"/>
  </r>
  <r>
    <x v="1"/>
    <d v="2010-03-11T00:00:00"/>
    <x v="3"/>
    <x v="1"/>
    <x v="0"/>
    <x v="17"/>
    <x v="4"/>
    <n v="38382.620000000003"/>
    <n v="41537.370000000003"/>
    <n v="3154.75"/>
    <n v="8.2192148425511327E-2"/>
  </r>
  <r>
    <x v="1"/>
    <d v="2010-03-11T00:00:00"/>
    <x v="3"/>
    <x v="1"/>
    <x v="0"/>
    <x v="20"/>
    <x v="5"/>
    <n v="4833.6400000000003"/>
    <n v="5510.84"/>
    <n v="677.19999999999982"/>
    <n v="0.14010145563178056"/>
  </r>
  <r>
    <x v="1"/>
    <d v="2010-03-11T00:00:00"/>
    <x v="3"/>
    <x v="1"/>
    <x v="0"/>
    <x v="22"/>
    <x v="6"/>
    <n v="2007"/>
    <n v="2247.86"/>
    <n v="240.86000000000013"/>
    <n v="0.12000996512207281"/>
  </r>
  <r>
    <x v="1"/>
    <d v="2010-03-11T00:00:00"/>
    <x v="3"/>
    <x v="1"/>
    <x v="0"/>
    <x v="23"/>
    <x v="6"/>
    <n v="21299.84"/>
    <n v="23773.91"/>
    <n v="2474.0699999999997"/>
    <n v="0.11615439364802739"/>
  </r>
  <r>
    <x v="1"/>
    <d v="2010-03-11T00:00:00"/>
    <x v="3"/>
    <x v="1"/>
    <x v="0"/>
    <x v="24"/>
    <x v="6"/>
    <n v="71258.009999999995"/>
    <n v="74909.850000000006"/>
    <n v="3651.8400000000111"/>
    <n v="5.1248133367743656E-2"/>
  </r>
  <r>
    <x v="1"/>
    <d v="2010-03-11T00:00:00"/>
    <x v="3"/>
    <x v="1"/>
    <x v="0"/>
    <x v="25"/>
    <x v="6"/>
    <n v="64347.64"/>
    <n v="65809.509999999995"/>
    <n v="1461.8699999999953"/>
    <n v="2.2718315698912896E-2"/>
  </r>
  <r>
    <x v="1"/>
    <d v="2010-03-12T00:00:00"/>
    <x v="3"/>
    <x v="1"/>
    <x v="0"/>
    <x v="1"/>
    <x v="0"/>
    <n v="22229.83"/>
    <n v="24923.82"/>
    <n v="2693.989999999998"/>
    <n v="0.12118806126722506"/>
  </r>
  <r>
    <x v="1"/>
    <d v="2010-03-12T00:00:00"/>
    <x v="3"/>
    <x v="1"/>
    <x v="0"/>
    <x v="2"/>
    <x v="0"/>
    <n v="93888.15"/>
    <n v="103531.86"/>
    <n v="9643.7100000000064"/>
    <n v="0.10271487935378434"/>
  </r>
  <r>
    <x v="1"/>
    <d v="2010-03-12T00:00:00"/>
    <x v="3"/>
    <x v="1"/>
    <x v="0"/>
    <x v="4"/>
    <x v="0"/>
    <n v="284"/>
    <n v="301.95"/>
    <n v="17.949999999999989"/>
    <n v="6.3204225352112633E-2"/>
  </r>
  <r>
    <x v="1"/>
    <d v="2010-03-12T00:00:00"/>
    <x v="3"/>
    <x v="1"/>
    <x v="0"/>
    <x v="5"/>
    <x v="1"/>
    <n v="27501.5"/>
    <n v="31148.43"/>
    <n v="3646.9300000000003"/>
    <n v="0.13260840317800848"/>
  </r>
  <r>
    <x v="1"/>
    <d v="2010-03-12T00:00:00"/>
    <x v="3"/>
    <x v="1"/>
    <x v="0"/>
    <x v="6"/>
    <x v="1"/>
    <n v="137308.29"/>
    <n v="143018.66"/>
    <n v="5710.3699999999953"/>
    <n v="4.1587947821650061E-2"/>
  </r>
  <r>
    <x v="1"/>
    <d v="2010-03-12T00:00:00"/>
    <x v="3"/>
    <x v="1"/>
    <x v="0"/>
    <x v="7"/>
    <x v="1"/>
    <n v="14830"/>
    <n v="16731.48"/>
    <n v="1901.4799999999996"/>
    <n v="0.12821847606203637"/>
  </r>
  <r>
    <x v="1"/>
    <d v="2010-03-12T00:00:00"/>
    <x v="3"/>
    <x v="1"/>
    <x v="0"/>
    <x v="8"/>
    <x v="1"/>
    <n v="44780.35"/>
    <n v="47506.76"/>
    <n v="2726.4100000000035"/>
    <n v="6.0884070803377009E-2"/>
  </r>
  <r>
    <x v="1"/>
    <d v="2010-03-12T00:00:00"/>
    <x v="3"/>
    <x v="1"/>
    <x v="0"/>
    <x v="9"/>
    <x v="2"/>
    <n v="132274.97"/>
    <n v="140711.09"/>
    <n v="8436.1199999999953"/>
    <n v="6.3777145441801991E-2"/>
  </r>
  <r>
    <x v="1"/>
    <d v="2010-03-12T00:00:00"/>
    <x v="3"/>
    <x v="1"/>
    <x v="0"/>
    <x v="10"/>
    <x v="2"/>
    <n v="30078.22"/>
    <n v="31515.09"/>
    <n v="1436.869999999999"/>
    <n v="4.7771111455398585E-2"/>
  </r>
  <r>
    <x v="1"/>
    <d v="2010-03-12T00:00:00"/>
    <x v="3"/>
    <x v="1"/>
    <x v="0"/>
    <x v="11"/>
    <x v="2"/>
    <n v="30781.98"/>
    <n v="32831.19"/>
    <n v="2049.2100000000028"/>
    <n v="6.6571740999117113E-2"/>
  </r>
  <r>
    <x v="1"/>
    <d v="2010-03-12T00:00:00"/>
    <x v="3"/>
    <x v="1"/>
    <x v="0"/>
    <x v="12"/>
    <x v="2"/>
    <n v="20"/>
    <n v="22.98"/>
    <n v="2.9800000000000004"/>
    <n v="0.14900000000000002"/>
  </r>
  <r>
    <x v="1"/>
    <d v="2010-03-12T00:00:00"/>
    <x v="3"/>
    <x v="1"/>
    <x v="0"/>
    <x v="13"/>
    <x v="3"/>
    <n v="2767.52"/>
    <n v="3181.3"/>
    <n v="413.7800000000002"/>
    <n v="0.14951292131583518"/>
  </r>
  <r>
    <x v="1"/>
    <d v="2010-03-12T00:00:00"/>
    <x v="3"/>
    <x v="1"/>
    <x v="0"/>
    <x v="15"/>
    <x v="3"/>
    <n v="41917.480000000003"/>
    <n v="46005.08"/>
    <n v="4087.5999999999985"/>
    <n v="9.7515404074863241E-2"/>
  </r>
  <r>
    <x v="1"/>
    <d v="2010-03-12T00:00:00"/>
    <x v="3"/>
    <x v="1"/>
    <x v="0"/>
    <x v="16"/>
    <x v="3"/>
    <n v="8919.26"/>
    <n v="10100.6"/>
    <n v="1181.3400000000001"/>
    <n v="0.13244820758672807"/>
  </r>
  <r>
    <x v="1"/>
    <d v="2010-03-12T00:00:00"/>
    <x v="3"/>
    <x v="1"/>
    <x v="0"/>
    <x v="17"/>
    <x v="4"/>
    <n v="40468.879999999997"/>
    <n v="43888.02"/>
    <n v="3419.1399999999994"/>
    <n v="8.4488130138516304E-2"/>
  </r>
  <r>
    <x v="1"/>
    <d v="2010-03-12T00:00:00"/>
    <x v="3"/>
    <x v="1"/>
    <x v="0"/>
    <x v="20"/>
    <x v="5"/>
    <n v="2567"/>
    <n v="4811.1499999999996"/>
    <n v="2244.1499999999996"/>
    <n v="0.87423061940007774"/>
  </r>
  <r>
    <x v="1"/>
    <d v="2010-03-12T00:00:00"/>
    <x v="3"/>
    <x v="1"/>
    <x v="0"/>
    <x v="23"/>
    <x v="6"/>
    <n v="22119.200000000001"/>
    <n v="24303.75"/>
    <n v="2184.5499999999993"/>
    <n v="9.8762613476075053E-2"/>
  </r>
  <r>
    <x v="1"/>
    <d v="2010-03-12T00:00:00"/>
    <x v="3"/>
    <x v="1"/>
    <x v="0"/>
    <x v="24"/>
    <x v="6"/>
    <n v="35326.85"/>
    <n v="37075.68"/>
    <n v="1748.8300000000017"/>
    <n v="4.9504272246181071E-2"/>
  </r>
  <r>
    <x v="1"/>
    <d v="2010-03-12T00:00:00"/>
    <x v="3"/>
    <x v="1"/>
    <x v="0"/>
    <x v="25"/>
    <x v="6"/>
    <n v="61476.43"/>
    <n v="61935.34"/>
    <n v="458.90999999999622"/>
    <n v="7.4648121239310125E-3"/>
  </r>
  <r>
    <x v="1"/>
    <d v="2010-03-13T00:00:00"/>
    <x v="3"/>
    <x v="1"/>
    <x v="0"/>
    <x v="0"/>
    <x v="0"/>
    <n v="988"/>
    <n v="1234.82"/>
    <n v="246.81999999999994"/>
    <n v="0.24981781376518211"/>
  </r>
  <r>
    <x v="1"/>
    <d v="2010-03-13T00:00:00"/>
    <x v="3"/>
    <x v="1"/>
    <x v="0"/>
    <x v="1"/>
    <x v="0"/>
    <n v="34630.1"/>
    <n v="36574.080000000002"/>
    <n v="1943.9800000000032"/>
    <n v="5.6135558372629686E-2"/>
  </r>
  <r>
    <x v="1"/>
    <d v="2010-03-13T00:00:00"/>
    <x v="3"/>
    <x v="1"/>
    <x v="0"/>
    <x v="2"/>
    <x v="0"/>
    <n v="21065.46"/>
    <n v="23019.57"/>
    <n v="1954.1100000000006"/>
    <n v="9.2763699439746425E-2"/>
  </r>
  <r>
    <x v="1"/>
    <d v="2010-03-13T00:00:00"/>
    <x v="3"/>
    <x v="1"/>
    <x v="0"/>
    <x v="4"/>
    <x v="0"/>
    <n v="2644.21"/>
    <n v="2954.75"/>
    <n v="310.53999999999996"/>
    <n v="0.11744150426781533"/>
  </r>
  <r>
    <x v="1"/>
    <d v="2010-03-13T00:00:00"/>
    <x v="3"/>
    <x v="1"/>
    <x v="0"/>
    <x v="5"/>
    <x v="1"/>
    <n v="65880.539999999994"/>
    <n v="73779.39"/>
    <n v="7898.8500000000058"/>
    <n v="0.11989655822493268"/>
  </r>
  <r>
    <x v="1"/>
    <d v="2010-03-13T00:00:00"/>
    <x v="3"/>
    <x v="1"/>
    <x v="0"/>
    <x v="6"/>
    <x v="1"/>
    <n v="234401.85"/>
    <n v="246894.7"/>
    <n v="12492.850000000006"/>
    <n v="5.3296720994309585E-2"/>
  </r>
  <r>
    <x v="1"/>
    <d v="2010-03-13T00:00:00"/>
    <x v="3"/>
    <x v="1"/>
    <x v="0"/>
    <x v="7"/>
    <x v="1"/>
    <n v="36713"/>
    <n v="41456.050000000003"/>
    <n v="4743.0500000000029"/>
    <n v="0.12919265655217504"/>
  </r>
  <r>
    <x v="1"/>
    <d v="2010-03-13T00:00:00"/>
    <x v="3"/>
    <x v="1"/>
    <x v="0"/>
    <x v="8"/>
    <x v="1"/>
    <n v="89577.57"/>
    <n v="95329.18"/>
    <n v="5751.609999999986"/>
    <n v="6.4208149428478425E-2"/>
  </r>
  <r>
    <x v="1"/>
    <d v="2010-03-13T00:00:00"/>
    <x v="3"/>
    <x v="1"/>
    <x v="0"/>
    <x v="9"/>
    <x v="2"/>
    <n v="241713.01"/>
    <n v="256258.61"/>
    <n v="14545.599999999977"/>
    <n v="6.0177149752923834E-2"/>
  </r>
  <r>
    <x v="1"/>
    <d v="2010-03-13T00:00:00"/>
    <x v="3"/>
    <x v="1"/>
    <x v="0"/>
    <x v="10"/>
    <x v="2"/>
    <n v="53067"/>
    <n v="56094.68"/>
    <n v="3027.6800000000003"/>
    <n v="5.7053912977933559E-2"/>
  </r>
  <r>
    <x v="1"/>
    <d v="2010-03-13T00:00:00"/>
    <x v="3"/>
    <x v="1"/>
    <x v="0"/>
    <x v="11"/>
    <x v="2"/>
    <n v="70974.490000000005"/>
    <n v="74242.98"/>
    <n v="3268.4899999999907"/>
    <n v="4.6051616573785745E-2"/>
  </r>
  <r>
    <x v="1"/>
    <d v="2010-03-13T00:00:00"/>
    <x v="3"/>
    <x v="1"/>
    <x v="0"/>
    <x v="13"/>
    <x v="3"/>
    <n v="10367.780000000001"/>
    <n v="11921.66"/>
    <n v="1553.8799999999992"/>
    <n v="0.14987586542152698"/>
  </r>
  <r>
    <x v="1"/>
    <d v="2010-03-13T00:00:00"/>
    <x v="3"/>
    <x v="1"/>
    <x v="0"/>
    <x v="15"/>
    <x v="3"/>
    <n v="93582.63"/>
    <n v="102788.33"/>
    <n v="9205.6999999999971"/>
    <n v="9.8369750882188245E-2"/>
  </r>
  <r>
    <x v="1"/>
    <d v="2010-03-13T00:00:00"/>
    <x v="3"/>
    <x v="1"/>
    <x v="0"/>
    <x v="16"/>
    <x v="3"/>
    <n v="22289.759999999998"/>
    <n v="25273.58"/>
    <n v="2983.8200000000033"/>
    <n v="0.13386505731779991"/>
  </r>
  <r>
    <x v="1"/>
    <d v="2010-03-13T00:00:00"/>
    <x v="3"/>
    <x v="1"/>
    <x v="0"/>
    <x v="17"/>
    <x v="4"/>
    <n v="69970.22"/>
    <n v="77838.2"/>
    <n v="7867.9799999999959"/>
    <n v="0.11244755268741467"/>
  </r>
  <r>
    <x v="1"/>
    <d v="2010-03-13T00:00:00"/>
    <x v="3"/>
    <x v="1"/>
    <x v="0"/>
    <x v="20"/>
    <x v="5"/>
    <n v="3559"/>
    <n v="6300.31"/>
    <n v="2741.3100000000004"/>
    <n v="0.77024726046642322"/>
  </r>
  <r>
    <x v="1"/>
    <d v="2010-03-13T00:00:00"/>
    <x v="3"/>
    <x v="1"/>
    <x v="0"/>
    <x v="22"/>
    <x v="6"/>
    <n v="4162"/>
    <n v="4661.43"/>
    <n v="499.43000000000029"/>
    <n v="0.11999759730898614"/>
  </r>
  <r>
    <x v="1"/>
    <d v="2010-03-13T00:00:00"/>
    <x v="3"/>
    <x v="1"/>
    <x v="0"/>
    <x v="23"/>
    <x v="6"/>
    <n v="35963.07"/>
    <n v="40203.449999999997"/>
    <n v="4240.3799999999974"/>
    <n v="0.11790928861190098"/>
  </r>
  <r>
    <x v="1"/>
    <d v="2010-03-13T00:00:00"/>
    <x v="3"/>
    <x v="1"/>
    <x v="0"/>
    <x v="24"/>
    <x v="6"/>
    <n v="81556.039999999994"/>
    <n v="86063.67"/>
    <n v="4507.6300000000047"/>
    <n v="5.5270339266104695E-2"/>
  </r>
  <r>
    <x v="1"/>
    <d v="2010-03-13T00:00:00"/>
    <x v="3"/>
    <x v="1"/>
    <x v="0"/>
    <x v="25"/>
    <x v="6"/>
    <n v="134725.87"/>
    <n v="138200.82"/>
    <n v="3474.9500000000116"/>
    <n v="2.5792744927162183E-2"/>
  </r>
  <r>
    <x v="1"/>
    <d v="2010-03-14T00:00:00"/>
    <x v="4"/>
    <x v="1"/>
    <x v="0"/>
    <x v="0"/>
    <x v="0"/>
    <n v="52"/>
    <n v="64.97"/>
    <n v="12.969999999999999"/>
    <n v="0.24942307692307691"/>
  </r>
  <r>
    <x v="1"/>
    <d v="2010-03-14T00:00:00"/>
    <x v="4"/>
    <x v="1"/>
    <x v="0"/>
    <x v="1"/>
    <x v="0"/>
    <n v="32556.080000000002"/>
    <n v="31186.05"/>
    <n v="-1370.0300000000025"/>
    <n v="-4.2082154854024272E-2"/>
  </r>
  <r>
    <x v="1"/>
    <d v="2010-03-14T00:00:00"/>
    <x v="4"/>
    <x v="1"/>
    <x v="0"/>
    <x v="2"/>
    <x v="0"/>
    <n v="21335.22"/>
    <n v="23402.78"/>
    <n v="2067.5599999999977"/>
    <n v="9.6908304671805473E-2"/>
  </r>
  <r>
    <x v="1"/>
    <d v="2010-03-14T00:00:00"/>
    <x v="4"/>
    <x v="1"/>
    <x v="0"/>
    <x v="4"/>
    <x v="0"/>
    <n v="1084.03"/>
    <n v="1180.9100000000001"/>
    <n v="96.880000000000109"/>
    <n v="8.9370220381354865E-2"/>
  </r>
  <r>
    <x v="1"/>
    <d v="2010-03-14T00:00:00"/>
    <x v="4"/>
    <x v="1"/>
    <x v="0"/>
    <x v="5"/>
    <x v="1"/>
    <n v="39419.79"/>
    <n v="44302.48"/>
    <n v="4882.6900000000023"/>
    <n v="0.12386392723045968"/>
  </r>
  <r>
    <x v="1"/>
    <d v="2010-03-14T00:00:00"/>
    <x v="4"/>
    <x v="1"/>
    <x v="0"/>
    <x v="6"/>
    <x v="1"/>
    <n v="182495.08"/>
    <n v="193011.94"/>
    <n v="10516.860000000015"/>
    <n v="5.7628183729665564E-2"/>
  </r>
  <r>
    <x v="1"/>
    <d v="2010-03-14T00:00:00"/>
    <x v="4"/>
    <x v="1"/>
    <x v="0"/>
    <x v="7"/>
    <x v="1"/>
    <n v="30349"/>
    <n v="33777.699999999997"/>
    <n v="3428.6999999999971"/>
    <n v="0.11297571583907204"/>
  </r>
  <r>
    <x v="1"/>
    <d v="2010-03-14T00:00:00"/>
    <x v="4"/>
    <x v="1"/>
    <x v="0"/>
    <x v="8"/>
    <x v="1"/>
    <n v="67916.11"/>
    <n v="71533.59"/>
    <n v="3617.4799999999959"/>
    <n v="5.3263945770745641E-2"/>
  </r>
  <r>
    <x v="1"/>
    <d v="2010-03-14T00:00:00"/>
    <x v="4"/>
    <x v="1"/>
    <x v="0"/>
    <x v="9"/>
    <x v="2"/>
    <n v="160994.49"/>
    <n v="170131.13"/>
    <n v="9136.640000000014"/>
    <n v="5.6751259002715028E-2"/>
  </r>
  <r>
    <x v="1"/>
    <d v="2010-03-14T00:00:00"/>
    <x v="4"/>
    <x v="1"/>
    <x v="0"/>
    <x v="10"/>
    <x v="2"/>
    <n v="56761.919999999998"/>
    <n v="60369.59"/>
    <n v="3607.6699999999983"/>
    <n v="6.3557927568341568E-2"/>
  </r>
  <r>
    <x v="1"/>
    <d v="2010-03-14T00:00:00"/>
    <x v="4"/>
    <x v="1"/>
    <x v="0"/>
    <x v="11"/>
    <x v="2"/>
    <n v="25285"/>
    <n v="27328.82"/>
    <n v="2043.8199999999997"/>
    <n v="8.0831322918726509E-2"/>
  </r>
  <r>
    <x v="1"/>
    <d v="2010-03-14T00:00:00"/>
    <x v="4"/>
    <x v="1"/>
    <x v="0"/>
    <x v="13"/>
    <x v="3"/>
    <n v="1399.7"/>
    <n v="1609.9"/>
    <n v="210.20000000000005"/>
    <n v="0.15017503750803746"/>
  </r>
  <r>
    <x v="1"/>
    <d v="2010-03-14T00:00:00"/>
    <x v="4"/>
    <x v="1"/>
    <x v="0"/>
    <x v="15"/>
    <x v="3"/>
    <n v="60743.38"/>
    <n v="66767.899999999994"/>
    <n v="6024.5199999999968"/>
    <n v="9.9179861245785095E-2"/>
  </r>
  <r>
    <x v="1"/>
    <d v="2010-03-14T00:00:00"/>
    <x v="4"/>
    <x v="1"/>
    <x v="0"/>
    <x v="16"/>
    <x v="3"/>
    <n v="5621.42"/>
    <n v="6379.54"/>
    <n v="758.11999999999989"/>
    <n v="0.13486272151876214"/>
  </r>
  <r>
    <x v="1"/>
    <d v="2010-03-14T00:00:00"/>
    <x v="4"/>
    <x v="1"/>
    <x v="0"/>
    <x v="17"/>
    <x v="4"/>
    <n v="36075.58"/>
    <n v="39969.08"/>
    <n v="3893.5"/>
    <n v="0.10792619273203646"/>
  </r>
  <r>
    <x v="1"/>
    <d v="2010-03-14T00:00:00"/>
    <x v="4"/>
    <x v="1"/>
    <x v="0"/>
    <x v="20"/>
    <x v="5"/>
    <n v="6797.64"/>
    <n v="8596"/>
    <n v="1798.3599999999997"/>
    <n v="0.26455652255782885"/>
  </r>
  <r>
    <x v="1"/>
    <d v="2010-03-14T00:00:00"/>
    <x v="4"/>
    <x v="1"/>
    <x v="0"/>
    <x v="22"/>
    <x v="6"/>
    <n v="1914"/>
    <n v="2144"/>
    <n v="230"/>
    <n v="0.12016718913270637"/>
  </r>
  <r>
    <x v="1"/>
    <d v="2010-03-14T00:00:00"/>
    <x v="4"/>
    <x v="1"/>
    <x v="0"/>
    <x v="23"/>
    <x v="6"/>
    <n v="23864.54"/>
    <n v="26416.15"/>
    <n v="2551.6100000000006"/>
    <n v="0.10692056079857397"/>
  </r>
  <r>
    <x v="1"/>
    <d v="2010-03-14T00:00:00"/>
    <x v="4"/>
    <x v="1"/>
    <x v="0"/>
    <x v="24"/>
    <x v="6"/>
    <n v="63795.47"/>
    <n v="68194.17"/>
    <n v="4398.6999999999971"/>
    <n v="6.8950036734583151E-2"/>
  </r>
  <r>
    <x v="1"/>
    <d v="2010-03-14T00:00:00"/>
    <x v="4"/>
    <x v="1"/>
    <x v="0"/>
    <x v="25"/>
    <x v="6"/>
    <n v="71639.16"/>
    <n v="75743.100000000006"/>
    <n v="4103.9400000000023"/>
    <n v="5.7286266338131296E-2"/>
  </r>
  <r>
    <x v="1"/>
    <d v="2010-03-15T00:00:00"/>
    <x v="4"/>
    <x v="1"/>
    <x v="0"/>
    <x v="0"/>
    <x v="0"/>
    <n v="832"/>
    <n v="1039.78"/>
    <n v="207.77999999999997"/>
    <n v="0.24973557692307688"/>
  </r>
  <r>
    <x v="1"/>
    <d v="2010-03-15T00:00:00"/>
    <x v="4"/>
    <x v="1"/>
    <x v="0"/>
    <x v="1"/>
    <x v="0"/>
    <n v="17468.7"/>
    <n v="20537.099999999999"/>
    <n v="3068.3999999999978"/>
    <n v="0.17565130776760707"/>
  </r>
  <r>
    <x v="1"/>
    <d v="2010-03-15T00:00:00"/>
    <x v="4"/>
    <x v="1"/>
    <x v="0"/>
    <x v="2"/>
    <x v="0"/>
    <n v="10317.209999999999"/>
    <n v="11216.89"/>
    <n v="899.68000000000029"/>
    <n v="8.7201869497664619E-2"/>
  </r>
  <r>
    <x v="1"/>
    <d v="2010-03-15T00:00:00"/>
    <x v="4"/>
    <x v="1"/>
    <x v="0"/>
    <x v="5"/>
    <x v="1"/>
    <n v="31213.32"/>
    <n v="34667.93"/>
    <n v="3454.6100000000006"/>
    <n v="0.11067742873875643"/>
  </r>
  <r>
    <x v="1"/>
    <d v="2010-03-15T00:00:00"/>
    <x v="4"/>
    <x v="1"/>
    <x v="0"/>
    <x v="6"/>
    <x v="1"/>
    <n v="115937.73"/>
    <n v="121966.2"/>
    <n v="6028.4700000000012"/>
    <n v="5.1997481751626509E-2"/>
  </r>
  <r>
    <x v="1"/>
    <d v="2010-03-15T00:00:00"/>
    <x v="4"/>
    <x v="1"/>
    <x v="0"/>
    <x v="7"/>
    <x v="1"/>
    <n v="8209"/>
    <n v="9073.5499999999993"/>
    <n v="864.54999999999927"/>
    <n v="0.1053173346327201"/>
  </r>
  <r>
    <x v="1"/>
    <d v="2010-03-15T00:00:00"/>
    <x v="4"/>
    <x v="1"/>
    <x v="0"/>
    <x v="8"/>
    <x v="1"/>
    <n v="40516.379999999997"/>
    <n v="42839.13"/>
    <n v="2322.75"/>
    <n v="5.7328665591545938E-2"/>
  </r>
  <r>
    <x v="1"/>
    <d v="2010-03-15T00:00:00"/>
    <x v="4"/>
    <x v="1"/>
    <x v="0"/>
    <x v="9"/>
    <x v="2"/>
    <n v="60675.96"/>
    <n v="64485.61"/>
    <n v="3809.6500000000015"/>
    <n v="6.2786810460024059E-2"/>
  </r>
  <r>
    <x v="1"/>
    <d v="2010-03-15T00:00:00"/>
    <x v="4"/>
    <x v="1"/>
    <x v="0"/>
    <x v="10"/>
    <x v="2"/>
    <n v="28739.4"/>
    <n v="30464.76"/>
    <n v="1725.3599999999969"/>
    <n v="6.0034656255871621E-2"/>
  </r>
  <r>
    <x v="1"/>
    <d v="2010-03-15T00:00:00"/>
    <x v="4"/>
    <x v="1"/>
    <x v="0"/>
    <x v="11"/>
    <x v="2"/>
    <n v="9703"/>
    <n v="10725.83"/>
    <n v="1022.8299999999999"/>
    <n v="0.10541378954962383"/>
  </r>
  <r>
    <x v="1"/>
    <d v="2010-03-15T00:00:00"/>
    <x v="4"/>
    <x v="1"/>
    <x v="0"/>
    <x v="13"/>
    <x v="3"/>
    <n v="1935.26"/>
    <n v="2225.63"/>
    <n v="290.37000000000012"/>
    <n v="0.15004185484121002"/>
  </r>
  <r>
    <x v="1"/>
    <d v="2010-03-15T00:00:00"/>
    <x v="4"/>
    <x v="1"/>
    <x v="0"/>
    <x v="15"/>
    <x v="3"/>
    <n v="50918.03"/>
    <n v="56182.36"/>
    <n v="5264.3300000000017"/>
    <n v="0.10338832826014678"/>
  </r>
  <r>
    <x v="1"/>
    <d v="2010-03-15T00:00:00"/>
    <x v="4"/>
    <x v="1"/>
    <x v="0"/>
    <x v="16"/>
    <x v="3"/>
    <n v="2110.42"/>
    <n v="2406.59"/>
    <n v="296.17000000000007"/>
    <n v="0.14033699453189416"/>
  </r>
  <r>
    <x v="1"/>
    <d v="2010-03-15T00:00:00"/>
    <x v="4"/>
    <x v="1"/>
    <x v="0"/>
    <x v="17"/>
    <x v="4"/>
    <n v="42622.89"/>
    <n v="48981.15"/>
    <n v="6358.260000000002"/>
    <n v="0.14917477439938967"/>
  </r>
  <r>
    <x v="1"/>
    <d v="2010-03-15T00:00:00"/>
    <x v="4"/>
    <x v="1"/>
    <x v="0"/>
    <x v="20"/>
    <x v="5"/>
    <n v="2678"/>
    <n v="5023.62"/>
    <n v="2345.62"/>
    <n v="0.87588498879761012"/>
  </r>
  <r>
    <x v="1"/>
    <d v="2010-03-15T00:00:00"/>
    <x v="4"/>
    <x v="1"/>
    <x v="0"/>
    <x v="22"/>
    <x v="6"/>
    <n v="866"/>
    <n v="970"/>
    <n v="104"/>
    <n v="0.12009237875288684"/>
  </r>
  <r>
    <x v="1"/>
    <d v="2010-03-15T00:00:00"/>
    <x v="4"/>
    <x v="1"/>
    <x v="0"/>
    <x v="23"/>
    <x v="6"/>
    <n v="8767.77"/>
    <n v="9711.8700000000008"/>
    <n v="944.10000000000036"/>
    <n v="0.10767846328085709"/>
  </r>
  <r>
    <x v="1"/>
    <d v="2010-03-15T00:00:00"/>
    <x v="4"/>
    <x v="1"/>
    <x v="0"/>
    <x v="24"/>
    <x v="6"/>
    <n v="35663.18"/>
    <n v="37455.480000000003"/>
    <n v="1792.3000000000029"/>
    <n v="5.0256314776192218E-2"/>
  </r>
  <r>
    <x v="1"/>
    <d v="2010-03-15T00:00:00"/>
    <x v="4"/>
    <x v="1"/>
    <x v="0"/>
    <x v="25"/>
    <x v="6"/>
    <n v="42835.57"/>
    <n v="44106.99"/>
    <n v="1271.4199999999983"/>
    <n v="2.9681407297720057E-2"/>
  </r>
  <r>
    <x v="1"/>
    <d v="2010-03-16T00:00:00"/>
    <x v="4"/>
    <x v="1"/>
    <x v="0"/>
    <x v="0"/>
    <x v="0"/>
    <n v="208"/>
    <n v="259.89"/>
    <n v="51.889999999999986"/>
    <n v="0.24947115384615379"/>
  </r>
  <r>
    <x v="1"/>
    <d v="2010-03-16T00:00:00"/>
    <x v="4"/>
    <x v="1"/>
    <x v="0"/>
    <x v="1"/>
    <x v="0"/>
    <n v="14818.77"/>
    <n v="17147.099999999999"/>
    <n v="2328.3299999999981"/>
    <n v="0.15712032780048532"/>
  </r>
  <r>
    <x v="1"/>
    <d v="2010-03-16T00:00:00"/>
    <x v="4"/>
    <x v="1"/>
    <x v="0"/>
    <x v="2"/>
    <x v="0"/>
    <n v="15570.14"/>
    <n v="17020.47"/>
    <n v="1450.3300000000017"/>
    <n v="9.3148166940053317E-2"/>
  </r>
  <r>
    <x v="1"/>
    <d v="2010-03-16T00:00:00"/>
    <x v="4"/>
    <x v="1"/>
    <x v="0"/>
    <x v="4"/>
    <x v="0"/>
    <n v="994"/>
    <n v="1057"/>
    <n v="63"/>
    <n v="6.3380281690140844E-2"/>
  </r>
  <r>
    <x v="1"/>
    <d v="2010-03-16T00:00:00"/>
    <x v="4"/>
    <x v="1"/>
    <x v="0"/>
    <x v="5"/>
    <x v="1"/>
    <n v="25721.3"/>
    <n v="29000.400000000001"/>
    <n v="3279.1000000000022"/>
    <n v="0.12748578026771595"/>
  </r>
  <r>
    <x v="1"/>
    <d v="2010-03-16T00:00:00"/>
    <x v="4"/>
    <x v="1"/>
    <x v="0"/>
    <x v="6"/>
    <x v="1"/>
    <n v="163616.85"/>
    <n v="169039.65"/>
    <n v="5422.7999999999884"/>
    <n v="3.3143285670149424E-2"/>
  </r>
  <r>
    <x v="1"/>
    <d v="2010-03-16T00:00:00"/>
    <x v="4"/>
    <x v="1"/>
    <x v="0"/>
    <x v="7"/>
    <x v="1"/>
    <n v="16424"/>
    <n v="18129.52"/>
    <n v="1705.5200000000004"/>
    <n v="0.10384315635655142"/>
  </r>
  <r>
    <x v="1"/>
    <d v="2010-03-16T00:00:00"/>
    <x v="4"/>
    <x v="1"/>
    <x v="0"/>
    <x v="8"/>
    <x v="1"/>
    <n v="52739.02"/>
    <n v="55088.01"/>
    <n v="2348.9900000000052"/>
    <n v="4.4539887165138931E-2"/>
  </r>
  <r>
    <x v="1"/>
    <d v="2010-03-16T00:00:00"/>
    <x v="4"/>
    <x v="1"/>
    <x v="0"/>
    <x v="9"/>
    <x v="2"/>
    <n v="90960.97"/>
    <n v="96586.92"/>
    <n v="5625.9499999999971"/>
    <n v="6.1850153972632403E-2"/>
  </r>
  <r>
    <x v="1"/>
    <d v="2010-03-16T00:00:00"/>
    <x v="4"/>
    <x v="1"/>
    <x v="0"/>
    <x v="10"/>
    <x v="2"/>
    <n v="55333.71"/>
    <n v="58490.38"/>
    <n v="3156.6699999999983"/>
    <n v="5.7047864674174179E-2"/>
  </r>
  <r>
    <x v="1"/>
    <d v="2010-03-16T00:00:00"/>
    <x v="4"/>
    <x v="1"/>
    <x v="0"/>
    <x v="11"/>
    <x v="2"/>
    <n v="14179.49"/>
    <n v="15394.32"/>
    <n v="1214.83"/>
    <n v="8.5675154748160898E-2"/>
  </r>
  <r>
    <x v="1"/>
    <d v="2010-03-16T00:00:00"/>
    <x v="4"/>
    <x v="1"/>
    <x v="0"/>
    <x v="13"/>
    <x v="3"/>
    <n v="2655.26"/>
    <n v="3053.26"/>
    <n v="398"/>
    <n v="0.14989115943448098"/>
  </r>
  <r>
    <x v="1"/>
    <d v="2010-03-16T00:00:00"/>
    <x v="4"/>
    <x v="1"/>
    <x v="0"/>
    <x v="15"/>
    <x v="3"/>
    <n v="68280.45"/>
    <n v="73308.3"/>
    <n v="5027.8500000000058"/>
    <n v="7.3635279205101989E-2"/>
  </r>
  <r>
    <x v="1"/>
    <d v="2010-03-16T00:00:00"/>
    <x v="4"/>
    <x v="1"/>
    <x v="0"/>
    <x v="16"/>
    <x v="3"/>
    <n v="4296.9399999999996"/>
    <n v="4867.05"/>
    <n v="570.11000000000058"/>
    <n v="0.13267813839616113"/>
  </r>
  <r>
    <x v="1"/>
    <d v="2010-03-16T00:00:00"/>
    <x v="4"/>
    <x v="1"/>
    <x v="0"/>
    <x v="17"/>
    <x v="4"/>
    <n v="26463.31"/>
    <n v="30032.86"/>
    <n v="3569.5499999999993"/>
    <n v="0.1348867545291953"/>
  </r>
  <r>
    <x v="1"/>
    <d v="2010-03-16T00:00:00"/>
    <x v="4"/>
    <x v="1"/>
    <x v="0"/>
    <x v="20"/>
    <x v="5"/>
    <n v="3231"/>
    <n v="6136.89"/>
    <n v="2905.8900000000003"/>
    <n v="0.89937790157845876"/>
  </r>
  <r>
    <x v="1"/>
    <d v="2010-03-16T00:00:00"/>
    <x v="4"/>
    <x v="1"/>
    <x v="0"/>
    <x v="22"/>
    <x v="6"/>
    <n v="2381"/>
    <n v="2667"/>
    <n v="286"/>
    <n v="0.12011759764804704"/>
  </r>
  <r>
    <x v="1"/>
    <d v="2010-03-16T00:00:00"/>
    <x v="4"/>
    <x v="1"/>
    <x v="0"/>
    <x v="23"/>
    <x v="6"/>
    <n v="17021.22"/>
    <n v="19018.45"/>
    <n v="1997.2299999999996"/>
    <n v="0.11733765264769502"/>
  </r>
  <r>
    <x v="1"/>
    <d v="2010-03-16T00:00:00"/>
    <x v="4"/>
    <x v="1"/>
    <x v="0"/>
    <x v="24"/>
    <x v="6"/>
    <n v="53981.09"/>
    <n v="57168.65"/>
    <n v="3187.5600000000049"/>
    <n v="5.904956717250439E-2"/>
  </r>
  <r>
    <x v="1"/>
    <d v="2010-03-16T00:00:00"/>
    <x v="4"/>
    <x v="1"/>
    <x v="0"/>
    <x v="25"/>
    <x v="6"/>
    <n v="73658.679999999993"/>
    <n v="76296.14"/>
    <n v="2637.4600000000064"/>
    <n v="3.5806506442961059E-2"/>
  </r>
  <r>
    <x v="1"/>
    <d v="2010-03-17T00:00:00"/>
    <x v="4"/>
    <x v="1"/>
    <x v="0"/>
    <x v="0"/>
    <x v="0"/>
    <n v="416"/>
    <n v="519.98"/>
    <n v="103.98000000000002"/>
    <n v="0.24995192307692313"/>
  </r>
  <r>
    <x v="1"/>
    <d v="2010-03-17T00:00:00"/>
    <x v="4"/>
    <x v="1"/>
    <x v="0"/>
    <x v="1"/>
    <x v="0"/>
    <n v="14744.93"/>
    <n v="17292.189999999999"/>
    <n v="2547.2599999999984"/>
    <n v="0.17275497408261675"/>
  </r>
  <r>
    <x v="1"/>
    <d v="2010-03-17T00:00:00"/>
    <x v="4"/>
    <x v="1"/>
    <x v="0"/>
    <x v="2"/>
    <x v="0"/>
    <n v="17400.43"/>
    <n v="19256.39"/>
    <n v="1855.9599999999991"/>
    <n v="0.1066617319227168"/>
  </r>
  <r>
    <x v="1"/>
    <d v="2010-03-17T00:00:00"/>
    <x v="4"/>
    <x v="1"/>
    <x v="0"/>
    <x v="4"/>
    <x v="0"/>
    <n v="3453.3"/>
    <n v="3876.05"/>
    <n v="422.75"/>
    <n v="0.12241913531983899"/>
  </r>
  <r>
    <x v="1"/>
    <d v="2010-03-17T00:00:00"/>
    <x v="4"/>
    <x v="1"/>
    <x v="0"/>
    <x v="5"/>
    <x v="1"/>
    <n v="31380.47"/>
    <n v="35316.089999999997"/>
    <n v="3935.6199999999953"/>
    <n v="0.12541622225543453"/>
  </r>
  <r>
    <x v="1"/>
    <d v="2010-03-17T00:00:00"/>
    <x v="4"/>
    <x v="1"/>
    <x v="0"/>
    <x v="6"/>
    <x v="1"/>
    <n v="147418.29999999999"/>
    <n v="151449.24"/>
    <n v="4030.9400000000023"/>
    <n v="2.7343552326949929E-2"/>
  </r>
  <r>
    <x v="1"/>
    <d v="2010-03-17T00:00:00"/>
    <x v="4"/>
    <x v="1"/>
    <x v="0"/>
    <x v="7"/>
    <x v="1"/>
    <n v="10362.299999999999"/>
    <n v="11479.72"/>
    <n v="1117.42"/>
    <n v="0.10783513312681549"/>
  </r>
  <r>
    <x v="1"/>
    <d v="2010-03-17T00:00:00"/>
    <x v="4"/>
    <x v="1"/>
    <x v="0"/>
    <x v="8"/>
    <x v="1"/>
    <n v="41024.36"/>
    <n v="43061.84"/>
    <n v="2037.4799999999959"/>
    <n v="4.9665125793552804E-2"/>
  </r>
  <r>
    <x v="1"/>
    <d v="2010-03-17T00:00:00"/>
    <x v="4"/>
    <x v="1"/>
    <x v="0"/>
    <x v="9"/>
    <x v="2"/>
    <n v="70986.05"/>
    <n v="76666.7"/>
    <n v="5680.6499999999942"/>
    <n v="8.0024878127462992E-2"/>
  </r>
  <r>
    <x v="1"/>
    <d v="2010-03-17T00:00:00"/>
    <x v="4"/>
    <x v="1"/>
    <x v="0"/>
    <x v="10"/>
    <x v="2"/>
    <n v="54138.400000000001"/>
    <n v="57947.02"/>
    <n v="3808.6199999999953"/>
    <n v="7.0349696333840583E-2"/>
  </r>
  <r>
    <x v="1"/>
    <d v="2010-03-17T00:00:00"/>
    <x v="4"/>
    <x v="1"/>
    <x v="0"/>
    <x v="11"/>
    <x v="2"/>
    <n v="13721.5"/>
    <n v="14770.73"/>
    <n v="1049.2299999999996"/>
    <n v="7.6466129796305043E-2"/>
  </r>
  <r>
    <x v="1"/>
    <d v="2010-03-17T00:00:00"/>
    <x v="4"/>
    <x v="1"/>
    <x v="0"/>
    <x v="13"/>
    <x v="3"/>
    <n v="960.6"/>
    <n v="1104.3"/>
    <n v="143.69999999999993"/>
    <n v="0.14959400374765763"/>
  </r>
  <r>
    <x v="1"/>
    <d v="2010-03-17T00:00:00"/>
    <x v="4"/>
    <x v="1"/>
    <x v="0"/>
    <x v="15"/>
    <x v="3"/>
    <n v="33663.35"/>
    <n v="36865.79"/>
    <n v="3202.4400000000023"/>
    <n v="9.5131352049038567E-2"/>
  </r>
  <r>
    <x v="1"/>
    <d v="2010-03-17T00:00:00"/>
    <x v="4"/>
    <x v="1"/>
    <x v="0"/>
    <x v="16"/>
    <x v="3"/>
    <n v="2431.3000000000002"/>
    <n v="2751.39"/>
    <n v="320.08999999999969"/>
    <n v="0.13165384773577907"/>
  </r>
  <r>
    <x v="1"/>
    <d v="2010-03-17T00:00:00"/>
    <x v="4"/>
    <x v="1"/>
    <x v="0"/>
    <x v="17"/>
    <x v="4"/>
    <n v="25603.32"/>
    <n v="28848.93"/>
    <n v="3245.6100000000006"/>
    <n v="0.12676520076302608"/>
  </r>
  <r>
    <x v="1"/>
    <d v="2010-03-17T00:00:00"/>
    <x v="4"/>
    <x v="1"/>
    <x v="0"/>
    <x v="20"/>
    <x v="5"/>
    <n v="2038"/>
    <n v="4113.2"/>
    <n v="2075.1999999999998"/>
    <n v="1.0182531894013738"/>
  </r>
  <r>
    <x v="1"/>
    <d v="2010-03-17T00:00:00"/>
    <x v="4"/>
    <x v="1"/>
    <x v="0"/>
    <x v="22"/>
    <x v="6"/>
    <n v="1082"/>
    <n v="1211.93"/>
    <n v="129.93000000000006"/>
    <n v="0.1200831792975971"/>
  </r>
  <r>
    <x v="1"/>
    <d v="2010-03-17T00:00:00"/>
    <x v="4"/>
    <x v="1"/>
    <x v="0"/>
    <x v="23"/>
    <x v="6"/>
    <n v="13452.36"/>
    <n v="15209.74"/>
    <n v="1757.3799999999992"/>
    <n v="0.13063730081561892"/>
  </r>
  <r>
    <x v="1"/>
    <d v="2010-03-17T00:00:00"/>
    <x v="4"/>
    <x v="1"/>
    <x v="0"/>
    <x v="24"/>
    <x v="6"/>
    <n v="43897.02"/>
    <n v="46438.41"/>
    <n v="2541.3900000000067"/>
    <n v="5.7894362760843601E-2"/>
  </r>
  <r>
    <x v="1"/>
    <d v="2010-03-17T00:00:00"/>
    <x v="4"/>
    <x v="1"/>
    <x v="0"/>
    <x v="25"/>
    <x v="6"/>
    <n v="25466.68"/>
    <n v="26893.1"/>
    <n v="1426.4199999999983"/>
    <n v="5.6011227219252696E-2"/>
  </r>
  <r>
    <x v="1"/>
    <d v="2010-03-18T00:00:00"/>
    <x v="4"/>
    <x v="1"/>
    <x v="0"/>
    <x v="0"/>
    <x v="0"/>
    <n v="416"/>
    <n v="519.95000000000005"/>
    <n v="103.95000000000005"/>
    <n v="0.2498798076923078"/>
  </r>
  <r>
    <x v="1"/>
    <d v="2010-03-18T00:00:00"/>
    <x v="4"/>
    <x v="1"/>
    <x v="0"/>
    <x v="1"/>
    <x v="0"/>
    <n v="15708.04"/>
    <n v="18803.189999999999"/>
    <n v="3095.1499999999978"/>
    <n v="0.19704240630912562"/>
  </r>
  <r>
    <x v="1"/>
    <d v="2010-03-18T00:00:00"/>
    <x v="4"/>
    <x v="1"/>
    <x v="0"/>
    <x v="2"/>
    <x v="0"/>
    <n v="19417.78"/>
    <n v="21978.639999999999"/>
    <n v="2560.8600000000006"/>
    <n v="0.13188222340555927"/>
  </r>
  <r>
    <x v="1"/>
    <d v="2010-03-18T00:00:00"/>
    <x v="4"/>
    <x v="1"/>
    <x v="0"/>
    <x v="4"/>
    <x v="0"/>
    <n v="3986.58"/>
    <n v="4509.8"/>
    <n v="523.22000000000025"/>
    <n v="0.13124532807569403"/>
  </r>
  <r>
    <x v="1"/>
    <d v="2010-03-18T00:00:00"/>
    <x v="4"/>
    <x v="1"/>
    <x v="0"/>
    <x v="5"/>
    <x v="1"/>
    <n v="31208.97"/>
    <n v="35233.53"/>
    <n v="4024.5599999999977"/>
    <n v="0.12895523306280204"/>
  </r>
  <r>
    <x v="1"/>
    <d v="2010-03-18T00:00:00"/>
    <x v="4"/>
    <x v="1"/>
    <x v="0"/>
    <x v="6"/>
    <x v="1"/>
    <n v="147872.76"/>
    <n v="152577.91"/>
    <n v="4705.1499999999942"/>
    <n v="3.1818909716705049E-2"/>
  </r>
  <r>
    <x v="1"/>
    <d v="2010-03-18T00:00:00"/>
    <x v="4"/>
    <x v="1"/>
    <x v="0"/>
    <x v="7"/>
    <x v="1"/>
    <n v="25436.34"/>
    <n v="28015.59"/>
    <n v="2579.25"/>
    <n v="0.10140020144407567"/>
  </r>
  <r>
    <x v="1"/>
    <d v="2010-03-18T00:00:00"/>
    <x v="4"/>
    <x v="1"/>
    <x v="0"/>
    <x v="8"/>
    <x v="1"/>
    <n v="42772.15"/>
    <n v="45587.41"/>
    <n v="2815.260000000002"/>
    <n v="6.5819931894936359E-2"/>
  </r>
  <r>
    <x v="1"/>
    <d v="2010-03-18T00:00:00"/>
    <x v="4"/>
    <x v="1"/>
    <x v="0"/>
    <x v="9"/>
    <x v="2"/>
    <n v="119602.5"/>
    <n v="130017.92"/>
    <n v="10415.419999999998"/>
    <n v="8.7083631195000094E-2"/>
  </r>
  <r>
    <x v="1"/>
    <d v="2010-03-18T00:00:00"/>
    <x v="4"/>
    <x v="1"/>
    <x v="0"/>
    <x v="10"/>
    <x v="2"/>
    <n v="33300.9"/>
    <n v="35357.01"/>
    <n v="2056.1100000000006"/>
    <n v="6.1743376305144919E-2"/>
  </r>
  <r>
    <x v="1"/>
    <d v="2010-03-18T00:00:00"/>
    <x v="4"/>
    <x v="1"/>
    <x v="0"/>
    <x v="11"/>
    <x v="2"/>
    <n v="38101.49"/>
    <n v="40833.800000000003"/>
    <n v="2732.3100000000049"/>
    <n v="7.1711368767993194E-2"/>
  </r>
  <r>
    <x v="1"/>
    <d v="2010-03-18T00:00:00"/>
    <x v="4"/>
    <x v="1"/>
    <x v="0"/>
    <x v="13"/>
    <x v="3"/>
    <n v="343.2"/>
    <n v="394.77"/>
    <n v="51.569999999999993"/>
    <n v="0.15026223776223774"/>
  </r>
  <r>
    <x v="1"/>
    <d v="2010-03-18T00:00:00"/>
    <x v="4"/>
    <x v="1"/>
    <x v="0"/>
    <x v="15"/>
    <x v="3"/>
    <n v="50068.68"/>
    <n v="54709.73"/>
    <n v="4641.0500000000029"/>
    <n v="9.2693675966692216E-2"/>
  </r>
  <r>
    <x v="1"/>
    <d v="2010-03-18T00:00:00"/>
    <x v="4"/>
    <x v="1"/>
    <x v="0"/>
    <x v="16"/>
    <x v="3"/>
    <n v="7339.76"/>
    <n v="8376.85"/>
    <n v="1037.0900000000001"/>
    <n v="0.14129753561424355"/>
  </r>
  <r>
    <x v="1"/>
    <d v="2010-03-18T00:00:00"/>
    <x v="4"/>
    <x v="1"/>
    <x v="0"/>
    <x v="17"/>
    <x v="4"/>
    <n v="39315.24"/>
    <n v="43646.17"/>
    <n v="4330.93"/>
    <n v="0.11015906299948826"/>
  </r>
  <r>
    <x v="1"/>
    <d v="2010-03-18T00:00:00"/>
    <x v="4"/>
    <x v="1"/>
    <x v="0"/>
    <x v="20"/>
    <x v="5"/>
    <n v="5332.82"/>
    <n v="7951.72"/>
    <n v="2618.9000000000005"/>
    <n v="0.49109101751043549"/>
  </r>
  <r>
    <x v="1"/>
    <d v="2010-03-18T00:00:00"/>
    <x v="4"/>
    <x v="1"/>
    <x v="0"/>
    <x v="22"/>
    <x v="6"/>
    <n v="1815"/>
    <n v="2032.74"/>
    <n v="217.74"/>
    <n v="0.11996694214876033"/>
  </r>
  <r>
    <x v="1"/>
    <d v="2010-03-18T00:00:00"/>
    <x v="4"/>
    <x v="1"/>
    <x v="0"/>
    <x v="23"/>
    <x v="6"/>
    <n v="13407.82"/>
    <n v="14931.3"/>
    <n v="1523.4799999999996"/>
    <n v="0.11362622708240412"/>
  </r>
  <r>
    <x v="1"/>
    <d v="2010-03-18T00:00:00"/>
    <x v="4"/>
    <x v="1"/>
    <x v="0"/>
    <x v="24"/>
    <x v="6"/>
    <n v="39835.67"/>
    <n v="41159.230000000003"/>
    <n v="1323.5600000000049"/>
    <n v="3.322549865484891E-2"/>
  </r>
  <r>
    <x v="1"/>
    <d v="2010-03-18T00:00:00"/>
    <x v="4"/>
    <x v="1"/>
    <x v="0"/>
    <x v="25"/>
    <x v="6"/>
    <n v="51306.09"/>
    <n v="53121.39"/>
    <n v="1815.3000000000029"/>
    <n v="3.5381764620925175E-2"/>
  </r>
  <r>
    <x v="1"/>
    <d v="2010-03-19T00:00:00"/>
    <x v="4"/>
    <x v="1"/>
    <x v="0"/>
    <x v="0"/>
    <x v="0"/>
    <n v="468"/>
    <n v="584.96"/>
    <n v="116.96000000000004"/>
    <n v="0.24991452991453"/>
  </r>
  <r>
    <x v="1"/>
    <d v="2010-03-19T00:00:00"/>
    <x v="4"/>
    <x v="1"/>
    <x v="0"/>
    <x v="1"/>
    <x v="0"/>
    <n v="21618.43"/>
    <n v="26182.85"/>
    <n v="4564.4199999999983"/>
    <n v="0.21113559125246367"/>
  </r>
  <r>
    <x v="1"/>
    <d v="2010-03-19T00:00:00"/>
    <x v="4"/>
    <x v="1"/>
    <x v="0"/>
    <x v="2"/>
    <x v="0"/>
    <n v="23137.08"/>
    <n v="26639.14"/>
    <n v="3502.0599999999977"/>
    <n v="0.15136136452828089"/>
  </r>
  <r>
    <x v="1"/>
    <d v="2010-03-19T00:00:00"/>
    <x v="4"/>
    <x v="1"/>
    <x v="0"/>
    <x v="3"/>
    <x v="0"/>
    <n v="810"/>
    <n v="826.66"/>
    <n v="16.659999999999968"/>
    <n v="2.0567901234567861E-2"/>
  </r>
  <r>
    <x v="1"/>
    <d v="2010-03-19T00:00:00"/>
    <x v="4"/>
    <x v="1"/>
    <x v="0"/>
    <x v="4"/>
    <x v="0"/>
    <n v="142"/>
    <n v="150.99"/>
    <n v="8.9900000000000091"/>
    <n v="6.3309859154929635E-2"/>
  </r>
  <r>
    <x v="1"/>
    <d v="2010-03-19T00:00:00"/>
    <x v="4"/>
    <x v="1"/>
    <x v="0"/>
    <x v="5"/>
    <x v="1"/>
    <n v="30193.48"/>
    <n v="34462.5"/>
    <n v="4269.0200000000004"/>
    <n v="0.14138880314557978"/>
  </r>
  <r>
    <x v="1"/>
    <d v="2010-03-19T00:00:00"/>
    <x v="4"/>
    <x v="1"/>
    <x v="0"/>
    <x v="6"/>
    <x v="1"/>
    <n v="136205.81"/>
    <n v="141237.51"/>
    <n v="5031.7000000000116"/>
    <n v="3.6941889630112044E-2"/>
  </r>
  <r>
    <x v="1"/>
    <d v="2010-03-19T00:00:00"/>
    <x v="4"/>
    <x v="1"/>
    <x v="0"/>
    <x v="7"/>
    <x v="1"/>
    <n v="20380.55"/>
    <n v="22441.07"/>
    <n v="2060.5200000000004"/>
    <n v="0.10110227643513058"/>
  </r>
  <r>
    <x v="1"/>
    <d v="2010-03-19T00:00:00"/>
    <x v="4"/>
    <x v="1"/>
    <x v="0"/>
    <x v="8"/>
    <x v="1"/>
    <n v="36287.81"/>
    <n v="38546.42"/>
    <n v="2258.6100000000006"/>
    <n v="6.2241562662502935E-2"/>
  </r>
  <r>
    <x v="1"/>
    <d v="2010-03-19T00:00:00"/>
    <x v="4"/>
    <x v="1"/>
    <x v="0"/>
    <x v="9"/>
    <x v="2"/>
    <n v="181511.5"/>
    <n v="192893.3"/>
    <n v="11381.799999999988"/>
    <n v="6.270566878682611E-2"/>
  </r>
  <r>
    <x v="1"/>
    <d v="2010-03-19T00:00:00"/>
    <x v="4"/>
    <x v="1"/>
    <x v="0"/>
    <x v="10"/>
    <x v="2"/>
    <n v="39589.81"/>
    <n v="42043.02"/>
    <n v="2453.2099999999991"/>
    <n v="6.1965692687082845E-2"/>
  </r>
  <r>
    <x v="1"/>
    <d v="2010-03-19T00:00:00"/>
    <x v="4"/>
    <x v="1"/>
    <x v="0"/>
    <x v="11"/>
    <x v="2"/>
    <n v="49758.5"/>
    <n v="52030.41"/>
    <n v="2271.9100000000035"/>
    <n v="4.5658731673985417E-2"/>
  </r>
  <r>
    <x v="1"/>
    <d v="2010-03-19T00:00:00"/>
    <x v="4"/>
    <x v="1"/>
    <x v="0"/>
    <x v="13"/>
    <x v="3"/>
    <n v="818.36"/>
    <n v="941.21"/>
    <n v="122.85000000000002"/>
    <n v="0.15011730778630433"/>
  </r>
  <r>
    <x v="1"/>
    <d v="2010-03-19T00:00:00"/>
    <x v="4"/>
    <x v="1"/>
    <x v="0"/>
    <x v="15"/>
    <x v="3"/>
    <n v="45598.05"/>
    <n v="50315.49"/>
    <n v="4717.4399999999951"/>
    <n v="0.10345705572935673"/>
  </r>
  <r>
    <x v="1"/>
    <d v="2010-03-19T00:00:00"/>
    <x v="4"/>
    <x v="1"/>
    <x v="0"/>
    <x v="16"/>
    <x v="3"/>
    <n v="6348.74"/>
    <n v="7202.58"/>
    <n v="853.84000000000015"/>
    <n v="0.13448967826686872"/>
  </r>
  <r>
    <x v="1"/>
    <d v="2010-03-19T00:00:00"/>
    <x v="4"/>
    <x v="1"/>
    <x v="0"/>
    <x v="17"/>
    <x v="4"/>
    <n v="23922.43"/>
    <n v="26688.7"/>
    <n v="2766.2700000000004"/>
    <n v="0.11563499193016764"/>
  </r>
  <r>
    <x v="1"/>
    <d v="2010-03-19T00:00:00"/>
    <x v="4"/>
    <x v="1"/>
    <x v="0"/>
    <x v="20"/>
    <x v="5"/>
    <n v="2377"/>
    <n v="4533.05"/>
    <n v="2156.0500000000002"/>
    <n v="0.90704669751787981"/>
  </r>
  <r>
    <x v="1"/>
    <d v="2010-03-19T00:00:00"/>
    <x v="4"/>
    <x v="1"/>
    <x v="0"/>
    <x v="22"/>
    <x v="6"/>
    <n v="1333"/>
    <n v="1492.91"/>
    <n v="159.91000000000008"/>
    <n v="0.11996249062265572"/>
  </r>
  <r>
    <x v="1"/>
    <d v="2010-03-19T00:00:00"/>
    <x v="4"/>
    <x v="1"/>
    <x v="0"/>
    <x v="23"/>
    <x v="6"/>
    <n v="18964.78"/>
    <n v="21126.400000000001"/>
    <n v="2161.6200000000026"/>
    <n v="0.1139807580156481"/>
  </r>
  <r>
    <x v="1"/>
    <d v="2010-03-19T00:00:00"/>
    <x v="4"/>
    <x v="1"/>
    <x v="0"/>
    <x v="24"/>
    <x v="6"/>
    <n v="40353.25"/>
    <n v="36793.440000000002"/>
    <n v="-3559.8099999999977"/>
    <n v="-8.8216190765303848E-2"/>
  </r>
  <r>
    <x v="1"/>
    <d v="2010-03-19T00:00:00"/>
    <x v="4"/>
    <x v="1"/>
    <x v="0"/>
    <x v="25"/>
    <x v="6"/>
    <n v="63567"/>
    <n v="64341.57"/>
    <n v="774.56999999999971"/>
    <n v="1.2185096040398316E-2"/>
  </r>
  <r>
    <x v="1"/>
    <d v="2010-03-20T00:00:00"/>
    <x v="4"/>
    <x v="1"/>
    <x v="0"/>
    <x v="0"/>
    <x v="0"/>
    <n v="520"/>
    <n v="649.86"/>
    <n v="129.86000000000001"/>
    <n v="0.24973076923076926"/>
  </r>
  <r>
    <x v="1"/>
    <d v="2010-03-20T00:00:00"/>
    <x v="4"/>
    <x v="1"/>
    <x v="0"/>
    <x v="1"/>
    <x v="0"/>
    <n v="29805.040000000001"/>
    <n v="36562.910000000003"/>
    <n v="6757.8700000000026"/>
    <n v="0.22673581380867136"/>
  </r>
  <r>
    <x v="1"/>
    <d v="2010-03-20T00:00:00"/>
    <x v="4"/>
    <x v="1"/>
    <x v="0"/>
    <x v="2"/>
    <x v="0"/>
    <n v="40558.230000000003"/>
    <n v="46675.31"/>
    <n v="6117.0799999999945"/>
    <n v="0.15082216359047212"/>
  </r>
  <r>
    <x v="1"/>
    <d v="2010-03-20T00:00:00"/>
    <x v="4"/>
    <x v="1"/>
    <x v="0"/>
    <x v="4"/>
    <x v="0"/>
    <n v="746"/>
    <n v="782.86"/>
    <n v="36.860000000000014"/>
    <n v="4.9410187667560342E-2"/>
  </r>
  <r>
    <x v="1"/>
    <d v="2010-03-20T00:00:00"/>
    <x v="4"/>
    <x v="1"/>
    <x v="0"/>
    <x v="5"/>
    <x v="1"/>
    <n v="63494.17"/>
    <n v="72080.490000000005"/>
    <n v="8586.320000000007"/>
    <n v="0.13523005340490327"/>
  </r>
  <r>
    <x v="1"/>
    <d v="2010-03-20T00:00:00"/>
    <x v="4"/>
    <x v="1"/>
    <x v="0"/>
    <x v="6"/>
    <x v="1"/>
    <n v="210915.72"/>
    <n v="222880.07"/>
    <n v="11964.350000000006"/>
    <n v="5.6725738603078071E-2"/>
  </r>
  <r>
    <x v="1"/>
    <d v="2010-03-20T00:00:00"/>
    <x v="4"/>
    <x v="1"/>
    <x v="0"/>
    <x v="7"/>
    <x v="1"/>
    <n v="52300.34"/>
    <n v="57547.31"/>
    <n v="5246.9700000000012"/>
    <n v="0.10032382198662573"/>
  </r>
  <r>
    <x v="1"/>
    <d v="2010-03-20T00:00:00"/>
    <x v="4"/>
    <x v="1"/>
    <x v="0"/>
    <x v="8"/>
    <x v="1"/>
    <n v="68094.53"/>
    <n v="72438.41"/>
    <n v="4343.8800000000047"/>
    <n v="6.3791908101869632E-2"/>
  </r>
  <r>
    <x v="1"/>
    <d v="2010-03-20T00:00:00"/>
    <x v="4"/>
    <x v="1"/>
    <x v="0"/>
    <x v="9"/>
    <x v="2"/>
    <n v="211193.55"/>
    <n v="223778.07"/>
    <n v="12584.520000000019"/>
    <n v="5.9587615246772543E-2"/>
  </r>
  <r>
    <x v="1"/>
    <d v="2010-03-20T00:00:00"/>
    <x v="4"/>
    <x v="1"/>
    <x v="0"/>
    <x v="10"/>
    <x v="2"/>
    <n v="71975"/>
    <n v="75998.740000000005"/>
    <n v="4023.7400000000052"/>
    <n v="5.5904689128169573E-2"/>
  </r>
  <r>
    <x v="1"/>
    <d v="2010-03-20T00:00:00"/>
    <x v="4"/>
    <x v="1"/>
    <x v="0"/>
    <x v="11"/>
    <x v="2"/>
    <n v="37547.49"/>
    <n v="40710.129999999997"/>
    <n v="3162.6399999999994"/>
    <n v="8.4230397291536654E-2"/>
  </r>
  <r>
    <x v="1"/>
    <d v="2010-03-20T00:00:00"/>
    <x v="4"/>
    <x v="1"/>
    <x v="0"/>
    <x v="13"/>
    <x v="3"/>
    <n v="8602.86"/>
    <n v="9891.59"/>
    <n v="1288.7299999999996"/>
    <n v="0.14980250753819072"/>
  </r>
  <r>
    <x v="1"/>
    <d v="2010-03-20T00:00:00"/>
    <x v="4"/>
    <x v="1"/>
    <x v="0"/>
    <x v="15"/>
    <x v="3"/>
    <n v="81350"/>
    <n v="88720.69"/>
    <n v="7370.6900000000023"/>
    <n v="9.0604671173939791E-2"/>
  </r>
  <r>
    <x v="1"/>
    <d v="2010-03-20T00:00:00"/>
    <x v="4"/>
    <x v="1"/>
    <x v="0"/>
    <x v="16"/>
    <x v="3"/>
    <n v="13850.9"/>
    <n v="15677.06"/>
    <n v="1826.1599999999999"/>
    <n v="0.13184414009197959"/>
  </r>
  <r>
    <x v="1"/>
    <d v="2010-03-20T00:00:00"/>
    <x v="4"/>
    <x v="1"/>
    <x v="0"/>
    <x v="17"/>
    <x v="4"/>
    <n v="42331.75"/>
    <n v="48006.12"/>
    <n v="5674.3700000000026"/>
    <n v="0.13404524972390705"/>
  </r>
  <r>
    <x v="1"/>
    <d v="2010-03-20T00:00:00"/>
    <x v="4"/>
    <x v="1"/>
    <x v="0"/>
    <x v="20"/>
    <x v="5"/>
    <n v="10130.459999999999"/>
    <n v="12659.17"/>
    <n v="2528.7100000000009"/>
    <n v="0.24961452885653773"/>
  </r>
  <r>
    <x v="1"/>
    <d v="2010-03-20T00:00:00"/>
    <x v="4"/>
    <x v="1"/>
    <x v="0"/>
    <x v="22"/>
    <x v="6"/>
    <n v="4319"/>
    <n v="4818.5600000000004"/>
    <n v="499.5600000000004"/>
    <n v="0.11566566334799731"/>
  </r>
  <r>
    <x v="1"/>
    <d v="2010-03-20T00:00:00"/>
    <x v="4"/>
    <x v="1"/>
    <x v="0"/>
    <x v="23"/>
    <x v="6"/>
    <n v="33027.65"/>
    <n v="36032.910000000003"/>
    <n v="3005.260000000002"/>
    <n v="9.0992244377059883E-2"/>
  </r>
  <r>
    <x v="1"/>
    <d v="2010-03-20T00:00:00"/>
    <x v="4"/>
    <x v="1"/>
    <x v="0"/>
    <x v="24"/>
    <x v="6"/>
    <n v="194809.21"/>
    <n v="132590.29"/>
    <n v="-62218.919999999984"/>
    <n v="-0.31938387307253074"/>
  </r>
  <r>
    <x v="1"/>
    <d v="2010-03-20T00:00:00"/>
    <x v="4"/>
    <x v="1"/>
    <x v="0"/>
    <x v="25"/>
    <x v="6"/>
    <n v="81886.66"/>
    <n v="84498.16"/>
    <n v="2611.5"/>
    <n v="3.1891641446848605E-2"/>
  </r>
  <r>
    <x v="1"/>
    <d v="2010-03-21T00:00:00"/>
    <x v="5"/>
    <x v="1"/>
    <x v="0"/>
    <x v="0"/>
    <x v="0"/>
    <n v="832"/>
    <n v="1039.95"/>
    <n v="207.95000000000005"/>
    <n v="0.24993990384615389"/>
  </r>
  <r>
    <x v="1"/>
    <d v="2010-03-21T00:00:00"/>
    <x v="5"/>
    <x v="1"/>
    <x v="0"/>
    <x v="1"/>
    <x v="0"/>
    <n v="27324.48"/>
    <n v="31543.75"/>
    <n v="4219.2700000000004"/>
    <n v="0.1544135515113188"/>
  </r>
  <r>
    <x v="1"/>
    <d v="2010-03-21T00:00:00"/>
    <x v="5"/>
    <x v="1"/>
    <x v="0"/>
    <x v="2"/>
    <x v="0"/>
    <n v="34763.629999999997"/>
    <n v="40638.879999999997"/>
    <n v="5875.25"/>
    <n v="0.16900565332216458"/>
  </r>
  <r>
    <x v="1"/>
    <d v="2010-03-21T00:00:00"/>
    <x v="5"/>
    <x v="1"/>
    <x v="0"/>
    <x v="3"/>
    <x v="0"/>
    <n v="2230"/>
    <n v="2565.77"/>
    <n v="335.77"/>
    <n v="0.15056950672645739"/>
  </r>
  <r>
    <x v="1"/>
    <d v="2010-03-21T00:00:00"/>
    <x v="5"/>
    <x v="1"/>
    <x v="0"/>
    <x v="4"/>
    <x v="0"/>
    <n v="4266.1499999999996"/>
    <n v="4690.68"/>
    <n v="424.53000000000065"/>
    <n v="9.9511268942723691E-2"/>
  </r>
  <r>
    <x v="1"/>
    <d v="2010-03-21T00:00:00"/>
    <x v="5"/>
    <x v="1"/>
    <x v="0"/>
    <x v="5"/>
    <x v="1"/>
    <n v="52949.88"/>
    <n v="59304.14"/>
    <n v="6354.260000000002"/>
    <n v="0.12000518225914775"/>
  </r>
  <r>
    <x v="1"/>
    <d v="2010-03-21T00:00:00"/>
    <x v="5"/>
    <x v="1"/>
    <x v="0"/>
    <x v="6"/>
    <x v="1"/>
    <n v="226504.67"/>
    <n v="237725.78"/>
    <n v="11221.109999999986"/>
    <n v="4.9540303076311784E-2"/>
  </r>
  <r>
    <x v="1"/>
    <d v="2010-03-21T00:00:00"/>
    <x v="5"/>
    <x v="1"/>
    <x v="0"/>
    <x v="7"/>
    <x v="1"/>
    <n v="37601.68"/>
    <n v="41038.1"/>
    <n v="3436.4199999999983"/>
    <n v="9.1390065550262606E-2"/>
  </r>
  <r>
    <x v="1"/>
    <d v="2010-03-21T00:00:00"/>
    <x v="5"/>
    <x v="1"/>
    <x v="0"/>
    <x v="8"/>
    <x v="1"/>
    <n v="66097.03"/>
    <n v="70413.710000000006"/>
    <n v="4316.6800000000076"/>
    <n v="6.5308229431791529E-2"/>
  </r>
  <r>
    <x v="1"/>
    <d v="2010-03-21T00:00:00"/>
    <x v="5"/>
    <x v="1"/>
    <x v="0"/>
    <x v="9"/>
    <x v="2"/>
    <n v="213137.16"/>
    <n v="227113.27"/>
    <n v="13976.109999999986"/>
    <n v="6.5573314385909923E-2"/>
  </r>
  <r>
    <x v="1"/>
    <d v="2010-03-21T00:00:00"/>
    <x v="5"/>
    <x v="1"/>
    <x v="0"/>
    <x v="10"/>
    <x v="2"/>
    <n v="67494.81"/>
    <n v="71937.179999999993"/>
    <n v="4442.3699999999953"/>
    <n v="6.5817949557899269E-2"/>
  </r>
  <r>
    <x v="1"/>
    <d v="2010-03-21T00:00:00"/>
    <x v="5"/>
    <x v="1"/>
    <x v="0"/>
    <x v="11"/>
    <x v="2"/>
    <n v="41609.94"/>
    <n v="45381.19"/>
    <n v="3771.25"/>
    <n v="9.0633391925102502E-2"/>
  </r>
  <r>
    <x v="1"/>
    <d v="2010-03-21T00:00:00"/>
    <x v="5"/>
    <x v="1"/>
    <x v="0"/>
    <x v="13"/>
    <x v="3"/>
    <n v="9984"/>
    <n v="11479"/>
    <n v="1495"/>
    <n v="0.14973958333333334"/>
  </r>
  <r>
    <x v="1"/>
    <d v="2010-03-21T00:00:00"/>
    <x v="5"/>
    <x v="1"/>
    <x v="0"/>
    <x v="15"/>
    <x v="3"/>
    <n v="81065.02"/>
    <n v="88848.11"/>
    <n v="7783.0899999999965"/>
    <n v="9.6010461725661647E-2"/>
  </r>
  <r>
    <x v="1"/>
    <d v="2010-03-21T00:00:00"/>
    <x v="5"/>
    <x v="1"/>
    <x v="0"/>
    <x v="16"/>
    <x v="3"/>
    <n v="13016.94"/>
    <n v="14722.11"/>
    <n v="1705.17"/>
    <n v="0.13099622491922064"/>
  </r>
  <r>
    <x v="1"/>
    <d v="2010-03-21T00:00:00"/>
    <x v="5"/>
    <x v="1"/>
    <x v="0"/>
    <x v="17"/>
    <x v="4"/>
    <n v="43441.68"/>
    <n v="51452.09"/>
    <n v="8010.4099999999962"/>
    <n v="0.18439457221728064"/>
  </r>
  <r>
    <x v="1"/>
    <d v="2010-03-21T00:00:00"/>
    <x v="5"/>
    <x v="1"/>
    <x v="0"/>
    <x v="20"/>
    <x v="5"/>
    <n v="5749.82"/>
    <n v="8917.7800000000007"/>
    <n v="3167.9600000000009"/>
    <n v="0.55096681287414229"/>
  </r>
  <r>
    <x v="1"/>
    <d v="2010-03-21T00:00:00"/>
    <x v="5"/>
    <x v="1"/>
    <x v="0"/>
    <x v="22"/>
    <x v="6"/>
    <n v="3090"/>
    <n v="3390.65"/>
    <n v="300.65000000000009"/>
    <n v="9.7297734627831742E-2"/>
  </r>
  <r>
    <x v="1"/>
    <d v="2010-03-21T00:00:00"/>
    <x v="5"/>
    <x v="1"/>
    <x v="0"/>
    <x v="23"/>
    <x v="6"/>
    <n v="35759.370000000003"/>
    <n v="39956.97"/>
    <n v="4197.5999999999985"/>
    <n v="0.11738461835317564"/>
  </r>
  <r>
    <x v="1"/>
    <d v="2010-03-21T00:00:00"/>
    <x v="5"/>
    <x v="1"/>
    <x v="0"/>
    <x v="24"/>
    <x v="6"/>
    <n v="57982.06"/>
    <n v="62586.21"/>
    <n v="4604.1500000000015"/>
    <n v="7.9406457790564905E-2"/>
  </r>
  <r>
    <x v="1"/>
    <d v="2010-03-21T00:00:00"/>
    <x v="5"/>
    <x v="1"/>
    <x v="0"/>
    <x v="25"/>
    <x v="6"/>
    <n v="68787.11"/>
    <n v="73035.09"/>
    <n v="4247.9799999999959"/>
    <n v="6.1755465522537523E-2"/>
  </r>
  <r>
    <x v="1"/>
    <d v="2010-03-22T00:00:00"/>
    <x v="5"/>
    <x v="1"/>
    <x v="0"/>
    <x v="0"/>
    <x v="0"/>
    <n v="208"/>
    <n v="259.99"/>
    <n v="51.990000000000009"/>
    <n v="0.24995192307692313"/>
  </r>
  <r>
    <x v="1"/>
    <d v="2010-03-22T00:00:00"/>
    <x v="5"/>
    <x v="1"/>
    <x v="0"/>
    <x v="1"/>
    <x v="0"/>
    <n v="23254.68"/>
    <n v="26643.27"/>
    <n v="3388.59"/>
    <n v="0.14571647513532759"/>
  </r>
  <r>
    <x v="1"/>
    <d v="2010-03-22T00:00:00"/>
    <x v="5"/>
    <x v="1"/>
    <x v="0"/>
    <x v="2"/>
    <x v="0"/>
    <n v="29581.93"/>
    <n v="33278.449999999997"/>
    <n v="3696.5199999999968"/>
    <n v="0.12495871635150231"/>
  </r>
  <r>
    <x v="1"/>
    <d v="2010-03-22T00:00:00"/>
    <x v="5"/>
    <x v="1"/>
    <x v="0"/>
    <x v="4"/>
    <x v="0"/>
    <n v="2014.65"/>
    <n v="2207.91"/>
    <n v="193.25999999999976"/>
    <n v="9.5927332290968531E-2"/>
  </r>
  <r>
    <x v="1"/>
    <d v="2010-03-22T00:00:00"/>
    <x v="5"/>
    <x v="1"/>
    <x v="0"/>
    <x v="5"/>
    <x v="1"/>
    <n v="27735.59"/>
    <n v="31237.89"/>
    <n v="3502.2999999999993"/>
    <n v="0.12627458078230891"/>
  </r>
  <r>
    <x v="1"/>
    <d v="2010-03-22T00:00:00"/>
    <x v="5"/>
    <x v="1"/>
    <x v="0"/>
    <x v="6"/>
    <x v="1"/>
    <n v="143945.48000000001"/>
    <n v="150917.89000000001"/>
    <n v="6972.4100000000035"/>
    <n v="4.843785299823241E-2"/>
  </r>
  <r>
    <x v="1"/>
    <d v="2010-03-22T00:00:00"/>
    <x v="5"/>
    <x v="1"/>
    <x v="0"/>
    <x v="7"/>
    <x v="1"/>
    <n v="31248.46"/>
    <n v="34744.699999999997"/>
    <n v="3496.239999999998"/>
    <n v="0.11188519370234559"/>
  </r>
  <r>
    <x v="1"/>
    <d v="2010-03-22T00:00:00"/>
    <x v="5"/>
    <x v="1"/>
    <x v="0"/>
    <x v="8"/>
    <x v="1"/>
    <n v="45886.2"/>
    <n v="49178.23"/>
    <n v="3292.0300000000061"/>
    <n v="7.1743356390374588E-2"/>
  </r>
  <r>
    <x v="1"/>
    <d v="2010-03-22T00:00:00"/>
    <x v="5"/>
    <x v="1"/>
    <x v="0"/>
    <x v="9"/>
    <x v="2"/>
    <n v="183601.5"/>
    <n v="197397.25"/>
    <n v="13795.75"/>
    <n v="7.513963665874189E-2"/>
  </r>
  <r>
    <x v="1"/>
    <d v="2010-03-22T00:00:00"/>
    <x v="5"/>
    <x v="1"/>
    <x v="0"/>
    <x v="10"/>
    <x v="2"/>
    <n v="57998.71"/>
    <n v="61583.47"/>
    <n v="3584.760000000002"/>
    <n v="6.1807581582417989E-2"/>
  </r>
  <r>
    <x v="1"/>
    <d v="2010-03-22T00:00:00"/>
    <x v="5"/>
    <x v="1"/>
    <x v="0"/>
    <x v="11"/>
    <x v="2"/>
    <n v="49768.99"/>
    <n v="52879.53"/>
    <n v="3110.5400000000009"/>
    <n v="6.2499560469280187E-2"/>
  </r>
  <r>
    <x v="1"/>
    <d v="2010-03-22T00:00:00"/>
    <x v="5"/>
    <x v="1"/>
    <x v="0"/>
    <x v="13"/>
    <x v="3"/>
    <n v="11606.64"/>
    <n v="13344.52"/>
    <n v="1737.880000000001"/>
    <n v="0.14973153298456754"/>
  </r>
  <r>
    <x v="1"/>
    <d v="2010-03-22T00:00:00"/>
    <x v="5"/>
    <x v="1"/>
    <x v="0"/>
    <x v="15"/>
    <x v="3"/>
    <n v="66088.850000000006"/>
    <n v="72220.05"/>
    <n v="6131.1999999999971"/>
    <n v="9.2772078799979063E-2"/>
  </r>
  <r>
    <x v="1"/>
    <d v="2010-03-22T00:00:00"/>
    <x v="5"/>
    <x v="1"/>
    <x v="0"/>
    <x v="16"/>
    <x v="3"/>
    <n v="8993.5"/>
    <n v="10188.23"/>
    <n v="1194.7299999999996"/>
    <n v="0.13284372046478007"/>
  </r>
  <r>
    <x v="1"/>
    <d v="2010-03-22T00:00:00"/>
    <x v="5"/>
    <x v="1"/>
    <x v="0"/>
    <x v="17"/>
    <x v="4"/>
    <n v="39863.19"/>
    <n v="45825.81"/>
    <n v="5962.6199999999953"/>
    <n v="0.14957709104564876"/>
  </r>
  <r>
    <x v="1"/>
    <d v="2010-03-22T00:00:00"/>
    <x v="5"/>
    <x v="1"/>
    <x v="0"/>
    <x v="20"/>
    <x v="5"/>
    <n v="4413.82"/>
    <n v="6021.83"/>
    <n v="1608.0100000000002"/>
    <n v="0.36431254559542536"/>
  </r>
  <r>
    <x v="1"/>
    <d v="2010-03-22T00:00:00"/>
    <x v="5"/>
    <x v="1"/>
    <x v="0"/>
    <x v="22"/>
    <x v="6"/>
    <n v="4673"/>
    <n v="5065.26"/>
    <n v="392.26000000000022"/>
    <n v="8.3941793280547877E-2"/>
  </r>
  <r>
    <x v="1"/>
    <d v="2010-03-22T00:00:00"/>
    <x v="5"/>
    <x v="1"/>
    <x v="0"/>
    <x v="23"/>
    <x v="6"/>
    <n v="25827.77"/>
    <n v="28825.75"/>
    <n v="2997.9799999999996"/>
    <n v="0.11607583620266092"/>
  </r>
  <r>
    <x v="1"/>
    <d v="2010-03-22T00:00:00"/>
    <x v="5"/>
    <x v="1"/>
    <x v="0"/>
    <x v="24"/>
    <x v="6"/>
    <n v="37662.11"/>
    <n v="41516.51"/>
    <n v="3854.4000000000015"/>
    <n v="0.10234158415447253"/>
  </r>
  <r>
    <x v="1"/>
    <d v="2010-03-22T00:00:00"/>
    <x v="5"/>
    <x v="1"/>
    <x v="0"/>
    <x v="25"/>
    <x v="6"/>
    <n v="58589.19"/>
    <n v="61802.84"/>
    <n v="3213.6499999999942"/>
    <n v="5.4850562023472146E-2"/>
  </r>
  <r>
    <x v="1"/>
    <d v="2010-03-23T00:00:00"/>
    <x v="5"/>
    <x v="1"/>
    <x v="0"/>
    <x v="0"/>
    <x v="0"/>
    <n v="780"/>
    <n v="974.94"/>
    <n v="194.94000000000005"/>
    <n v="0.249923076923077"/>
  </r>
  <r>
    <x v="1"/>
    <d v="2010-03-23T00:00:00"/>
    <x v="5"/>
    <x v="1"/>
    <x v="0"/>
    <x v="1"/>
    <x v="0"/>
    <n v="14730.11"/>
    <n v="16874.310000000001"/>
    <n v="2144.2000000000007"/>
    <n v="0.14556578328335637"/>
  </r>
  <r>
    <x v="1"/>
    <d v="2010-03-23T00:00:00"/>
    <x v="5"/>
    <x v="1"/>
    <x v="0"/>
    <x v="2"/>
    <x v="0"/>
    <n v="14346.82"/>
    <n v="16291.59"/>
    <n v="1944.7700000000004"/>
    <n v="0.13555408097404167"/>
  </r>
  <r>
    <x v="1"/>
    <d v="2010-03-23T00:00:00"/>
    <x v="5"/>
    <x v="1"/>
    <x v="0"/>
    <x v="4"/>
    <x v="0"/>
    <n v="2059.56"/>
    <n v="2257.69"/>
    <n v="198.13000000000011"/>
    <n v="9.6200159257317147E-2"/>
  </r>
  <r>
    <x v="1"/>
    <d v="2010-03-23T00:00:00"/>
    <x v="5"/>
    <x v="1"/>
    <x v="0"/>
    <x v="5"/>
    <x v="1"/>
    <n v="20195.78"/>
    <n v="22952.080000000002"/>
    <n v="2756.3000000000029"/>
    <n v="0.13647900700047252"/>
  </r>
  <r>
    <x v="1"/>
    <d v="2010-03-23T00:00:00"/>
    <x v="5"/>
    <x v="1"/>
    <x v="0"/>
    <x v="6"/>
    <x v="1"/>
    <n v="129931.47"/>
    <n v="134992.47"/>
    <n v="5061"/>
    <n v="3.8951302559726293E-2"/>
  </r>
  <r>
    <x v="1"/>
    <d v="2010-03-23T00:00:00"/>
    <x v="5"/>
    <x v="1"/>
    <x v="0"/>
    <x v="7"/>
    <x v="1"/>
    <n v="18377.3"/>
    <n v="20290.400000000001"/>
    <n v="1913.1000000000022"/>
    <n v="0.10410125535307158"/>
  </r>
  <r>
    <x v="1"/>
    <d v="2010-03-23T00:00:00"/>
    <x v="5"/>
    <x v="1"/>
    <x v="0"/>
    <x v="8"/>
    <x v="1"/>
    <n v="20968.45"/>
    <n v="22321.07"/>
    <n v="1352.619999999999"/>
    <n v="6.4507390865800707E-2"/>
  </r>
  <r>
    <x v="1"/>
    <d v="2010-03-23T00:00:00"/>
    <x v="5"/>
    <x v="1"/>
    <x v="0"/>
    <x v="9"/>
    <x v="2"/>
    <n v="62715.63"/>
    <n v="68120.960000000006"/>
    <n v="5405.330000000009"/>
    <n v="8.6187924764528537E-2"/>
  </r>
  <r>
    <x v="1"/>
    <d v="2010-03-23T00:00:00"/>
    <x v="5"/>
    <x v="1"/>
    <x v="0"/>
    <x v="10"/>
    <x v="2"/>
    <n v="21763.51"/>
    <n v="23458.46"/>
    <n v="1694.9500000000007"/>
    <n v="7.7880360291147935E-2"/>
  </r>
  <r>
    <x v="1"/>
    <d v="2010-03-23T00:00:00"/>
    <x v="5"/>
    <x v="1"/>
    <x v="0"/>
    <x v="11"/>
    <x v="2"/>
    <n v="21786.5"/>
    <n v="23770.46"/>
    <n v="1983.9599999999991"/>
    <n v="9.1063732127693711E-2"/>
  </r>
  <r>
    <x v="1"/>
    <d v="2010-03-23T00:00:00"/>
    <x v="5"/>
    <x v="1"/>
    <x v="0"/>
    <x v="13"/>
    <x v="3"/>
    <n v="4301.12"/>
    <n v="4946.99"/>
    <n v="645.86999999999989"/>
    <n v="0.15016321330258164"/>
  </r>
  <r>
    <x v="1"/>
    <d v="2010-03-23T00:00:00"/>
    <x v="5"/>
    <x v="1"/>
    <x v="0"/>
    <x v="15"/>
    <x v="3"/>
    <n v="38450.050000000003"/>
    <n v="41866.269999999997"/>
    <n v="3416.2199999999939"/>
    <n v="8.8848258974955657E-2"/>
  </r>
  <r>
    <x v="1"/>
    <d v="2010-03-23T00:00:00"/>
    <x v="5"/>
    <x v="1"/>
    <x v="0"/>
    <x v="16"/>
    <x v="3"/>
    <n v="3540.12"/>
    <n v="3993.87"/>
    <n v="453.75"/>
    <n v="0.12817362123317855"/>
  </r>
  <r>
    <x v="1"/>
    <d v="2010-03-23T00:00:00"/>
    <x v="5"/>
    <x v="1"/>
    <x v="0"/>
    <x v="17"/>
    <x v="4"/>
    <n v="21769.39"/>
    <n v="25175.93"/>
    <n v="3406.5400000000009"/>
    <n v="0.15648302501815628"/>
  </r>
  <r>
    <x v="1"/>
    <d v="2010-03-23T00:00:00"/>
    <x v="5"/>
    <x v="1"/>
    <x v="0"/>
    <x v="20"/>
    <x v="5"/>
    <n v="2207"/>
    <n v="4078.22"/>
    <n v="1871.2199999999998"/>
    <n v="0.84785681921159939"/>
  </r>
  <r>
    <x v="1"/>
    <d v="2010-03-23T00:00:00"/>
    <x v="5"/>
    <x v="1"/>
    <x v="0"/>
    <x v="22"/>
    <x v="6"/>
    <n v="1899"/>
    <n v="2126.6799999999998"/>
    <n v="227.67999999999984"/>
    <n v="0.11989468141126901"/>
  </r>
  <r>
    <x v="1"/>
    <d v="2010-03-23T00:00:00"/>
    <x v="5"/>
    <x v="1"/>
    <x v="0"/>
    <x v="23"/>
    <x v="6"/>
    <n v="17115.79"/>
    <n v="19160.59"/>
    <n v="2044.7999999999993"/>
    <n v="0.11946863101264968"/>
  </r>
  <r>
    <x v="1"/>
    <d v="2010-03-23T00:00:00"/>
    <x v="5"/>
    <x v="1"/>
    <x v="0"/>
    <x v="24"/>
    <x v="6"/>
    <n v="25152.98"/>
    <n v="27445.79"/>
    <n v="2292.8100000000013"/>
    <n v="9.1154606730494817E-2"/>
  </r>
  <r>
    <x v="1"/>
    <d v="2010-03-23T00:00:00"/>
    <x v="5"/>
    <x v="1"/>
    <x v="0"/>
    <x v="25"/>
    <x v="6"/>
    <n v="47710.25"/>
    <n v="49245.78"/>
    <n v="1535.5299999999988"/>
    <n v="3.2184488658097553E-2"/>
  </r>
  <r>
    <x v="1"/>
    <d v="2010-03-24T00:00:00"/>
    <x v="5"/>
    <x v="1"/>
    <x v="0"/>
    <x v="1"/>
    <x v="0"/>
    <n v="14884.88"/>
    <n v="17425.54"/>
    <n v="2540.6600000000017"/>
    <n v="0.17068730147639766"/>
  </r>
  <r>
    <x v="1"/>
    <d v="2010-03-24T00:00:00"/>
    <x v="5"/>
    <x v="1"/>
    <x v="0"/>
    <x v="2"/>
    <x v="0"/>
    <n v="13670.61"/>
    <n v="15685.45"/>
    <n v="2014.8400000000001"/>
    <n v="0.14738479116879202"/>
  </r>
  <r>
    <x v="1"/>
    <d v="2010-03-24T00:00:00"/>
    <x v="5"/>
    <x v="1"/>
    <x v="0"/>
    <x v="3"/>
    <x v="0"/>
    <n v="710"/>
    <n v="724.6"/>
    <n v="14.600000000000023"/>
    <n v="2.0563380281690174E-2"/>
  </r>
  <r>
    <x v="1"/>
    <d v="2010-03-24T00:00:00"/>
    <x v="5"/>
    <x v="1"/>
    <x v="0"/>
    <x v="4"/>
    <x v="0"/>
    <n v="1578.65"/>
    <n v="1753.96"/>
    <n v="175.30999999999995"/>
    <n v="0.11105058119279126"/>
  </r>
  <r>
    <x v="1"/>
    <d v="2010-03-24T00:00:00"/>
    <x v="5"/>
    <x v="1"/>
    <x v="0"/>
    <x v="5"/>
    <x v="1"/>
    <n v="18787.98"/>
    <n v="21479"/>
    <n v="2691.0200000000004"/>
    <n v="0.14323093807849491"/>
  </r>
  <r>
    <x v="1"/>
    <d v="2010-03-24T00:00:00"/>
    <x v="5"/>
    <x v="1"/>
    <x v="0"/>
    <x v="6"/>
    <x v="1"/>
    <n v="117542.45"/>
    <n v="120723.99"/>
    <n v="3181.5400000000081"/>
    <n v="2.7067157439716528E-2"/>
  </r>
  <r>
    <x v="1"/>
    <d v="2010-03-24T00:00:00"/>
    <x v="5"/>
    <x v="1"/>
    <x v="0"/>
    <x v="7"/>
    <x v="1"/>
    <n v="12339.38"/>
    <n v="13824.06"/>
    <n v="1484.6800000000003"/>
    <n v="0.12032046991015759"/>
  </r>
  <r>
    <x v="1"/>
    <d v="2010-03-24T00:00:00"/>
    <x v="5"/>
    <x v="1"/>
    <x v="0"/>
    <x v="8"/>
    <x v="1"/>
    <n v="25499.08"/>
    <n v="27360.9"/>
    <n v="1861.8199999999997"/>
    <n v="7.301518329288742E-2"/>
  </r>
  <r>
    <x v="1"/>
    <d v="2010-03-24T00:00:00"/>
    <x v="5"/>
    <x v="1"/>
    <x v="0"/>
    <x v="9"/>
    <x v="2"/>
    <n v="58477.15"/>
    <n v="63074.03"/>
    <n v="4596.8799999999974"/>
    <n v="7.8609850172246726E-2"/>
  </r>
  <r>
    <x v="1"/>
    <d v="2010-03-24T00:00:00"/>
    <x v="5"/>
    <x v="1"/>
    <x v="0"/>
    <x v="10"/>
    <x v="2"/>
    <n v="29577.200000000001"/>
    <n v="31317.21"/>
    <n v="1740.0099999999984"/>
    <n v="5.8829436187333432E-2"/>
  </r>
  <r>
    <x v="1"/>
    <d v="2010-03-24T00:00:00"/>
    <x v="5"/>
    <x v="1"/>
    <x v="0"/>
    <x v="11"/>
    <x v="2"/>
    <n v="22116"/>
    <n v="23270.52"/>
    <n v="1154.5200000000004"/>
    <n v="5.2202930005425953E-2"/>
  </r>
  <r>
    <x v="1"/>
    <d v="2010-03-24T00:00:00"/>
    <x v="5"/>
    <x v="1"/>
    <x v="0"/>
    <x v="13"/>
    <x v="3"/>
    <n v="4369.28"/>
    <n v="5022.37"/>
    <n v="653.09000000000015"/>
    <n v="0.14947313973927059"/>
  </r>
  <r>
    <x v="1"/>
    <d v="2010-03-24T00:00:00"/>
    <x v="5"/>
    <x v="1"/>
    <x v="0"/>
    <x v="15"/>
    <x v="3"/>
    <n v="41318.67"/>
    <n v="44740.39"/>
    <n v="3421.7200000000012"/>
    <n v="8.2812926940775231E-2"/>
  </r>
  <r>
    <x v="1"/>
    <d v="2010-03-24T00:00:00"/>
    <x v="5"/>
    <x v="1"/>
    <x v="0"/>
    <x v="16"/>
    <x v="3"/>
    <n v="3908.74"/>
    <n v="4527.6499999999996"/>
    <n v="618.90999999999985"/>
    <n v="0.15834002773272202"/>
  </r>
  <r>
    <x v="1"/>
    <d v="2010-03-24T00:00:00"/>
    <x v="5"/>
    <x v="1"/>
    <x v="0"/>
    <x v="17"/>
    <x v="4"/>
    <n v="15443.45"/>
    <n v="18139.66"/>
    <n v="2696.2099999999991"/>
    <n v="0.17458598952954157"/>
  </r>
  <r>
    <x v="1"/>
    <d v="2010-03-24T00:00:00"/>
    <x v="5"/>
    <x v="1"/>
    <x v="0"/>
    <x v="20"/>
    <x v="5"/>
    <n v="1998"/>
    <n v="4007.18"/>
    <n v="2009.1799999999998"/>
    <n v="1.0055955955955955"/>
  </r>
  <r>
    <x v="1"/>
    <d v="2010-03-24T00:00:00"/>
    <x v="5"/>
    <x v="1"/>
    <x v="0"/>
    <x v="22"/>
    <x v="6"/>
    <n v="4766"/>
    <n v="5320.65"/>
    <n v="554.64999999999964"/>
    <n v="0.11637641628199741"/>
  </r>
  <r>
    <x v="1"/>
    <d v="2010-03-24T00:00:00"/>
    <x v="5"/>
    <x v="1"/>
    <x v="0"/>
    <x v="23"/>
    <x v="6"/>
    <n v="17481.79"/>
    <n v="19386.439999999999"/>
    <n v="1904.6499999999978"/>
    <n v="0.10895051364877383"/>
  </r>
  <r>
    <x v="1"/>
    <d v="2010-03-24T00:00:00"/>
    <x v="5"/>
    <x v="1"/>
    <x v="0"/>
    <x v="24"/>
    <x v="6"/>
    <n v="44243.1"/>
    <n v="46995.62"/>
    <n v="2752.5200000000041"/>
    <n v="6.221354290273521E-2"/>
  </r>
  <r>
    <x v="1"/>
    <d v="2010-03-24T00:00:00"/>
    <x v="5"/>
    <x v="1"/>
    <x v="0"/>
    <x v="25"/>
    <x v="6"/>
    <n v="30083.119999999999"/>
    <n v="31347.29"/>
    <n v="1264.1700000000019"/>
    <n v="4.2022569467528699E-2"/>
  </r>
  <r>
    <x v="1"/>
    <d v="2010-03-25T00:00:00"/>
    <x v="5"/>
    <x v="1"/>
    <x v="0"/>
    <x v="0"/>
    <x v="0"/>
    <n v="624"/>
    <n v="779.93"/>
    <n v="155.92999999999995"/>
    <n v="0.24988782051282044"/>
  </r>
  <r>
    <x v="1"/>
    <d v="2010-03-25T00:00:00"/>
    <x v="5"/>
    <x v="1"/>
    <x v="0"/>
    <x v="1"/>
    <x v="0"/>
    <n v="10923.19"/>
    <n v="12974.47"/>
    <n v="2051.2799999999988"/>
    <n v="0.18779129539997003"/>
  </r>
  <r>
    <x v="1"/>
    <d v="2010-03-25T00:00:00"/>
    <x v="5"/>
    <x v="1"/>
    <x v="0"/>
    <x v="2"/>
    <x v="0"/>
    <n v="8593.84"/>
    <n v="9616.4500000000007"/>
    <n v="1022.6100000000006"/>
    <n v="0.11899337199668607"/>
  </r>
  <r>
    <x v="1"/>
    <d v="2010-03-25T00:00:00"/>
    <x v="5"/>
    <x v="1"/>
    <x v="0"/>
    <x v="4"/>
    <x v="0"/>
    <n v="426"/>
    <n v="452.95"/>
    <n v="26.949999999999989"/>
    <n v="6.3262910798122032E-2"/>
  </r>
  <r>
    <x v="1"/>
    <d v="2010-03-25T00:00:00"/>
    <x v="5"/>
    <x v="1"/>
    <x v="0"/>
    <x v="5"/>
    <x v="1"/>
    <n v="18452.11"/>
    <n v="20577.96"/>
    <n v="2125.8499999999985"/>
    <n v="0.1152090465534835"/>
  </r>
  <r>
    <x v="1"/>
    <d v="2010-03-25T00:00:00"/>
    <x v="5"/>
    <x v="1"/>
    <x v="0"/>
    <x v="6"/>
    <x v="1"/>
    <n v="76679.86"/>
    <n v="78892.13"/>
    <n v="2212.2700000000041"/>
    <n v="2.8850730817714117E-2"/>
  </r>
  <r>
    <x v="1"/>
    <d v="2010-03-25T00:00:00"/>
    <x v="5"/>
    <x v="1"/>
    <x v="0"/>
    <x v="7"/>
    <x v="1"/>
    <n v="12048.58"/>
    <n v="13030.23"/>
    <n v="981.64999999999964"/>
    <n v="8.1474331414988291E-2"/>
  </r>
  <r>
    <x v="1"/>
    <d v="2010-03-25T00:00:00"/>
    <x v="5"/>
    <x v="1"/>
    <x v="0"/>
    <x v="8"/>
    <x v="1"/>
    <n v="22962.65"/>
    <n v="24290.33"/>
    <n v="1327.6800000000003"/>
    <n v="5.7819110599168659E-2"/>
  </r>
  <r>
    <x v="1"/>
    <d v="2010-03-25T00:00:00"/>
    <x v="5"/>
    <x v="1"/>
    <x v="0"/>
    <x v="9"/>
    <x v="2"/>
    <n v="25539"/>
    <n v="28205.4"/>
    <n v="2666.4000000000015"/>
    <n v="0.10440502760483972"/>
  </r>
  <r>
    <x v="1"/>
    <d v="2010-03-25T00:00:00"/>
    <x v="5"/>
    <x v="1"/>
    <x v="0"/>
    <x v="10"/>
    <x v="2"/>
    <n v="12036.3"/>
    <n v="13149.9"/>
    <n v="1113.6000000000004"/>
    <n v="9.2520126616983667E-2"/>
  </r>
  <r>
    <x v="1"/>
    <d v="2010-03-25T00:00:00"/>
    <x v="5"/>
    <x v="1"/>
    <x v="0"/>
    <x v="11"/>
    <x v="2"/>
    <n v="12834.99"/>
    <n v="14436.86"/>
    <n v="1601.8700000000008"/>
    <n v="0.12480492777945296"/>
  </r>
  <r>
    <x v="1"/>
    <d v="2010-03-25T00:00:00"/>
    <x v="5"/>
    <x v="1"/>
    <x v="0"/>
    <x v="13"/>
    <x v="3"/>
    <n v="4019.5"/>
    <n v="4621.8599999999997"/>
    <n v="602.35999999999967"/>
    <n v="0.14985943525314085"/>
  </r>
  <r>
    <x v="1"/>
    <d v="2010-03-25T00:00:00"/>
    <x v="5"/>
    <x v="1"/>
    <x v="0"/>
    <x v="15"/>
    <x v="3"/>
    <n v="48908.73"/>
    <n v="52385.85"/>
    <n v="3477.1199999999953"/>
    <n v="7.1094056214503931E-2"/>
  </r>
  <r>
    <x v="1"/>
    <d v="2010-03-25T00:00:00"/>
    <x v="5"/>
    <x v="1"/>
    <x v="0"/>
    <x v="16"/>
    <x v="3"/>
    <n v="2826.82"/>
    <n v="3280.87"/>
    <n v="454.04999999999973"/>
    <n v="0.16062218323062655"/>
  </r>
  <r>
    <x v="1"/>
    <d v="2010-03-25T00:00:00"/>
    <x v="5"/>
    <x v="1"/>
    <x v="0"/>
    <x v="17"/>
    <x v="4"/>
    <n v="12460.43"/>
    <n v="14922.59"/>
    <n v="2462.16"/>
    <n v="0.19759831723303287"/>
  </r>
  <r>
    <x v="1"/>
    <d v="2010-03-25T00:00:00"/>
    <x v="5"/>
    <x v="1"/>
    <x v="0"/>
    <x v="20"/>
    <x v="5"/>
    <n v="2332"/>
    <n v="4076.23"/>
    <n v="1744.23"/>
    <n v="0.74795454545454543"/>
  </r>
  <r>
    <x v="1"/>
    <d v="2010-03-25T00:00:00"/>
    <x v="5"/>
    <x v="1"/>
    <x v="0"/>
    <x v="22"/>
    <x v="6"/>
    <n v="266"/>
    <n v="297.95"/>
    <n v="31.949999999999989"/>
    <n v="0.12011278195488717"/>
  </r>
  <r>
    <x v="1"/>
    <d v="2010-03-25T00:00:00"/>
    <x v="5"/>
    <x v="1"/>
    <x v="0"/>
    <x v="23"/>
    <x v="6"/>
    <n v="10071.24"/>
    <n v="11213.19"/>
    <n v="1141.9500000000007"/>
    <n v="0.11338722937791183"/>
  </r>
  <r>
    <x v="1"/>
    <d v="2010-03-25T00:00:00"/>
    <x v="5"/>
    <x v="1"/>
    <x v="0"/>
    <x v="24"/>
    <x v="6"/>
    <n v="21528.13"/>
    <n v="23721.25"/>
    <n v="2193.119999999999"/>
    <n v="0.10187229452813593"/>
  </r>
  <r>
    <x v="1"/>
    <d v="2010-03-25T00:00:00"/>
    <x v="5"/>
    <x v="1"/>
    <x v="0"/>
    <x v="25"/>
    <x v="6"/>
    <n v="21436.639999999999"/>
    <n v="22104.43"/>
    <n v="667.79000000000087"/>
    <n v="3.1151803640869134E-2"/>
  </r>
  <r>
    <x v="1"/>
    <d v="2010-03-26T00:00:00"/>
    <x v="5"/>
    <x v="1"/>
    <x v="0"/>
    <x v="0"/>
    <x v="0"/>
    <n v="780"/>
    <n v="974.96"/>
    <n v="194.96000000000004"/>
    <n v="0.24994871794871801"/>
  </r>
  <r>
    <x v="1"/>
    <d v="2010-03-26T00:00:00"/>
    <x v="5"/>
    <x v="1"/>
    <x v="0"/>
    <x v="1"/>
    <x v="0"/>
    <n v="15893.66"/>
    <n v="18078.21"/>
    <n v="2184.5499999999993"/>
    <n v="0.13744788802579136"/>
  </r>
  <r>
    <x v="1"/>
    <d v="2010-03-26T00:00:00"/>
    <x v="5"/>
    <x v="1"/>
    <x v="0"/>
    <x v="2"/>
    <x v="0"/>
    <n v="10659.04"/>
    <n v="12281.54"/>
    <n v="1622.5"/>
    <n v="0.15221821102087993"/>
  </r>
  <r>
    <x v="1"/>
    <d v="2010-03-26T00:00:00"/>
    <x v="5"/>
    <x v="1"/>
    <x v="0"/>
    <x v="4"/>
    <x v="0"/>
    <n v="1430"/>
    <n v="1510.49"/>
    <n v="80.490000000000009"/>
    <n v="5.6286713286713294E-2"/>
  </r>
  <r>
    <x v="1"/>
    <d v="2010-03-26T00:00:00"/>
    <x v="5"/>
    <x v="1"/>
    <x v="0"/>
    <x v="5"/>
    <x v="1"/>
    <n v="16553"/>
    <n v="18648.64"/>
    <n v="2095.6399999999994"/>
    <n v="0.12660182444269918"/>
  </r>
  <r>
    <x v="1"/>
    <d v="2010-03-26T00:00:00"/>
    <x v="5"/>
    <x v="1"/>
    <x v="0"/>
    <x v="6"/>
    <x v="1"/>
    <n v="120142.28"/>
    <n v="122819.04"/>
    <n v="2676.7599999999948"/>
    <n v="2.227991677867271E-2"/>
  </r>
  <r>
    <x v="1"/>
    <d v="2010-03-26T00:00:00"/>
    <x v="5"/>
    <x v="1"/>
    <x v="0"/>
    <x v="7"/>
    <x v="1"/>
    <n v="18577.59"/>
    <n v="20126.72"/>
    <n v="1549.130000000001"/>
    <n v="8.338702705786924E-2"/>
  </r>
  <r>
    <x v="1"/>
    <d v="2010-03-26T00:00:00"/>
    <x v="5"/>
    <x v="1"/>
    <x v="0"/>
    <x v="8"/>
    <x v="1"/>
    <n v="29949.98"/>
    <n v="32175.8"/>
    <n v="2225.8199999999997"/>
    <n v="7.4317912733163752E-2"/>
  </r>
  <r>
    <x v="1"/>
    <d v="2010-03-26T00:00:00"/>
    <x v="5"/>
    <x v="1"/>
    <x v="0"/>
    <x v="9"/>
    <x v="2"/>
    <n v="94735.52"/>
    <n v="103966.61"/>
    <n v="9231.0899999999965"/>
    <n v="9.7440643171642444E-2"/>
  </r>
  <r>
    <x v="1"/>
    <d v="2010-03-26T00:00:00"/>
    <x v="5"/>
    <x v="1"/>
    <x v="0"/>
    <x v="10"/>
    <x v="2"/>
    <n v="28968.9"/>
    <n v="30819.360000000001"/>
    <n v="1850.4599999999991"/>
    <n v="6.3877468595631828E-2"/>
  </r>
  <r>
    <x v="1"/>
    <d v="2010-03-26T00:00:00"/>
    <x v="5"/>
    <x v="1"/>
    <x v="0"/>
    <x v="11"/>
    <x v="2"/>
    <n v="27848.5"/>
    <n v="30049.79"/>
    <n v="2201.2900000000009"/>
    <n v="7.9045190943856966E-2"/>
  </r>
  <r>
    <x v="1"/>
    <d v="2010-03-26T00:00:00"/>
    <x v="5"/>
    <x v="1"/>
    <x v="0"/>
    <x v="13"/>
    <x v="3"/>
    <n v="3644.1"/>
    <n v="4190.62"/>
    <n v="546.52"/>
    <n v="0.14997393046294008"/>
  </r>
  <r>
    <x v="1"/>
    <d v="2010-03-26T00:00:00"/>
    <x v="5"/>
    <x v="1"/>
    <x v="0"/>
    <x v="15"/>
    <x v="3"/>
    <n v="38010.550000000003"/>
    <n v="42217.78"/>
    <n v="4207.2299999999959"/>
    <n v="0.11068584906032655"/>
  </r>
  <r>
    <x v="1"/>
    <d v="2010-03-26T00:00:00"/>
    <x v="5"/>
    <x v="1"/>
    <x v="0"/>
    <x v="16"/>
    <x v="3"/>
    <n v="3790.48"/>
    <n v="4433.5"/>
    <n v="643.02"/>
    <n v="0.16964078428061879"/>
  </r>
  <r>
    <x v="1"/>
    <d v="2010-03-26T00:00:00"/>
    <x v="5"/>
    <x v="1"/>
    <x v="0"/>
    <x v="17"/>
    <x v="4"/>
    <n v="17066.88"/>
    <n v="18913.29"/>
    <n v="1846.4099999999999"/>
    <n v="0.10818673360332995"/>
  </r>
  <r>
    <x v="1"/>
    <d v="2010-03-26T00:00:00"/>
    <x v="5"/>
    <x v="1"/>
    <x v="0"/>
    <x v="20"/>
    <x v="5"/>
    <n v="2736.5"/>
    <n v="5167.8999999999996"/>
    <n v="2431.3999999999996"/>
    <n v="0.88850721724830972"/>
  </r>
  <r>
    <x v="1"/>
    <d v="2010-03-26T00:00:00"/>
    <x v="5"/>
    <x v="1"/>
    <x v="0"/>
    <x v="22"/>
    <x v="6"/>
    <n v="2115"/>
    <n v="2334.1"/>
    <n v="219.09999999999991"/>
    <n v="0.10359338061465717"/>
  </r>
  <r>
    <x v="1"/>
    <d v="2010-03-26T00:00:00"/>
    <x v="5"/>
    <x v="1"/>
    <x v="0"/>
    <x v="23"/>
    <x v="6"/>
    <n v="15881.9"/>
    <n v="17486.77"/>
    <n v="1604.8700000000008"/>
    <n v="0.10105025217385834"/>
  </r>
  <r>
    <x v="1"/>
    <d v="2010-03-26T00:00:00"/>
    <x v="5"/>
    <x v="1"/>
    <x v="0"/>
    <x v="24"/>
    <x v="6"/>
    <n v="25162.67"/>
    <n v="27441.439999999999"/>
    <n v="2278.7700000000004"/>
    <n v="9.0561534209207553E-2"/>
  </r>
  <r>
    <x v="1"/>
    <d v="2010-03-26T00:00:00"/>
    <x v="5"/>
    <x v="1"/>
    <x v="0"/>
    <x v="25"/>
    <x v="6"/>
    <n v="38562.129999999997"/>
    <n v="39398.1"/>
    <n v="835.97000000000116"/>
    <n v="2.1678522426017473E-2"/>
  </r>
  <r>
    <x v="1"/>
    <d v="2010-03-27T00:00:00"/>
    <x v="5"/>
    <x v="1"/>
    <x v="0"/>
    <x v="0"/>
    <x v="0"/>
    <n v="416"/>
    <n v="519.96"/>
    <n v="103.96000000000004"/>
    <n v="0.24990384615384625"/>
  </r>
  <r>
    <x v="1"/>
    <d v="2010-03-27T00:00:00"/>
    <x v="5"/>
    <x v="1"/>
    <x v="0"/>
    <x v="1"/>
    <x v="0"/>
    <n v="20661.96"/>
    <n v="24332.63"/>
    <n v="3670.6700000000019"/>
    <n v="0.17765352367345605"/>
  </r>
  <r>
    <x v="1"/>
    <d v="2010-03-27T00:00:00"/>
    <x v="5"/>
    <x v="1"/>
    <x v="0"/>
    <x v="2"/>
    <x v="0"/>
    <n v="23791.68"/>
    <n v="27627.63"/>
    <n v="3835.9500000000007"/>
    <n v="0.16123073276035996"/>
  </r>
  <r>
    <x v="1"/>
    <d v="2010-03-27T00:00:00"/>
    <x v="5"/>
    <x v="1"/>
    <x v="0"/>
    <x v="4"/>
    <x v="0"/>
    <n v="6998.15"/>
    <n v="7721.81"/>
    <n v="723.66000000000076"/>
    <n v="0.10340732907982836"/>
  </r>
  <r>
    <x v="1"/>
    <d v="2010-03-27T00:00:00"/>
    <x v="5"/>
    <x v="1"/>
    <x v="0"/>
    <x v="5"/>
    <x v="1"/>
    <n v="23169.53"/>
    <n v="26095.06"/>
    <n v="2925.5300000000025"/>
    <n v="0.1262662643566789"/>
  </r>
  <r>
    <x v="1"/>
    <d v="2010-03-27T00:00:00"/>
    <x v="5"/>
    <x v="1"/>
    <x v="0"/>
    <x v="6"/>
    <x v="1"/>
    <n v="179556.75"/>
    <n v="184999.58"/>
    <n v="5442.8299999999872"/>
    <n v="3.0312589195337893E-2"/>
  </r>
  <r>
    <x v="1"/>
    <d v="2010-03-27T00:00:00"/>
    <x v="5"/>
    <x v="1"/>
    <x v="0"/>
    <x v="7"/>
    <x v="1"/>
    <n v="32884.54"/>
    <n v="35542.21"/>
    <n v="2657.6699999999983"/>
    <n v="8.0818220355218531E-2"/>
  </r>
  <r>
    <x v="1"/>
    <d v="2010-03-27T00:00:00"/>
    <x v="5"/>
    <x v="1"/>
    <x v="0"/>
    <x v="8"/>
    <x v="1"/>
    <n v="38039.99"/>
    <n v="40900.07"/>
    <n v="2860.0800000000017"/>
    <n v="7.5186139638838023E-2"/>
  </r>
  <r>
    <x v="1"/>
    <d v="2010-03-27T00:00:00"/>
    <x v="5"/>
    <x v="1"/>
    <x v="0"/>
    <x v="9"/>
    <x v="2"/>
    <n v="72348.03"/>
    <n v="80237.94"/>
    <n v="7889.9100000000035"/>
    <n v="0.10905493902183658"/>
  </r>
  <r>
    <x v="1"/>
    <d v="2010-03-27T00:00:00"/>
    <x v="5"/>
    <x v="1"/>
    <x v="0"/>
    <x v="10"/>
    <x v="2"/>
    <n v="25276.7"/>
    <n v="27231.88"/>
    <n v="1955.1800000000003"/>
    <n v="7.735107826575463E-2"/>
  </r>
  <r>
    <x v="1"/>
    <d v="2010-03-27T00:00:00"/>
    <x v="5"/>
    <x v="1"/>
    <x v="0"/>
    <x v="11"/>
    <x v="2"/>
    <n v="32449.98"/>
    <n v="34807.040000000001"/>
    <n v="2357.0600000000013"/>
    <n v="7.2636716571165882E-2"/>
  </r>
  <r>
    <x v="1"/>
    <d v="2010-03-27T00:00:00"/>
    <x v="5"/>
    <x v="1"/>
    <x v="0"/>
    <x v="13"/>
    <x v="3"/>
    <n v="1187.3"/>
    <n v="1364.64"/>
    <n v="177.34000000000015"/>
    <n v="0.1493641034279459"/>
  </r>
  <r>
    <x v="1"/>
    <d v="2010-03-27T00:00:00"/>
    <x v="5"/>
    <x v="1"/>
    <x v="0"/>
    <x v="15"/>
    <x v="3"/>
    <n v="49610.47"/>
    <n v="53810.98"/>
    <n v="4200.510000000002"/>
    <n v="8.4669828768000013E-2"/>
  </r>
  <r>
    <x v="1"/>
    <d v="2010-03-27T00:00:00"/>
    <x v="5"/>
    <x v="1"/>
    <x v="0"/>
    <x v="16"/>
    <x v="3"/>
    <n v="963.88"/>
    <n v="1119.6099999999999"/>
    <n v="155.7299999999999"/>
    <n v="0.16156575507324553"/>
  </r>
  <r>
    <x v="1"/>
    <d v="2010-03-27T00:00:00"/>
    <x v="5"/>
    <x v="1"/>
    <x v="0"/>
    <x v="17"/>
    <x v="4"/>
    <n v="27744.04"/>
    <n v="30958.6"/>
    <n v="3214.5599999999977"/>
    <n v="0.11586488485454885"/>
  </r>
  <r>
    <x v="1"/>
    <d v="2010-03-27T00:00:00"/>
    <x v="5"/>
    <x v="1"/>
    <x v="0"/>
    <x v="20"/>
    <x v="5"/>
    <n v="1979.5"/>
    <n v="3486.4"/>
    <n v="1506.9"/>
    <n v="0.76125284162667339"/>
  </r>
  <r>
    <x v="1"/>
    <d v="2010-03-27T00:00:00"/>
    <x v="5"/>
    <x v="1"/>
    <x v="0"/>
    <x v="22"/>
    <x v="6"/>
    <n v="1599"/>
    <n v="1657.56"/>
    <n v="58.559999999999945"/>
    <n v="3.66228893058161E-2"/>
  </r>
  <r>
    <x v="1"/>
    <d v="2010-03-27T00:00:00"/>
    <x v="5"/>
    <x v="1"/>
    <x v="0"/>
    <x v="23"/>
    <x v="6"/>
    <n v="16102.11"/>
    <n v="17900.12"/>
    <n v="1798.0099999999984"/>
    <n v="0.11166300565578041"/>
  </r>
  <r>
    <x v="1"/>
    <d v="2010-03-27T00:00:00"/>
    <x v="5"/>
    <x v="1"/>
    <x v="0"/>
    <x v="24"/>
    <x v="6"/>
    <n v="41330.82"/>
    <n v="44781.02"/>
    <n v="3450.1999999999971"/>
    <n v="8.3477656625249558E-2"/>
  </r>
  <r>
    <x v="1"/>
    <d v="2010-03-27T00:00:00"/>
    <x v="5"/>
    <x v="1"/>
    <x v="0"/>
    <x v="25"/>
    <x v="6"/>
    <n v="41695.68"/>
    <n v="43333.599999999999"/>
    <n v="1637.9199999999983"/>
    <n v="3.9282726651777788E-2"/>
  </r>
  <r>
    <x v="1"/>
    <d v="2010-03-28T00:00:00"/>
    <x v="6"/>
    <x v="1"/>
    <x v="0"/>
    <x v="0"/>
    <x v="0"/>
    <n v="728"/>
    <n v="909.93"/>
    <n v="181.92999999999995"/>
    <n v="0.24990384615384609"/>
  </r>
  <r>
    <x v="1"/>
    <d v="2010-03-28T00:00:00"/>
    <x v="6"/>
    <x v="1"/>
    <x v="0"/>
    <x v="1"/>
    <x v="0"/>
    <n v="18480.830000000002"/>
    <n v="21970.12"/>
    <n v="3489.2899999999972"/>
    <n v="0.18880591402009525"/>
  </r>
  <r>
    <x v="1"/>
    <d v="2010-03-28T00:00:00"/>
    <x v="6"/>
    <x v="1"/>
    <x v="0"/>
    <x v="2"/>
    <x v="0"/>
    <n v="26017.360000000001"/>
    <n v="29763.360000000001"/>
    <n v="3746"/>
    <n v="0.14398078821217833"/>
  </r>
  <r>
    <x v="1"/>
    <d v="2010-03-28T00:00:00"/>
    <x v="6"/>
    <x v="1"/>
    <x v="0"/>
    <x v="4"/>
    <x v="0"/>
    <n v="568"/>
    <n v="603.87"/>
    <n v="35.870000000000005"/>
    <n v="6.315140845070423E-2"/>
  </r>
  <r>
    <x v="1"/>
    <d v="2010-03-28T00:00:00"/>
    <x v="6"/>
    <x v="1"/>
    <x v="0"/>
    <x v="5"/>
    <x v="1"/>
    <n v="33522.160000000003"/>
    <n v="37978.04"/>
    <n v="4455.8799999999974"/>
    <n v="0.1329234154362367"/>
  </r>
  <r>
    <x v="1"/>
    <d v="2010-03-28T00:00:00"/>
    <x v="6"/>
    <x v="1"/>
    <x v="0"/>
    <x v="6"/>
    <x v="1"/>
    <n v="164910.19"/>
    <n v="173386.14"/>
    <n v="8475.9500000000116"/>
    <n v="5.139736968346232E-2"/>
  </r>
  <r>
    <x v="1"/>
    <d v="2010-03-28T00:00:00"/>
    <x v="6"/>
    <x v="1"/>
    <x v="0"/>
    <x v="7"/>
    <x v="1"/>
    <n v="31164.74"/>
    <n v="34042.269999999997"/>
    <n v="2877.5299999999952"/>
    <n v="9.2332873625770501E-2"/>
  </r>
  <r>
    <x v="1"/>
    <d v="2010-03-28T00:00:00"/>
    <x v="6"/>
    <x v="1"/>
    <x v="0"/>
    <x v="8"/>
    <x v="1"/>
    <n v="45307.62"/>
    <n v="48469.919999999998"/>
    <n v="3162.2999999999956"/>
    <n v="6.9796206465932126E-2"/>
  </r>
  <r>
    <x v="1"/>
    <d v="2010-03-28T00:00:00"/>
    <x v="6"/>
    <x v="1"/>
    <x v="0"/>
    <x v="9"/>
    <x v="2"/>
    <n v="63222.01"/>
    <n v="68875.81"/>
    <n v="5653.7999999999956"/>
    <n v="8.942771670815268E-2"/>
  </r>
  <r>
    <x v="1"/>
    <d v="2010-03-28T00:00:00"/>
    <x v="6"/>
    <x v="1"/>
    <x v="0"/>
    <x v="10"/>
    <x v="2"/>
    <n v="18442.91"/>
    <n v="19697.75"/>
    <n v="1254.8400000000001"/>
    <n v="6.8039154341695537E-2"/>
  </r>
  <r>
    <x v="1"/>
    <d v="2010-03-28T00:00:00"/>
    <x v="6"/>
    <x v="1"/>
    <x v="0"/>
    <x v="11"/>
    <x v="2"/>
    <n v="39214.5"/>
    <n v="40934.019999999997"/>
    <n v="1719.5199999999968"/>
    <n v="4.384908643486457E-2"/>
  </r>
  <r>
    <x v="1"/>
    <d v="2010-03-28T00:00:00"/>
    <x v="6"/>
    <x v="1"/>
    <x v="0"/>
    <x v="13"/>
    <x v="3"/>
    <n v="2137.3200000000002"/>
    <n v="2458.08"/>
    <n v="320.75999999999976"/>
    <n v="0.15007579585649305"/>
  </r>
  <r>
    <x v="1"/>
    <d v="2010-03-28T00:00:00"/>
    <x v="6"/>
    <x v="1"/>
    <x v="0"/>
    <x v="15"/>
    <x v="3"/>
    <n v="40432.339999999997"/>
    <n v="45725.29"/>
    <n v="5292.9500000000044"/>
    <n v="0.13090882199744078"/>
  </r>
  <r>
    <x v="1"/>
    <d v="2010-03-28T00:00:00"/>
    <x v="6"/>
    <x v="1"/>
    <x v="0"/>
    <x v="16"/>
    <x v="3"/>
    <n v="2093.86"/>
    <n v="2430.5"/>
    <n v="336.63999999999987"/>
    <n v="0.16077483690409095"/>
  </r>
  <r>
    <x v="1"/>
    <d v="2010-03-28T00:00:00"/>
    <x v="6"/>
    <x v="1"/>
    <x v="0"/>
    <x v="17"/>
    <x v="4"/>
    <n v="14719.33"/>
    <n v="16970.689999999999"/>
    <n v="2251.3599999999988"/>
    <n v="0.15295261401164312"/>
  </r>
  <r>
    <x v="1"/>
    <d v="2010-03-28T00:00:00"/>
    <x v="6"/>
    <x v="1"/>
    <x v="0"/>
    <x v="20"/>
    <x v="5"/>
    <n v="8166.32"/>
    <n v="10242.209999999999"/>
    <n v="2075.8899999999994"/>
    <n v="0.25420140283505904"/>
  </r>
  <r>
    <x v="1"/>
    <d v="2010-03-28T00:00:00"/>
    <x v="6"/>
    <x v="1"/>
    <x v="0"/>
    <x v="22"/>
    <x v="6"/>
    <n v="5309"/>
    <n v="5922.06"/>
    <n v="613.0600000000004"/>
    <n v="0.1154756074590319"/>
  </r>
  <r>
    <x v="1"/>
    <d v="2010-03-28T00:00:00"/>
    <x v="6"/>
    <x v="1"/>
    <x v="0"/>
    <x v="23"/>
    <x v="6"/>
    <n v="21912.62"/>
    <n v="24390.1"/>
    <n v="2477.4799999999996"/>
    <n v="0.11306178813852473"/>
  </r>
  <r>
    <x v="1"/>
    <d v="2010-03-28T00:00:00"/>
    <x v="6"/>
    <x v="1"/>
    <x v="0"/>
    <x v="24"/>
    <x v="6"/>
    <n v="37637.79"/>
    <n v="41268.49"/>
    <n v="3630.6999999999971"/>
    <n v="9.6464218542055655E-2"/>
  </r>
  <r>
    <x v="1"/>
    <d v="2010-03-28T00:00:00"/>
    <x v="6"/>
    <x v="1"/>
    <x v="0"/>
    <x v="25"/>
    <x v="6"/>
    <n v="56972.03"/>
    <n v="58202.83"/>
    <n v="1230.8000000000029"/>
    <n v="2.1603583372402264E-2"/>
  </r>
  <r>
    <x v="1"/>
    <d v="2010-03-29T00:00:00"/>
    <x v="6"/>
    <x v="1"/>
    <x v="0"/>
    <x v="0"/>
    <x v="0"/>
    <n v="416"/>
    <n v="519.96"/>
    <n v="103.96000000000004"/>
    <n v="0.24990384615384625"/>
  </r>
  <r>
    <x v="1"/>
    <d v="2010-03-29T00:00:00"/>
    <x v="6"/>
    <x v="1"/>
    <x v="0"/>
    <x v="1"/>
    <x v="0"/>
    <n v="16261.05"/>
    <n v="18635.87"/>
    <n v="2374.8199999999997"/>
    <n v="0.14604345967818805"/>
  </r>
  <r>
    <x v="1"/>
    <d v="2010-03-29T00:00:00"/>
    <x v="6"/>
    <x v="1"/>
    <x v="0"/>
    <x v="2"/>
    <x v="0"/>
    <n v="15203.81"/>
    <n v="17396.310000000001"/>
    <n v="2192.5000000000018"/>
    <n v="0.14420727436083469"/>
  </r>
  <r>
    <x v="1"/>
    <d v="2010-03-29T00:00:00"/>
    <x v="6"/>
    <x v="1"/>
    <x v="0"/>
    <x v="4"/>
    <x v="0"/>
    <n v="1705.12"/>
    <n v="1949"/>
    <n v="243.88000000000011"/>
    <n v="0.14302805667636304"/>
  </r>
  <r>
    <x v="1"/>
    <d v="2010-03-29T00:00:00"/>
    <x v="6"/>
    <x v="1"/>
    <x v="0"/>
    <x v="5"/>
    <x v="1"/>
    <n v="25549.3"/>
    <n v="28099.119999999999"/>
    <n v="2549.8199999999997"/>
    <n v="9.9799994520397811E-2"/>
  </r>
  <r>
    <x v="1"/>
    <d v="2010-03-29T00:00:00"/>
    <x v="6"/>
    <x v="1"/>
    <x v="0"/>
    <x v="6"/>
    <x v="1"/>
    <n v="138308.01"/>
    <n v="142604.79999999999"/>
    <n v="4296.789999999979"/>
    <n v="3.1066819629607705E-2"/>
  </r>
  <r>
    <x v="1"/>
    <d v="2010-03-29T00:00:00"/>
    <x v="6"/>
    <x v="1"/>
    <x v="0"/>
    <x v="7"/>
    <x v="1"/>
    <n v="17303.22"/>
    <n v="18774.189999999999"/>
    <n v="1470.9699999999975"/>
    <n v="8.5011344709250494E-2"/>
  </r>
  <r>
    <x v="1"/>
    <d v="2010-03-29T00:00:00"/>
    <x v="6"/>
    <x v="1"/>
    <x v="0"/>
    <x v="8"/>
    <x v="1"/>
    <n v="30357.29"/>
    <n v="31699.62"/>
    <n v="1342.3299999999981"/>
    <n v="4.4217715085898578E-2"/>
  </r>
  <r>
    <x v="1"/>
    <d v="2010-03-29T00:00:00"/>
    <x v="6"/>
    <x v="1"/>
    <x v="0"/>
    <x v="9"/>
    <x v="2"/>
    <n v="46440"/>
    <n v="49543.65"/>
    <n v="3103.6500000000015"/>
    <n v="6.6831395348837239E-2"/>
  </r>
  <r>
    <x v="1"/>
    <d v="2010-03-29T00:00:00"/>
    <x v="6"/>
    <x v="1"/>
    <x v="0"/>
    <x v="10"/>
    <x v="2"/>
    <n v="43674.2"/>
    <n v="47302.9"/>
    <n v="3628.7000000000044"/>
    <n v="8.308566613698716E-2"/>
  </r>
  <r>
    <x v="1"/>
    <d v="2010-03-29T00:00:00"/>
    <x v="6"/>
    <x v="1"/>
    <x v="0"/>
    <x v="11"/>
    <x v="2"/>
    <n v="14023.5"/>
    <n v="14992.57"/>
    <n v="969.06999999999971"/>
    <n v="6.9103290904553055E-2"/>
  </r>
  <r>
    <x v="1"/>
    <d v="2010-03-29T00:00:00"/>
    <x v="6"/>
    <x v="1"/>
    <x v="0"/>
    <x v="13"/>
    <x v="3"/>
    <n v="989.7"/>
    <n v="1137.8800000000001"/>
    <n v="148.18000000000006"/>
    <n v="0.14972213802162276"/>
  </r>
  <r>
    <x v="1"/>
    <d v="2010-03-29T00:00:00"/>
    <x v="6"/>
    <x v="1"/>
    <x v="0"/>
    <x v="15"/>
    <x v="3"/>
    <n v="36573.040000000001"/>
    <n v="40093.480000000003"/>
    <n v="3520.4400000000023"/>
    <n v="9.6257789891132983E-2"/>
  </r>
  <r>
    <x v="1"/>
    <d v="2010-03-29T00:00:00"/>
    <x v="6"/>
    <x v="1"/>
    <x v="0"/>
    <x v="16"/>
    <x v="3"/>
    <n v="434.4"/>
    <n v="499.39"/>
    <n v="64.990000000000009"/>
    <n v="0.14960865561694295"/>
  </r>
  <r>
    <x v="1"/>
    <d v="2010-03-29T00:00:00"/>
    <x v="6"/>
    <x v="1"/>
    <x v="0"/>
    <x v="17"/>
    <x v="4"/>
    <n v="16530.32"/>
    <n v="19032.97"/>
    <n v="2502.6500000000015"/>
    <n v="0.15139755310242037"/>
  </r>
  <r>
    <x v="1"/>
    <d v="2010-03-29T00:00:00"/>
    <x v="6"/>
    <x v="1"/>
    <x v="0"/>
    <x v="20"/>
    <x v="5"/>
    <n v="3769.57"/>
    <n v="5138.1400000000003"/>
    <n v="1368.5700000000002"/>
    <n v="0.36305732484076436"/>
  </r>
  <r>
    <x v="1"/>
    <d v="2010-03-29T00:00:00"/>
    <x v="6"/>
    <x v="1"/>
    <x v="0"/>
    <x v="22"/>
    <x v="6"/>
    <n v="432"/>
    <n v="483.98"/>
    <n v="51.980000000000018"/>
    <n v="0.12032407407407411"/>
  </r>
  <r>
    <x v="1"/>
    <d v="2010-03-29T00:00:00"/>
    <x v="6"/>
    <x v="1"/>
    <x v="0"/>
    <x v="23"/>
    <x v="6"/>
    <n v="13421.04"/>
    <n v="14967.2"/>
    <n v="1546.1599999999999"/>
    <n v="0.11520418685884251"/>
  </r>
  <r>
    <x v="1"/>
    <d v="2010-03-29T00:00:00"/>
    <x v="6"/>
    <x v="1"/>
    <x v="0"/>
    <x v="24"/>
    <x v="6"/>
    <n v="18797.900000000001"/>
    <n v="20497.45"/>
    <n v="1699.5499999999993"/>
    <n v="9.0411694923369049E-2"/>
  </r>
  <r>
    <x v="1"/>
    <d v="2010-03-29T00:00:00"/>
    <x v="6"/>
    <x v="1"/>
    <x v="0"/>
    <x v="25"/>
    <x v="6"/>
    <n v="40366.19"/>
    <n v="41156.53"/>
    <n v="790.33999999999651"/>
    <n v="1.9579256798820905E-2"/>
  </r>
  <r>
    <x v="1"/>
    <d v="2010-03-30T00:00:00"/>
    <x v="6"/>
    <x v="1"/>
    <x v="0"/>
    <x v="0"/>
    <x v="0"/>
    <n v="260"/>
    <n v="324.98"/>
    <n v="64.980000000000018"/>
    <n v="0.249923076923077"/>
  </r>
  <r>
    <x v="1"/>
    <d v="2010-03-30T00:00:00"/>
    <x v="6"/>
    <x v="1"/>
    <x v="0"/>
    <x v="1"/>
    <x v="0"/>
    <n v="16679.43"/>
    <n v="19092.169999999998"/>
    <n v="2412.739999999998"/>
    <n v="0.14465362425454575"/>
  </r>
  <r>
    <x v="1"/>
    <d v="2010-03-30T00:00:00"/>
    <x v="6"/>
    <x v="1"/>
    <x v="0"/>
    <x v="2"/>
    <x v="0"/>
    <n v="15421.75"/>
    <n v="17752.849999999999"/>
    <n v="2331.0999999999985"/>
    <n v="0.1511566456465705"/>
  </r>
  <r>
    <x v="1"/>
    <d v="2010-03-30T00:00:00"/>
    <x v="6"/>
    <x v="1"/>
    <x v="0"/>
    <x v="4"/>
    <x v="0"/>
    <n v="1879.3"/>
    <n v="2148.33"/>
    <n v="269.02999999999997"/>
    <n v="0.14315436598733569"/>
  </r>
  <r>
    <x v="1"/>
    <d v="2010-03-30T00:00:00"/>
    <x v="6"/>
    <x v="1"/>
    <x v="0"/>
    <x v="5"/>
    <x v="1"/>
    <n v="13143.87"/>
    <n v="14877.43"/>
    <n v="1733.5599999999995"/>
    <n v="0.13189114012844005"/>
  </r>
  <r>
    <x v="1"/>
    <d v="2010-03-30T00:00:00"/>
    <x v="6"/>
    <x v="1"/>
    <x v="0"/>
    <x v="6"/>
    <x v="1"/>
    <n v="95329.91"/>
    <n v="100458.45"/>
    <n v="5128.5399999999936"/>
    <n v="5.3797805956178849E-2"/>
  </r>
  <r>
    <x v="1"/>
    <d v="2010-03-30T00:00:00"/>
    <x v="6"/>
    <x v="1"/>
    <x v="0"/>
    <x v="7"/>
    <x v="1"/>
    <n v="16108.9"/>
    <n v="18063.310000000001"/>
    <n v="1954.4100000000017"/>
    <n v="0.12132485768736548"/>
  </r>
  <r>
    <x v="1"/>
    <d v="2010-03-30T00:00:00"/>
    <x v="6"/>
    <x v="1"/>
    <x v="0"/>
    <x v="8"/>
    <x v="1"/>
    <n v="33105.51"/>
    <n v="35189.4"/>
    <n v="2083.8899999999994"/>
    <n v="6.2946923336930902E-2"/>
  </r>
  <r>
    <x v="1"/>
    <d v="2010-03-30T00:00:00"/>
    <x v="6"/>
    <x v="1"/>
    <x v="0"/>
    <x v="9"/>
    <x v="2"/>
    <n v="21303"/>
    <n v="23958.43"/>
    <n v="2655.4300000000003"/>
    <n v="0.12465051870628552"/>
  </r>
  <r>
    <x v="1"/>
    <d v="2010-03-30T00:00:00"/>
    <x v="6"/>
    <x v="1"/>
    <x v="0"/>
    <x v="10"/>
    <x v="2"/>
    <n v="20083.5"/>
    <n v="21736.97"/>
    <n v="1653.4700000000012"/>
    <n v="8.2329773196902989E-2"/>
  </r>
  <r>
    <x v="1"/>
    <d v="2010-03-30T00:00:00"/>
    <x v="6"/>
    <x v="1"/>
    <x v="0"/>
    <x v="11"/>
    <x v="2"/>
    <n v="13643"/>
    <n v="14701.75"/>
    <n v="1058.75"/>
    <n v="7.7603899435607998E-2"/>
  </r>
  <r>
    <x v="1"/>
    <d v="2010-03-30T00:00:00"/>
    <x v="6"/>
    <x v="1"/>
    <x v="0"/>
    <x v="13"/>
    <x v="3"/>
    <n v="1378.62"/>
    <n v="1584.83"/>
    <n v="206.21000000000004"/>
    <n v="0.14957711334522933"/>
  </r>
  <r>
    <x v="1"/>
    <d v="2010-03-30T00:00:00"/>
    <x v="6"/>
    <x v="1"/>
    <x v="0"/>
    <x v="15"/>
    <x v="3"/>
    <n v="31063.03"/>
    <n v="35626.959999999999"/>
    <n v="4563.93"/>
    <n v="0.14692481705744739"/>
  </r>
  <r>
    <x v="1"/>
    <d v="2010-03-30T00:00:00"/>
    <x v="6"/>
    <x v="1"/>
    <x v="0"/>
    <x v="16"/>
    <x v="3"/>
    <n v="1890.6"/>
    <n v="2211.71"/>
    <n v="321.11000000000013"/>
    <n v="0.16984555167671647"/>
  </r>
  <r>
    <x v="1"/>
    <d v="2010-03-30T00:00:00"/>
    <x v="6"/>
    <x v="1"/>
    <x v="0"/>
    <x v="17"/>
    <x v="4"/>
    <n v="27369.73"/>
    <n v="31066.22"/>
    <n v="3696.4900000000016"/>
    <n v="0.13505759830294276"/>
  </r>
  <r>
    <x v="1"/>
    <d v="2010-03-30T00:00:00"/>
    <x v="6"/>
    <x v="1"/>
    <x v="0"/>
    <x v="20"/>
    <x v="5"/>
    <n v="4628.57"/>
    <n v="6438.63"/>
    <n v="1810.0600000000004"/>
    <n v="0.39106246637730457"/>
  </r>
  <r>
    <x v="1"/>
    <d v="2010-03-30T00:00:00"/>
    <x v="6"/>
    <x v="1"/>
    <x v="0"/>
    <x v="23"/>
    <x v="6"/>
    <n v="11623.4"/>
    <n v="12877.62"/>
    <n v="1254.2200000000012"/>
    <n v="0.1079047438787275"/>
  </r>
  <r>
    <x v="1"/>
    <d v="2010-03-30T00:00:00"/>
    <x v="6"/>
    <x v="1"/>
    <x v="0"/>
    <x v="24"/>
    <x v="6"/>
    <n v="31796.1"/>
    <n v="34565.99"/>
    <n v="2769.8899999999994"/>
    <n v="8.7114142929478763E-2"/>
  </r>
  <r>
    <x v="1"/>
    <d v="2010-03-30T00:00:00"/>
    <x v="6"/>
    <x v="1"/>
    <x v="0"/>
    <x v="25"/>
    <x v="6"/>
    <n v="51422.25"/>
    <n v="52891.83"/>
    <n v="1469.5800000000017"/>
    <n v="2.8578679462683988E-2"/>
  </r>
  <r>
    <x v="1"/>
    <d v="2010-03-31T00:00:00"/>
    <x v="6"/>
    <x v="1"/>
    <x v="0"/>
    <x v="0"/>
    <x v="0"/>
    <n v="520"/>
    <n v="649.83000000000004"/>
    <n v="129.83000000000004"/>
    <n v="0.249673076923077"/>
  </r>
  <r>
    <x v="1"/>
    <d v="2010-03-31T00:00:00"/>
    <x v="6"/>
    <x v="1"/>
    <x v="0"/>
    <x v="1"/>
    <x v="0"/>
    <n v="19925.849999999999"/>
    <n v="22885.32"/>
    <n v="2959.4700000000012"/>
    <n v="0.14852415329835372"/>
  </r>
  <r>
    <x v="1"/>
    <d v="2010-03-31T00:00:00"/>
    <x v="6"/>
    <x v="1"/>
    <x v="0"/>
    <x v="2"/>
    <x v="0"/>
    <n v="22948.1"/>
    <n v="25758.36"/>
    <n v="2810.260000000002"/>
    <n v="0.12246155455135729"/>
  </r>
  <r>
    <x v="1"/>
    <d v="2010-03-31T00:00:00"/>
    <x v="6"/>
    <x v="1"/>
    <x v="0"/>
    <x v="4"/>
    <x v="0"/>
    <n v="2221.15"/>
    <n v="2525.48"/>
    <n v="304.32999999999993"/>
    <n v="0.13701460954910741"/>
  </r>
  <r>
    <x v="1"/>
    <d v="2010-03-31T00:00:00"/>
    <x v="6"/>
    <x v="1"/>
    <x v="0"/>
    <x v="5"/>
    <x v="1"/>
    <n v="22473.94"/>
    <n v="25629.07"/>
    <n v="3155.130000000001"/>
    <n v="0.1403906035167844"/>
  </r>
  <r>
    <x v="1"/>
    <d v="2010-03-31T00:00:00"/>
    <x v="6"/>
    <x v="1"/>
    <x v="0"/>
    <x v="6"/>
    <x v="1"/>
    <n v="120436.54"/>
    <n v="126836.6"/>
    <n v="6400.0600000000122"/>
    <n v="5.3140516989279268E-2"/>
  </r>
  <r>
    <x v="1"/>
    <d v="2010-03-31T00:00:00"/>
    <x v="6"/>
    <x v="1"/>
    <x v="0"/>
    <x v="7"/>
    <x v="1"/>
    <n v="24066.06"/>
    <n v="26388.98"/>
    <n v="2322.9199999999983"/>
    <n v="9.6522654726199392E-2"/>
  </r>
  <r>
    <x v="1"/>
    <d v="2010-03-31T00:00:00"/>
    <x v="6"/>
    <x v="1"/>
    <x v="0"/>
    <x v="8"/>
    <x v="1"/>
    <n v="37291.47"/>
    <n v="39727.019999999997"/>
    <n v="2435.5499999999956"/>
    <n v="6.5311182423218914E-2"/>
  </r>
  <r>
    <x v="1"/>
    <d v="2010-03-31T00:00:00"/>
    <x v="6"/>
    <x v="1"/>
    <x v="0"/>
    <x v="9"/>
    <x v="2"/>
    <n v="42815"/>
    <n v="47875.39"/>
    <n v="5060.3899999999994"/>
    <n v="0.11819198878897581"/>
  </r>
  <r>
    <x v="1"/>
    <d v="2010-03-31T00:00:00"/>
    <x v="6"/>
    <x v="1"/>
    <x v="0"/>
    <x v="10"/>
    <x v="2"/>
    <n v="17377.61"/>
    <n v="18874.509999999998"/>
    <n v="1496.8999999999978"/>
    <n v="8.6139578457566826E-2"/>
  </r>
  <r>
    <x v="1"/>
    <d v="2010-03-31T00:00:00"/>
    <x v="6"/>
    <x v="1"/>
    <x v="0"/>
    <x v="11"/>
    <x v="2"/>
    <n v="20593.5"/>
    <n v="21381.13"/>
    <n v="787.63000000000102"/>
    <n v="3.8246534100565763E-2"/>
  </r>
  <r>
    <x v="1"/>
    <d v="2010-03-31T00:00:00"/>
    <x v="6"/>
    <x v="1"/>
    <x v="0"/>
    <x v="13"/>
    <x v="3"/>
    <n v="7186.36"/>
    <n v="8263.2000000000007"/>
    <n v="1076.8400000000011"/>
    <n v="0.14984498410878402"/>
  </r>
  <r>
    <x v="1"/>
    <d v="2010-03-31T00:00:00"/>
    <x v="6"/>
    <x v="1"/>
    <x v="0"/>
    <x v="15"/>
    <x v="3"/>
    <n v="30031.19"/>
    <n v="34242.400000000001"/>
    <n v="4211.2100000000028"/>
    <n v="0.1402278764178177"/>
  </r>
  <r>
    <x v="1"/>
    <d v="2010-03-31T00:00:00"/>
    <x v="6"/>
    <x v="1"/>
    <x v="0"/>
    <x v="16"/>
    <x v="3"/>
    <n v="2711.28"/>
    <n v="3185.35"/>
    <n v="474.06999999999971"/>
    <n v="0.17485099288896747"/>
  </r>
  <r>
    <x v="1"/>
    <d v="2010-03-31T00:00:00"/>
    <x v="6"/>
    <x v="1"/>
    <x v="0"/>
    <x v="17"/>
    <x v="4"/>
    <n v="25869.06"/>
    <n v="29175"/>
    <n v="3305.9399999999987"/>
    <n v="0.12779513441926374"/>
  </r>
  <r>
    <x v="1"/>
    <d v="2010-03-31T00:00:00"/>
    <x v="6"/>
    <x v="1"/>
    <x v="0"/>
    <x v="20"/>
    <x v="5"/>
    <n v="2078.5"/>
    <n v="3739.98"/>
    <n v="1661.48"/>
    <n v="0.79936492662978109"/>
  </r>
  <r>
    <x v="1"/>
    <d v="2010-03-31T00:00:00"/>
    <x v="6"/>
    <x v="1"/>
    <x v="0"/>
    <x v="22"/>
    <x v="6"/>
    <n v="2048"/>
    <n v="2293.91"/>
    <n v="245.90999999999985"/>
    <n v="0.12007324218749993"/>
  </r>
  <r>
    <x v="1"/>
    <d v="2010-03-31T00:00:00"/>
    <x v="6"/>
    <x v="1"/>
    <x v="0"/>
    <x v="23"/>
    <x v="6"/>
    <n v="22005.11"/>
    <n v="24663.119999999999"/>
    <n v="2658.0099999999984"/>
    <n v="0.12079058000618939"/>
  </r>
  <r>
    <x v="1"/>
    <d v="2010-03-31T00:00:00"/>
    <x v="6"/>
    <x v="1"/>
    <x v="0"/>
    <x v="24"/>
    <x v="6"/>
    <n v="34413.089999999997"/>
    <n v="37026.74"/>
    <n v="2613.6500000000015"/>
    <n v="7.5949297200571114E-2"/>
  </r>
  <r>
    <x v="1"/>
    <d v="2010-03-31T00:00:00"/>
    <x v="6"/>
    <x v="1"/>
    <x v="0"/>
    <x v="25"/>
    <x v="6"/>
    <n v="59991.19"/>
    <n v="60878.03"/>
    <n v="886.83999999999651"/>
    <n v="1.4782837279940546E-2"/>
  </r>
  <r>
    <x v="1"/>
    <d v="2010-04-01T00:00:00"/>
    <x v="6"/>
    <x v="2"/>
    <x v="0"/>
    <x v="0"/>
    <x v="0"/>
    <n v="364"/>
    <n v="454.71"/>
    <n v="90.70999999999998"/>
    <n v="0.24920329670329663"/>
  </r>
  <r>
    <x v="1"/>
    <d v="2010-04-01T00:00:00"/>
    <x v="6"/>
    <x v="2"/>
    <x v="0"/>
    <x v="1"/>
    <x v="0"/>
    <n v="21712.11"/>
    <n v="24599.919999999998"/>
    <n v="2887.8099999999977"/>
    <n v="0.13300457670857405"/>
  </r>
  <r>
    <x v="1"/>
    <d v="2010-04-01T00:00:00"/>
    <x v="6"/>
    <x v="2"/>
    <x v="0"/>
    <x v="2"/>
    <x v="0"/>
    <n v="20885.07"/>
    <n v="23137.52"/>
    <n v="2252.4500000000007"/>
    <n v="0.10784977019468936"/>
  </r>
  <r>
    <x v="1"/>
    <d v="2010-04-01T00:00:00"/>
    <x v="6"/>
    <x v="2"/>
    <x v="0"/>
    <x v="4"/>
    <x v="0"/>
    <n v="1010.65"/>
    <n v="1149.9000000000001"/>
    <n v="139.25000000000011"/>
    <n v="0.13778261514866683"/>
  </r>
  <r>
    <x v="1"/>
    <d v="2010-04-01T00:00:00"/>
    <x v="6"/>
    <x v="2"/>
    <x v="0"/>
    <x v="5"/>
    <x v="1"/>
    <n v="15385.3"/>
    <n v="17574.8"/>
    <n v="2189.5"/>
    <n v="0.14231116715306169"/>
  </r>
  <r>
    <x v="1"/>
    <d v="2010-04-01T00:00:00"/>
    <x v="6"/>
    <x v="2"/>
    <x v="0"/>
    <x v="6"/>
    <x v="1"/>
    <n v="133728.49"/>
    <n v="140114.68"/>
    <n v="6386.1900000000023"/>
    <n v="4.7754895011526736E-2"/>
  </r>
  <r>
    <x v="1"/>
    <d v="2010-04-01T00:00:00"/>
    <x v="6"/>
    <x v="2"/>
    <x v="0"/>
    <x v="7"/>
    <x v="1"/>
    <n v="19155.650000000001"/>
    <n v="21165.23"/>
    <n v="2009.5799999999981"/>
    <n v="0.10490795143991449"/>
  </r>
  <r>
    <x v="1"/>
    <d v="2010-04-01T00:00:00"/>
    <x v="6"/>
    <x v="2"/>
    <x v="0"/>
    <x v="8"/>
    <x v="1"/>
    <n v="50390.07"/>
    <n v="52530.43"/>
    <n v="2140.3600000000006"/>
    <n v="4.2475829067115813E-2"/>
  </r>
  <r>
    <x v="1"/>
    <d v="2010-04-01T00:00:00"/>
    <x v="6"/>
    <x v="2"/>
    <x v="0"/>
    <x v="9"/>
    <x v="2"/>
    <n v="37327.03"/>
    <n v="41971.01"/>
    <n v="4643.9800000000032"/>
    <n v="0.12441332728588381"/>
  </r>
  <r>
    <x v="1"/>
    <d v="2010-04-01T00:00:00"/>
    <x v="6"/>
    <x v="2"/>
    <x v="0"/>
    <x v="10"/>
    <x v="2"/>
    <n v="36279.410000000003"/>
    <n v="37822.35"/>
    <n v="1542.9399999999951"/>
    <n v="4.252935756121709E-2"/>
  </r>
  <r>
    <x v="1"/>
    <d v="2010-04-01T00:00:00"/>
    <x v="6"/>
    <x v="2"/>
    <x v="0"/>
    <x v="11"/>
    <x v="2"/>
    <n v="20854"/>
    <n v="22207.97"/>
    <n v="1353.9700000000012"/>
    <n v="6.4926153255970134E-2"/>
  </r>
  <r>
    <x v="1"/>
    <d v="2010-04-01T00:00:00"/>
    <x v="6"/>
    <x v="2"/>
    <x v="0"/>
    <x v="13"/>
    <x v="3"/>
    <n v="1993.78"/>
    <n v="2292.37"/>
    <n v="298.58999999999992"/>
    <n v="0.1497607559510076"/>
  </r>
  <r>
    <x v="1"/>
    <d v="2010-04-01T00:00:00"/>
    <x v="6"/>
    <x v="2"/>
    <x v="0"/>
    <x v="15"/>
    <x v="3"/>
    <n v="35856.129999999997"/>
    <n v="40616.379999999997"/>
    <n v="4760.25"/>
    <n v="0.1327597261611892"/>
  </r>
  <r>
    <x v="1"/>
    <d v="2010-04-01T00:00:00"/>
    <x v="6"/>
    <x v="2"/>
    <x v="0"/>
    <x v="16"/>
    <x v="3"/>
    <n v="451.4"/>
    <n v="532.36"/>
    <n v="80.960000000000036"/>
    <n v="0.17935312361541877"/>
  </r>
  <r>
    <x v="1"/>
    <d v="2010-04-01T00:00:00"/>
    <x v="6"/>
    <x v="2"/>
    <x v="0"/>
    <x v="17"/>
    <x v="4"/>
    <n v="14920.91"/>
    <n v="17241.12"/>
    <n v="2320.2099999999991"/>
    <n v="0.15550056933524825"/>
  </r>
  <r>
    <x v="1"/>
    <d v="2010-04-01T00:00:00"/>
    <x v="6"/>
    <x v="2"/>
    <x v="0"/>
    <x v="20"/>
    <x v="5"/>
    <n v="679.5"/>
    <n v="1489.94"/>
    <n v="810.44"/>
    <n v="1.192700515084621"/>
  </r>
  <r>
    <x v="1"/>
    <d v="2010-04-01T00:00:00"/>
    <x v="6"/>
    <x v="2"/>
    <x v="0"/>
    <x v="22"/>
    <x v="6"/>
    <n v="2666"/>
    <n v="2985.91"/>
    <n v="319.90999999999985"/>
    <n v="0.11999624906226551"/>
  </r>
  <r>
    <x v="1"/>
    <d v="2010-04-01T00:00:00"/>
    <x v="6"/>
    <x v="2"/>
    <x v="0"/>
    <x v="23"/>
    <x v="6"/>
    <n v="13651.08"/>
    <n v="15083.65"/>
    <n v="1432.5699999999997"/>
    <n v="0.10494188005637647"/>
  </r>
  <r>
    <x v="1"/>
    <d v="2010-04-01T00:00:00"/>
    <x v="6"/>
    <x v="2"/>
    <x v="0"/>
    <x v="24"/>
    <x v="6"/>
    <n v="27586.22"/>
    <n v="30118.720000000001"/>
    <n v="2532.5"/>
    <n v="9.1803081393536337E-2"/>
  </r>
  <r>
    <x v="1"/>
    <d v="2010-04-01T00:00:00"/>
    <x v="6"/>
    <x v="2"/>
    <x v="0"/>
    <x v="25"/>
    <x v="6"/>
    <n v="38145.29"/>
    <n v="39402.720000000001"/>
    <n v="1257.4300000000003"/>
    <n v="3.2964227038252962E-2"/>
  </r>
  <r>
    <x v="1"/>
    <d v="2010-04-02T00:00:00"/>
    <x v="6"/>
    <x v="2"/>
    <x v="0"/>
    <x v="0"/>
    <x v="0"/>
    <n v="572"/>
    <n v="714.9"/>
    <n v="142.89999999999998"/>
    <n v="0.24982517482517477"/>
  </r>
  <r>
    <x v="1"/>
    <d v="2010-04-02T00:00:00"/>
    <x v="6"/>
    <x v="2"/>
    <x v="0"/>
    <x v="1"/>
    <x v="0"/>
    <n v="14802.14"/>
    <n v="17382.830000000002"/>
    <n v="2580.6900000000023"/>
    <n v="0.17434573649485835"/>
  </r>
  <r>
    <x v="1"/>
    <d v="2010-04-02T00:00:00"/>
    <x v="6"/>
    <x v="2"/>
    <x v="0"/>
    <x v="2"/>
    <x v="0"/>
    <n v="16488.78"/>
    <n v="18991.71"/>
    <n v="2502.9300000000003"/>
    <n v="0.15179594851771935"/>
  </r>
  <r>
    <x v="1"/>
    <d v="2010-04-02T00:00:00"/>
    <x v="6"/>
    <x v="2"/>
    <x v="0"/>
    <x v="4"/>
    <x v="0"/>
    <n v="2908.52"/>
    <n v="3204.63"/>
    <n v="296.11000000000013"/>
    <n v="0.10180779227923484"/>
  </r>
  <r>
    <x v="1"/>
    <d v="2010-04-02T00:00:00"/>
    <x v="6"/>
    <x v="2"/>
    <x v="0"/>
    <x v="5"/>
    <x v="1"/>
    <n v="25784.77"/>
    <n v="29746.02"/>
    <n v="3961.25"/>
    <n v="0.1536275095725112"/>
  </r>
  <r>
    <x v="1"/>
    <d v="2010-04-02T00:00:00"/>
    <x v="6"/>
    <x v="2"/>
    <x v="0"/>
    <x v="6"/>
    <x v="1"/>
    <n v="125863.76"/>
    <n v="133658.99"/>
    <n v="7795.2299999999959"/>
    <n v="6.1933871989840412E-2"/>
  </r>
  <r>
    <x v="1"/>
    <d v="2010-04-02T00:00:00"/>
    <x v="6"/>
    <x v="2"/>
    <x v="0"/>
    <x v="7"/>
    <x v="1"/>
    <n v="22349.86"/>
    <n v="25362.06"/>
    <n v="3012.2000000000007"/>
    <n v="0.13477489344452273"/>
  </r>
  <r>
    <x v="1"/>
    <d v="2010-04-02T00:00:00"/>
    <x v="6"/>
    <x v="2"/>
    <x v="0"/>
    <x v="8"/>
    <x v="1"/>
    <n v="47273.01"/>
    <n v="50217.48"/>
    <n v="2944.4700000000012"/>
    <n v="6.2286492863475394E-2"/>
  </r>
  <r>
    <x v="1"/>
    <d v="2010-04-02T00:00:00"/>
    <x v="6"/>
    <x v="2"/>
    <x v="0"/>
    <x v="9"/>
    <x v="2"/>
    <n v="74628.02"/>
    <n v="80600.94"/>
    <n v="5972.9199999999983"/>
    <n v="8.003589000485338E-2"/>
  </r>
  <r>
    <x v="1"/>
    <d v="2010-04-02T00:00:00"/>
    <x v="6"/>
    <x v="2"/>
    <x v="0"/>
    <x v="10"/>
    <x v="2"/>
    <n v="36235.11"/>
    <n v="38576.39"/>
    <n v="2341.2799999999988"/>
    <n v="6.4613575065730414E-2"/>
  </r>
  <r>
    <x v="1"/>
    <d v="2010-04-02T00:00:00"/>
    <x v="6"/>
    <x v="2"/>
    <x v="0"/>
    <x v="11"/>
    <x v="2"/>
    <n v="37273.5"/>
    <n v="39973.22"/>
    <n v="2699.7200000000012"/>
    <n v="7.2430010597341304E-2"/>
  </r>
  <r>
    <x v="1"/>
    <d v="2010-04-02T00:00:00"/>
    <x v="6"/>
    <x v="2"/>
    <x v="0"/>
    <x v="13"/>
    <x v="3"/>
    <n v="7210.3"/>
    <n v="8290.51"/>
    <n v="1080.21"/>
    <n v="0.14981484820326477"/>
  </r>
  <r>
    <x v="1"/>
    <d v="2010-04-02T00:00:00"/>
    <x v="6"/>
    <x v="2"/>
    <x v="0"/>
    <x v="15"/>
    <x v="3"/>
    <n v="47437.98"/>
    <n v="52052.79"/>
    <n v="4614.8099999999977"/>
    <n v="9.7280912888786528E-2"/>
  </r>
  <r>
    <x v="1"/>
    <d v="2010-04-02T00:00:00"/>
    <x v="6"/>
    <x v="2"/>
    <x v="0"/>
    <x v="16"/>
    <x v="3"/>
    <n v="1400.56"/>
    <n v="1651.89"/>
    <n v="251.33000000000015"/>
    <n v="0.17944964871194391"/>
  </r>
  <r>
    <x v="1"/>
    <d v="2010-04-02T00:00:00"/>
    <x v="6"/>
    <x v="2"/>
    <x v="0"/>
    <x v="17"/>
    <x v="4"/>
    <n v="31566.23"/>
    <n v="36269.75"/>
    <n v="4703.5200000000004"/>
    <n v="0.14900480671907923"/>
  </r>
  <r>
    <x v="1"/>
    <d v="2010-04-02T00:00:00"/>
    <x v="6"/>
    <x v="2"/>
    <x v="0"/>
    <x v="20"/>
    <x v="5"/>
    <n v="5869.62"/>
    <n v="8525.33"/>
    <n v="2655.71"/>
    <n v="0.45245007342894433"/>
  </r>
  <r>
    <x v="1"/>
    <d v="2010-04-02T00:00:00"/>
    <x v="6"/>
    <x v="2"/>
    <x v="0"/>
    <x v="22"/>
    <x v="6"/>
    <n v="2215"/>
    <n v="2454.16"/>
    <n v="239.15999999999985"/>
    <n v="0.10797291196388255"/>
  </r>
  <r>
    <x v="1"/>
    <d v="2010-04-02T00:00:00"/>
    <x v="6"/>
    <x v="2"/>
    <x v="0"/>
    <x v="23"/>
    <x v="6"/>
    <n v="19965.64"/>
    <n v="22165.57"/>
    <n v="2199.9300000000003"/>
    <n v="0.11018579920303083"/>
  </r>
  <r>
    <x v="1"/>
    <d v="2010-04-02T00:00:00"/>
    <x v="6"/>
    <x v="2"/>
    <x v="0"/>
    <x v="24"/>
    <x v="6"/>
    <n v="38969.919999999998"/>
    <n v="42128.160000000003"/>
    <n v="3158.2400000000052"/>
    <n v="8.1043019847102729E-2"/>
  </r>
  <r>
    <x v="1"/>
    <d v="2010-04-02T00:00:00"/>
    <x v="6"/>
    <x v="2"/>
    <x v="0"/>
    <x v="25"/>
    <x v="6"/>
    <n v="36666.839999999997"/>
    <n v="37983.599999999999"/>
    <n v="1316.760000000002"/>
    <n v="3.5911466600339767E-2"/>
  </r>
  <r>
    <x v="1"/>
    <d v="2010-04-03T00:00:00"/>
    <x v="6"/>
    <x v="2"/>
    <x v="0"/>
    <x v="0"/>
    <x v="0"/>
    <n v="780"/>
    <n v="974.96"/>
    <n v="194.96000000000004"/>
    <n v="0.24994871794871801"/>
  </r>
  <r>
    <x v="1"/>
    <d v="2010-04-03T00:00:00"/>
    <x v="6"/>
    <x v="2"/>
    <x v="0"/>
    <x v="1"/>
    <x v="0"/>
    <n v="27012.31"/>
    <n v="31876.17"/>
    <n v="4863.8599999999969"/>
    <n v="0.18006086854474854"/>
  </r>
  <r>
    <x v="1"/>
    <d v="2010-04-03T00:00:00"/>
    <x v="6"/>
    <x v="2"/>
    <x v="0"/>
    <x v="2"/>
    <x v="0"/>
    <n v="22601.599999999999"/>
    <n v="25868.63"/>
    <n v="3267.0300000000025"/>
    <n v="0.14454861602718402"/>
  </r>
  <r>
    <x v="1"/>
    <d v="2010-04-03T00:00:00"/>
    <x v="6"/>
    <x v="2"/>
    <x v="0"/>
    <x v="4"/>
    <x v="0"/>
    <n v="2775.56"/>
    <n v="3051.66"/>
    <n v="276.09999999999991"/>
    <n v="9.9475421176267106E-2"/>
  </r>
  <r>
    <x v="1"/>
    <d v="2010-04-03T00:00:00"/>
    <x v="6"/>
    <x v="2"/>
    <x v="0"/>
    <x v="5"/>
    <x v="1"/>
    <n v="28759.919999999998"/>
    <n v="32992.089999999997"/>
    <n v="4232.1699999999983"/>
    <n v="0.14715513812277636"/>
  </r>
  <r>
    <x v="1"/>
    <d v="2010-04-03T00:00:00"/>
    <x v="6"/>
    <x v="2"/>
    <x v="0"/>
    <x v="6"/>
    <x v="1"/>
    <n v="167230.15"/>
    <n v="174740.38"/>
    <n v="7510.2300000000105"/>
    <n v="4.490954531823365E-2"/>
  </r>
  <r>
    <x v="1"/>
    <d v="2010-04-03T00:00:00"/>
    <x v="6"/>
    <x v="2"/>
    <x v="0"/>
    <x v="7"/>
    <x v="1"/>
    <n v="28306.1"/>
    <n v="31766.68"/>
    <n v="3460.5800000000017"/>
    <n v="0.12225562687901201"/>
  </r>
  <r>
    <x v="1"/>
    <d v="2010-04-03T00:00:00"/>
    <x v="6"/>
    <x v="2"/>
    <x v="0"/>
    <x v="8"/>
    <x v="1"/>
    <n v="49333.59"/>
    <n v="52862.85"/>
    <n v="3529.260000000002"/>
    <n v="7.1538681859560638E-2"/>
  </r>
  <r>
    <x v="1"/>
    <d v="2010-04-03T00:00:00"/>
    <x v="6"/>
    <x v="2"/>
    <x v="0"/>
    <x v="9"/>
    <x v="2"/>
    <n v="132417.94"/>
    <n v="144324.32999999999"/>
    <n v="11906.389999999985"/>
    <n v="8.9915233540107817E-2"/>
  </r>
  <r>
    <x v="1"/>
    <d v="2010-04-03T00:00:00"/>
    <x v="6"/>
    <x v="2"/>
    <x v="0"/>
    <x v="10"/>
    <x v="2"/>
    <n v="44732.61"/>
    <n v="48304.11"/>
    <n v="3571.5"/>
    <n v="7.9841082378157679E-2"/>
  </r>
  <r>
    <x v="1"/>
    <d v="2010-04-03T00:00:00"/>
    <x v="6"/>
    <x v="2"/>
    <x v="0"/>
    <x v="11"/>
    <x v="2"/>
    <n v="45661"/>
    <n v="49197.49"/>
    <n v="3536.489999999998"/>
    <n v="7.7450997569041363E-2"/>
  </r>
  <r>
    <x v="1"/>
    <d v="2010-04-03T00:00:00"/>
    <x v="6"/>
    <x v="2"/>
    <x v="0"/>
    <x v="13"/>
    <x v="3"/>
    <n v="4991.12"/>
    <n v="5739.48"/>
    <n v="748.35999999999967"/>
    <n v="0.149938290403757"/>
  </r>
  <r>
    <x v="1"/>
    <d v="2010-04-03T00:00:00"/>
    <x v="6"/>
    <x v="2"/>
    <x v="0"/>
    <x v="15"/>
    <x v="3"/>
    <n v="59960.77"/>
    <n v="66024.740000000005"/>
    <n v="6063.9700000000084"/>
    <n v="0.10113229032916037"/>
  </r>
  <r>
    <x v="1"/>
    <d v="2010-04-03T00:00:00"/>
    <x v="6"/>
    <x v="2"/>
    <x v="0"/>
    <x v="16"/>
    <x v="3"/>
    <n v="3341.2"/>
    <n v="3911.53"/>
    <n v="570.33000000000038"/>
    <n v="0.17069615706931654"/>
  </r>
  <r>
    <x v="1"/>
    <d v="2010-04-03T00:00:00"/>
    <x v="6"/>
    <x v="2"/>
    <x v="0"/>
    <x v="17"/>
    <x v="4"/>
    <n v="35267.5"/>
    <n v="40635.919999999998"/>
    <n v="5368.4199999999983"/>
    <n v="0.1522200326079251"/>
  </r>
  <r>
    <x v="1"/>
    <d v="2010-04-03T00:00:00"/>
    <x v="6"/>
    <x v="2"/>
    <x v="0"/>
    <x v="20"/>
    <x v="5"/>
    <n v="6266.64"/>
    <n v="7306.08"/>
    <n v="1039.4399999999996"/>
    <n v="0.16586879093102516"/>
  </r>
  <r>
    <x v="1"/>
    <d v="2010-04-03T00:00:00"/>
    <x v="6"/>
    <x v="2"/>
    <x v="0"/>
    <x v="22"/>
    <x v="6"/>
    <n v="566"/>
    <n v="633.99"/>
    <n v="67.990000000000009"/>
    <n v="0.12012367491166079"/>
  </r>
  <r>
    <x v="1"/>
    <d v="2010-04-03T00:00:00"/>
    <x v="6"/>
    <x v="2"/>
    <x v="0"/>
    <x v="23"/>
    <x v="6"/>
    <n v="22018.2"/>
    <n v="24632.15"/>
    <n v="2613.9500000000007"/>
    <n v="0.11871769717778931"/>
  </r>
  <r>
    <x v="1"/>
    <d v="2010-04-03T00:00:00"/>
    <x v="6"/>
    <x v="2"/>
    <x v="0"/>
    <x v="24"/>
    <x v="6"/>
    <n v="45685.05"/>
    <n v="49784.639999999999"/>
    <n v="4099.5899999999965"/>
    <n v="8.9735920175199463E-2"/>
  </r>
  <r>
    <x v="1"/>
    <d v="2010-04-03T00:00:00"/>
    <x v="6"/>
    <x v="2"/>
    <x v="0"/>
    <x v="25"/>
    <x v="6"/>
    <n v="52760.24"/>
    <n v="55058"/>
    <n v="2297.760000000002"/>
    <n v="4.3550977023607211E-2"/>
  </r>
  <r>
    <x v="1"/>
    <d v="2010-04-04T00:00:00"/>
    <x v="7"/>
    <x v="2"/>
    <x v="0"/>
    <x v="0"/>
    <x v="0"/>
    <n v="468"/>
    <n v="584.97"/>
    <n v="116.97000000000003"/>
    <n v="0.2499358974358975"/>
  </r>
  <r>
    <x v="1"/>
    <d v="2010-04-04T00:00:00"/>
    <x v="7"/>
    <x v="2"/>
    <x v="0"/>
    <x v="1"/>
    <x v="0"/>
    <n v="18121.32"/>
    <n v="20986.76"/>
    <n v="2865.4399999999987"/>
    <n v="0.15812534627720271"/>
  </r>
  <r>
    <x v="1"/>
    <d v="2010-04-04T00:00:00"/>
    <x v="7"/>
    <x v="2"/>
    <x v="0"/>
    <x v="2"/>
    <x v="0"/>
    <n v="13724.16"/>
    <n v="15668.64"/>
    <n v="1944.4799999999996"/>
    <n v="0.14168298824846107"/>
  </r>
  <r>
    <x v="1"/>
    <d v="2010-04-04T00:00:00"/>
    <x v="7"/>
    <x v="2"/>
    <x v="0"/>
    <x v="3"/>
    <x v="0"/>
    <n v="1112.1500000000001"/>
    <n v="1173.97"/>
    <n v="61.819999999999936"/>
    <n v="5.5586027064694447E-2"/>
  </r>
  <r>
    <x v="1"/>
    <d v="2010-04-04T00:00:00"/>
    <x v="7"/>
    <x v="2"/>
    <x v="0"/>
    <x v="5"/>
    <x v="1"/>
    <n v="14926.98"/>
    <n v="16642.52"/>
    <n v="1715.5400000000009"/>
    <n v="0.11492880676466379"/>
  </r>
  <r>
    <x v="1"/>
    <d v="2010-04-04T00:00:00"/>
    <x v="7"/>
    <x v="2"/>
    <x v="0"/>
    <x v="6"/>
    <x v="1"/>
    <n v="87723.22"/>
    <n v="92592.37"/>
    <n v="4869.1499999999942"/>
    <n v="5.5505828445421797E-2"/>
  </r>
  <r>
    <x v="1"/>
    <d v="2010-04-04T00:00:00"/>
    <x v="7"/>
    <x v="2"/>
    <x v="0"/>
    <x v="7"/>
    <x v="1"/>
    <n v="12862.13"/>
    <n v="14206.08"/>
    <n v="1343.9500000000007"/>
    <n v="0.10448891435555392"/>
  </r>
  <r>
    <x v="1"/>
    <d v="2010-04-04T00:00:00"/>
    <x v="7"/>
    <x v="2"/>
    <x v="0"/>
    <x v="8"/>
    <x v="1"/>
    <n v="22727.98"/>
    <n v="24315.47"/>
    <n v="1587.4900000000016"/>
    <n v="6.9847386349336876E-2"/>
  </r>
  <r>
    <x v="1"/>
    <d v="2010-04-04T00:00:00"/>
    <x v="7"/>
    <x v="2"/>
    <x v="0"/>
    <x v="9"/>
    <x v="2"/>
    <n v="90085.97"/>
    <n v="98297.31"/>
    <n v="8211.3399999999965"/>
    <n v="9.1150042564896575E-2"/>
  </r>
  <r>
    <x v="1"/>
    <d v="2010-04-04T00:00:00"/>
    <x v="7"/>
    <x v="2"/>
    <x v="0"/>
    <x v="10"/>
    <x v="2"/>
    <n v="13145.51"/>
    <n v="14288.95"/>
    <n v="1143.4400000000005"/>
    <n v="8.6983312172749516E-2"/>
  </r>
  <r>
    <x v="1"/>
    <d v="2010-04-04T00:00:00"/>
    <x v="7"/>
    <x v="2"/>
    <x v="0"/>
    <x v="11"/>
    <x v="2"/>
    <n v="20327"/>
    <n v="22082.61"/>
    <n v="1755.6100000000006"/>
    <n v="8.6368377035470095E-2"/>
  </r>
  <r>
    <x v="1"/>
    <d v="2010-04-04T00:00:00"/>
    <x v="7"/>
    <x v="2"/>
    <x v="0"/>
    <x v="13"/>
    <x v="3"/>
    <n v="1021.34"/>
    <n v="1174.5899999999999"/>
    <n v="153.24999999999989"/>
    <n v="0.15004797618814486"/>
  </r>
  <r>
    <x v="1"/>
    <d v="2010-04-04T00:00:00"/>
    <x v="7"/>
    <x v="2"/>
    <x v="0"/>
    <x v="15"/>
    <x v="3"/>
    <n v="30328.720000000001"/>
    <n v="33061.040000000001"/>
    <n v="2732.3199999999997"/>
    <n v="9.009018514464176E-2"/>
  </r>
  <r>
    <x v="1"/>
    <d v="2010-04-04T00:00:00"/>
    <x v="7"/>
    <x v="2"/>
    <x v="0"/>
    <x v="16"/>
    <x v="3"/>
    <n v="1165.1199999999999"/>
    <n v="1354.34"/>
    <n v="189.22000000000003"/>
    <n v="0.16240387256248287"/>
  </r>
  <r>
    <x v="1"/>
    <d v="2010-04-04T00:00:00"/>
    <x v="7"/>
    <x v="2"/>
    <x v="0"/>
    <x v="17"/>
    <x v="4"/>
    <n v="17088.04"/>
    <n v="19850.64"/>
    <n v="2762.5999999999985"/>
    <n v="0.16166862905283452"/>
  </r>
  <r>
    <x v="1"/>
    <d v="2010-04-04T00:00:00"/>
    <x v="7"/>
    <x v="2"/>
    <x v="0"/>
    <x v="20"/>
    <x v="5"/>
    <n v="1679.5"/>
    <n v="3368.01"/>
    <n v="1688.5100000000002"/>
    <n v="1.0053646918725812"/>
  </r>
  <r>
    <x v="1"/>
    <d v="2010-04-04T00:00:00"/>
    <x v="7"/>
    <x v="2"/>
    <x v="0"/>
    <x v="23"/>
    <x v="6"/>
    <n v="11329.74"/>
    <n v="12708.88"/>
    <n v="1379.1399999999994"/>
    <n v="0.1217274182814433"/>
  </r>
  <r>
    <x v="1"/>
    <d v="2010-04-04T00:00:00"/>
    <x v="7"/>
    <x v="2"/>
    <x v="0"/>
    <x v="24"/>
    <x v="6"/>
    <n v="28669.86"/>
    <n v="30654.89"/>
    <n v="1985.0299999999988"/>
    <n v="6.923751982046647E-2"/>
  </r>
  <r>
    <x v="1"/>
    <d v="2010-04-04T00:00:00"/>
    <x v="7"/>
    <x v="2"/>
    <x v="0"/>
    <x v="25"/>
    <x v="6"/>
    <n v="39014.42"/>
    <n v="40488.019999999997"/>
    <n v="1473.5999999999985"/>
    <n v="3.7770649928923677E-2"/>
  </r>
  <r>
    <x v="2"/>
    <d v="2010-02-15T00:00:00"/>
    <x v="0"/>
    <x v="0"/>
    <x v="0"/>
    <x v="0"/>
    <x v="0"/>
    <n v="11892"/>
    <n v="14001.09"/>
    <n v="2109.09"/>
    <n v="0.17735368314833502"/>
  </r>
  <r>
    <x v="2"/>
    <d v="2010-02-15T00:00:00"/>
    <x v="0"/>
    <x v="0"/>
    <x v="0"/>
    <x v="1"/>
    <x v="0"/>
    <n v="247618.59"/>
    <n v="318477.36"/>
    <n v="70858.76999999999"/>
    <n v="0.28616094615513316"/>
  </r>
  <r>
    <x v="2"/>
    <d v="2010-02-15T00:00:00"/>
    <x v="0"/>
    <x v="0"/>
    <x v="0"/>
    <x v="2"/>
    <x v="0"/>
    <n v="102169.72"/>
    <n v="111849.47"/>
    <n v="9679.75"/>
    <n v="9.474186676835368E-2"/>
  </r>
  <r>
    <x v="2"/>
    <d v="2010-02-15T00:00:00"/>
    <x v="0"/>
    <x v="0"/>
    <x v="0"/>
    <x v="3"/>
    <x v="0"/>
    <n v="3142"/>
    <n v="3205.42"/>
    <n v="63.420000000000073"/>
    <n v="2.0184595798854257E-2"/>
  </r>
  <r>
    <x v="2"/>
    <d v="2010-02-15T00:00:00"/>
    <x v="0"/>
    <x v="0"/>
    <x v="0"/>
    <x v="4"/>
    <x v="0"/>
    <n v="8925.64"/>
    <n v="9420.83"/>
    <n v="495.19000000000051"/>
    <n v="5.5479495027807593E-2"/>
  </r>
  <r>
    <x v="2"/>
    <d v="2010-02-15T00:00:00"/>
    <x v="0"/>
    <x v="0"/>
    <x v="0"/>
    <x v="5"/>
    <x v="1"/>
    <n v="178547.47"/>
    <n v="193956.24"/>
    <n v="15408.76999999999"/>
    <n v="8.6300690791082005E-2"/>
  </r>
  <r>
    <x v="2"/>
    <d v="2010-02-15T00:00:00"/>
    <x v="0"/>
    <x v="0"/>
    <x v="0"/>
    <x v="6"/>
    <x v="1"/>
    <n v="542280.32999999996"/>
    <n v="573593.18000000005"/>
    <n v="31312.850000000093"/>
    <n v="5.7742920529682676E-2"/>
  </r>
  <r>
    <x v="2"/>
    <d v="2010-02-15T00:00:00"/>
    <x v="0"/>
    <x v="0"/>
    <x v="0"/>
    <x v="7"/>
    <x v="1"/>
    <n v="173640.95999999999"/>
    <n v="191458.41"/>
    <n v="17817.450000000012"/>
    <n v="0.10261087015413882"/>
  </r>
  <r>
    <x v="2"/>
    <d v="2010-02-15T00:00:00"/>
    <x v="0"/>
    <x v="0"/>
    <x v="0"/>
    <x v="8"/>
    <x v="1"/>
    <n v="229364.07"/>
    <n v="243034.46"/>
    <n v="13670.389999999985"/>
    <n v="5.960127059133536E-2"/>
  </r>
  <r>
    <x v="2"/>
    <d v="2010-02-15T00:00:00"/>
    <x v="0"/>
    <x v="0"/>
    <x v="0"/>
    <x v="9"/>
    <x v="2"/>
    <n v="418815.5"/>
    <n v="453392.24"/>
    <n v="34576.739999999991"/>
    <n v="8.2558405789661532E-2"/>
  </r>
  <r>
    <x v="2"/>
    <d v="2010-02-15T00:00:00"/>
    <x v="0"/>
    <x v="0"/>
    <x v="0"/>
    <x v="10"/>
    <x v="2"/>
    <n v="150539.4"/>
    <n v="156086"/>
    <n v="5546.6000000000058"/>
    <n v="3.6844839291242069E-2"/>
  </r>
  <r>
    <x v="2"/>
    <d v="2010-02-15T00:00:00"/>
    <x v="0"/>
    <x v="0"/>
    <x v="0"/>
    <x v="11"/>
    <x v="2"/>
    <n v="66334"/>
    <n v="74559.56"/>
    <n v="8225.5599999999977"/>
    <n v="0.12400217083245391"/>
  </r>
  <r>
    <x v="2"/>
    <d v="2010-02-15T00:00:00"/>
    <x v="0"/>
    <x v="0"/>
    <x v="0"/>
    <x v="12"/>
    <x v="2"/>
    <n v="23515.4"/>
    <n v="26142.03"/>
    <n v="2626.6299999999974"/>
    <n v="0.11169829133248838"/>
  </r>
  <r>
    <x v="2"/>
    <d v="2010-02-15T00:00:00"/>
    <x v="0"/>
    <x v="0"/>
    <x v="0"/>
    <x v="26"/>
    <x v="3"/>
    <n v="3945.72"/>
    <n v="4421.96"/>
    <n v="476.24000000000024"/>
    <n v="0.12069787009721933"/>
  </r>
  <r>
    <x v="2"/>
    <d v="2010-02-15T00:00:00"/>
    <x v="0"/>
    <x v="0"/>
    <x v="0"/>
    <x v="13"/>
    <x v="3"/>
    <n v="108562.12"/>
    <n v="122272.47"/>
    <n v="13710.350000000006"/>
    <n v="0.12629036721095724"/>
  </r>
  <r>
    <x v="2"/>
    <d v="2010-02-15T00:00:00"/>
    <x v="0"/>
    <x v="0"/>
    <x v="0"/>
    <x v="14"/>
    <x v="3"/>
    <n v="36251.06"/>
    <n v="41823.85"/>
    <n v="5572.7900000000009"/>
    <n v="0.15372764272272318"/>
  </r>
  <r>
    <x v="2"/>
    <d v="2010-02-15T00:00:00"/>
    <x v="0"/>
    <x v="0"/>
    <x v="0"/>
    <x v="15"/>
    <x v="3"/>
    <n v="380078.83"/>
    <n v="422035.86"/>
    <n v="41957.02999999997"/>
    <n v="0.11039033665726651"/>
  </r>
  <r>
    <x v="2"/>
    <d v="2010-02-15T00:00:00"/>
    <x v="0"/>
    <x v="0"/>
    <x v="0"/>
    <x v="16"/>
    <x v="3"/>
    <n v="62852.76"/>
    <n v="71854.83"/>
    <n v="9002.07"/>
    <n v="0.1432247366702751"/>
  </r>
  <r>
    <x v="2"/>
    <d v="2010-02-15T00:00:00"/>
    <x v="0"/>
    <x v="0"/>
    <x v="0"/>
    <x v="18"/>
    <x v="5"/>
    <n v="17835.349999999999"/>
    <n v="19658.439999999999"/>
    <n v="1823.0900000000001"/>
    <n v="0.10221778658675049"/>
  </r>
  <r>
    <x v="2"/>
    <d v="2010-02-15T00:00:00"/>
    <x v="0"/>
    <x v="0"/>
    <x v="0"/>
    <x v="19"/>
    <x v="5"/>
    <n v="27065.040000000001"/>
    <n v="31118.15"/>
    <n v="4053.1100000000006"/>
    <n v="0.14975444337048829"/>
  </r>
  <r>
    <x v="2"/>
    <d v="2010-02-15T00:00:00"/>
    <x v="0"/>
    <x v="0"/>
    <x v="0"/>
    <x v="20"/>
    <x v="5"/>
    <n v="250788.01"/>
    <n v="345297.36"/>
    <n v="94509.349999999977"/>
    <n v="0.37684955512825341"/>
  </r>
  <r>
    <x v="2"/>
    <d v="2010-02-15T00:00:00"/>
    <x v="0"/>
    <x v="0"/>
    <x v="0"/>
    <x v="21"/>
    <x v="5"/>
    <n v="892"/>
    <n v="1038.23"/>
    <n v="146.23000000000002"/>
    <n v="0.16393497757847536"/>
  </r>
  <r>
    <x v="2"/>
    <d v="2010-02-15T00:00:00"/>
    <x v="0"/>
    <x v="0"/>
    <x v="0"/>
    <x v="22"/>
    <x v="6"/>
    <n v="2942.28"/>
    <n v="3822.16"/>
    <n v="879.87999999999965"/>
    <n v="0.29904699756651293"/>
  </r>
  <r>
    <x v="2"/>
    <d v="2010-02-15T00:00:00"/>
    <x v="0"/>
    <x v="0"/>
    <x v="0"/>
    <x v="23"/>
    <x v="6"/>
    <n v="131536.6"/>
    <n v="140282.56"/>
    <n v="8745.9599999999919"/>
    <n v="6.6490695365396341E-2"/>
  </r>
  <r>
    <x v="2"/>
    <d v="2010-02-15T00:00:00"/>
    <x v="0"/>
    <x v="0"/>
    <x v="0"/>
    <x v="24"/>
    <x v="6"/>
    <n v="319370.98"/>
    <n v="325668.45"/>
    <n v="6297.4700000000303"/>
    <n v="1.9718353871726324E-2"/>
  </r>
  <r>
    <x v="2"/>
    <d v="2010-02-15T00:00:00"/>
    <x v="0"/>
    <x v="0"/>
    <x v="0"/>
    <x v="25"/>
    <x v="6"/>
    <n v="201596.47"/>
    <n v="212685.58"/>
    <n v="11089.109999999986"/>
    <n v="5.5006469111289431E-2"/>
  </r>
  <r>
    <x v="2"/>
    <d v="2010-02-16T00:00:00"/>
    <x v="0"/>
    <x v="0"/>
    <x v="0"/>
    <x v="0"/>
    <x v="0"/>
    <n v="25924"/>
    <n v="30686.27"/>
    <n v="4762.2700000000004"/>
    <n v="0.18370120351797564"/>
  </r>
  <r>
    <x v="2"/>
    <d v="2010-02-16T00:00:00"/>
    <x v="0"/>
    <x v="0"/>
    <x v="0"/>
    <x v="1"/>
    <x v="0"/>
    <n v="198417.13"/>
    <n v="247993.03"/>
    <n v="49575.899999999994"/>
    <n v="0.24985695539492983"/>
  </r>
  <r>
    <x v="2"/>
    <d v="2010-02-16T00:00:00"/>
    <x v="0"/>
    <x v="0"/>
    <x v="0"/>
    <x v="2"/>
    <x v="0"/>
    <n v="69037.429999999993"/>
    <n v="75680.83"/>
    <n v="6643.4000000000087"/>
    <n v="9.6228958696753478E-2"/>
  </r>
  <r>
    <x v="2"/>
    <d v="2010-02-16T00:00:00"/>
    <x v="0"/>
    <x v="0"/>
    <x v="0"/>
    <x v="3"/>
    <x v="0"/>
    <n v="3322"/>
    <n v="3636.26"/>
    <n v="314.26000000000022"/>
    <n v="9.4599638771824271E-2"/>
  </r>
  <r>
    <x v="2"/>
    <d v="2010-02-16T00:00:00"/>
    <x v="0"/>
    <x v="0"/>
    <x v="0"/>
    <x v="4"/>
    <x v="0"/>
    <n v="11791.87"/>
    <n v="13344.93"/>
    <n v="1553.0599999999995"/>
    <n v="0.13170599743721728"/>
  </r>
  <r>
    <x v="2"/>
    <d v="2010-02-16T00:00:00"/>
    <x v="0"/>
    <x v="0"/>
    <x v="0"/>
    <x v="5"/>
    <x v="1"/>
    <n v="151464.42000000001"/>
    <n v="164213.51999999999"/>
    <n v="12749.099999999977"/>
    <n v="8.4172243223853999E-2"/>
  </r>
  <r>
    <x v="2"/>
    <d v="2010-02-16T00:00:00"/>
    <x v="0"/>
    <x v="0"/>
    <x v="0"/>
    <x v="6"/>
    <x v="1"/>
    <n v="626863.75"/>
    <n v="659225.01"/>
    <n v="32361.260000000009"/>
    <n v="5.1624073014271459E-2"/>
  </r>
  <r>
    <x v="2"/>
    <d v="2010-02-16T00:00:00"/>
    <x v="0"/>
    <x v="0"/>
    <x v="0"/>
    <x v="7"/>
    <x v="1"/>
    <n v="134719.96"/>
    <n v="149586.85999999999"/>
    <n v="14866.899999999994"/>
    <n v="0.11035410046143122"/>
  </r>
  <r>
    <x v="2"/>
    <d v="2010-02-16T00:00:00"/>
    <x v="0"/>
    <x v="0"/>
    <x v="0"/>
    <x v="8"/>
    <x v="1"/>
    <n v="187358.49"/>
    <n v="198619.61"/>
    <n v="11261.119999999995"/>
    <n v="6.0104668862350441E-2"/>
  </r>
  <r>
    <x v="2"/>
    <d v="2010-02-16T00:00:00"/>
    <x v="0"/>
    <x v="0"/>
    <x v="0"/>
    <x v="9"/>
    <x v="2"/>
    <n v="257556.5"/>
    <n v="278766.78999999998"/>
    <n v="21210.289999999979"/>
    <n v="8.2351988786926289E-2"/>
  </r>
  <r>
    <x v="2"/>
    <d v="2010-02-16T00:00:00"/>
    <x v="0"/>
    <x v="0"/>
    <x v="0"/>
    <x v="10"/>
    <x v="2"/>
    <n v="144916.20000000001"/>
    <n v="152110.51999999999"/>
    <n v="7194.3199999999779"/>
    <n v="4.9644691207746117E-2"/>
  </r>
  <r>
    <x v="2"/>
    <d v="2010-02-16T00:00:00"/>
    <x v="0"/>
    <x v="0"/>
    <x v="0"/>
    <x v="11"/>
    <x v="2"/>
    <n v="78236"/>
    <n v="85473.7"/>
    <n v="7237.6999999999971"/>
    <n v="9.2511120200419211E-2"/>
  </r>
  <r>
    <x v="2"/>
    <d v="2010-02-16T00:00:00"/>
    <x v="0"/>
    <x v="0"/>
    <x v="0"/>
    <x v="12"/>
    <x v="2"/>
    <n v="28127.65"/>
    <n v="31126.89"/>
    <n v="2999.239999999998"/>
    <n v="0.10662959756680696"/>
  </r>
  <r>
    <x v="2"/>
    <d v="2010-02-16T00:00:00"/>
    <x v="0"/>
    <x v="0"/>
    <x v="0"/>
    <x v="26"/>
    <x v="3"/>
    <n v="8061.32"/>
    <n v="9232.98"/>
    <n v="1171.6599999999999"/>
    <n v="0.1453434425131368"/>
  </r>
  <r>
    <x v="2"/>
    <d v="2010-02-16T00:00:00"/>
    <x v="0"/>
    <x v="0"/>
    <x v="0"/>
    <x v="13"/>
    <x v="3"/>
    <n v="158605.5"/>
    <n v="176240"/>
    <n v="17634.5"/>
    <n v="0.11118466887970467"/>
  </r>
  <r>
    <x v="2"/>
    <d v="2010-02-16T00:00:00"/>
    <x v="0"/>
    <x v="0"/>
    <x v="0"/>
    <x v="14"/>
    <x v="3"/>
    <n v="110477.63"/>
    <n v="124823.94"/>
    <n v="14346.309999999998"/>
    <n v="0.1298571484562078"/>
  </r>
  <r>
    <x v="2"/>
    <d v="2010-02-16T00:00:00"/>
    <x v="0"/>
    <x v="0"/>
    <x v="0"/>
    <x v="15"/>
    <x v="3"/>
    <n v="483576.33"/>
    <n v="532681.81000000006"/>
    <n v="49105.48000000004"/>
    <n v="0.10154649215357592"/>
  </r>
  <r>
    <x v="2"/>
    <d v="2010-02-16T00:00:00"/>
    <x v="0"/>
    <x v="0"/>
    <x v="0"/>
    <x v="16"/>
    <x v="3"/>
    <n v="22091"/>
    <n v="24883.97"/>
    <n v="2792.9700000000012"/>
    <n v="0.12643022045176774"/>
  </r>
  <r>
    <x v="2"/>
    <d v="2010-02-16T00:00:00"/>
    <x v="0"/>
    <x v="0"/>
    <x v="0"/>
    <x v="17"/>
    <x v="4"/>
    <n v="80"/>
    <n v="102"/>
    <n v="22"/>
    <n v="0.27500000000000002"/>
  </r>
  <r>
    <x v="2"/>
    <d v="2010-02-16T00:00:00"/>
    <x v="0"/>
    <x v="0"/>
    <x v="0"/>
    <x v="18"/>
    <x v="5"/>
    <n v="15087.23"/>
    <n v="16593.759999999998"/>
    <n v="1506.5299999999988"/>
    <n v="9.985464528611275E-2"/>
  </r>
  <r>
    <x v="2"/>
    <d v="2010-02-16T00:00:00"/>
    <x v="0"/>
    <x v="0"/>
    <x v="0"/>
    <x v="19"/>
    <x v="5"/>
    <n v="31279.51"/>
    <n v="35966.29"/>
    <n v="4686.7800000000025"/>
    <n v="0.14983546737145187"/>
  </r>
  <r>
    <x v="2"/>
    <d v="2010-02-16T00:00:00"/>
    <x v="0"/>
    <x v="0"/>
    <x v="0"/>
    <x v="20"/>
    <x v="5"/>
    <n v="243890.44"/>
    <n v="339896.01"/>
    <n v="96005.57"/>
    <n v="0.39364220262180022"/>
  </r>
  <r>
    <x v="2"/>
    <d v="2010-02-16T00:00:00"/>
    <x v="0"/>
    <x v="0"/>
    <x v="0"/>
    <x v="21"/>
    <x v="5"/>
    <n v="152"/>
    <n v="189.98"/>
    <n v="37.97999999999999"/>
    <n v="0.24986842105263152"/>
  </r>
  <r>
    <x v="2"/>
    <d v="2010-02-16T00:00:00"/>
    <x v="0"/>
    <x v="0"/>
    <x v="0"/>
    <x v="22"/>
    <x v="6"/>
    <n v="2935.56"/>
    <n v="3815.05"/>
    <n v="879.49000000000024"/>
    <n v="0.29959871370368862"/>
  </r>
  <r>
    <x v="2"/>
    <d v="2010-02-16T00:00:00"/>
    <x v="0"/>
    <x v="0"/>
    <x v="0"/>
    <x v="23"/>
    <x v="6"/>
    <n v="132689.14000000001"/>
    <n v="145426.5"/>
    <n v="12737.359999999986"/>
    <n v="9.599399016377666E-2"/>
  </r>
  <r>
    <x v="2"/>
    <d v="2010-02-16T00:00:00"/>
    <x v="0"/>
    <x v="0"/>
    <x v="0"/>
    <x v="24"/>
    <x v="6"/>
    <n v="331624.52"/>
    <n v="343679.56"/>
    <n v="12055.039999999979"/>
    <n v="3.6351473648570914E-2"/>
  </r>
  <r>
    <x v="2"/>
    <d v="2010-02-16T00:00:00"/>
    <x v="0"/>
    <x v="0"/>
    <x v="0"/>
    <x v="25"/>
    <x v="6"/>
    <n v="196987.15"/>
    <n v="209935.51"/>
    <n v="12948.360000000015"/>
    <n v="6.5732003331181829E-2"/>
  </r>
  <r>
    <x v="2"/>
    <d v="2010-02-17T00:00:00"/>
    <x v="0"/>
    <x v="0"/>
    <x v="0"/>
    <x v="0"/>
    <x v="0"/>
    <n v="21459"/>
    <n v="25038.84"/>
    <n v="3579.84"/>
    <n v="0.16682231231651057"/>
  </r>
  <r>
    <x v="2"/>
    <d v="2010-02-17T00:00:00"/>
    <x v="0"/>
    <x v="0"/>
    <x v="0"/>
    <x v="1"/>
    <x v="0"/>
    <n v="206057.19"/>
    <n v="269311.09000000003"/>
    <n v="63253.900000000023"/>
    <n v="0.30697254485514447"/>
  </r>
  <r>
    <x v="2"/>
    <d v="2010-02-17T00:00:00"/>
    <x v="0"/>
    <x v="0"/>
    <x v="0"/>
    <x v="2"/>
    <x v="0"/>
    <n v="54515.93"/>
    <n v="59240.69"/>
    <n v="4724.760000000002"/>
    <n v="8.6667511679613687E-2"/>
  </r>
  <r>
    <x v="2"/>
    <d v="2010-02-17T00:00:00"/>
    <x v="0"/>
    <x v="0"/>
    <x v="0"/>
    <x v="3"/>
    <x v="0"/>
    <n v="3050"/>
    <n v="3391.71"/>
    <n v="341.71000000000004"/>
    <n v="0.11203606557377051"/>
  </r>
  <r>
    <x v="2"/>
    <d v="2010-02-17T00:00:00"/>
    <x v="0"/>
    <x v="0"/>
    <x v="0"/>
    <x v="4"/>
    <x v="0"/>
    <n v="11747.92"/>
    <n v="13368.7"/>
    <n v="1620.7800000000007"/>
    <n v="0.13796314581645097"/>
  </r>
  <r>
    <x v="2"/>
    <d v="2010-02-17T00:00:00"/>
    <x v="0"/>
    <x v="0"/>
    <x v="0"/>
    <x v="5"/>
    <x v="1"/>
    <n v="246892.64"/>
    <n v="249577.76"/>
    <n v="2685.1199999999953"/>
    <n v="1.0875658342832719E-2"/>
  </r>
  <r>
    <x v="2"/>
    <d v="2010-02-17T00:00:00"/>
    <x v="0"/>
    <x v="0"/>
    <x v="0"/>
    <x v="6"/>
    <x v="1"/>
    <n v="578337.67000000004"/>
    <n v="610284.9"/>
    <n v="31947.229999999981"/>
    <n v="5.5239752928423251E-2"/>
  </r>
  <r>
    <x v="2"/>
    <d v="2010-02-17T00:00:00"/>
    <x v="0"/>
    <x v="0"/>
    <x v="0"/>
    <x v="7"/>
    <x v="1"/>
    <n v="142102.94"/>
    <n v="156212.19"/>
    <n v="14109.25"/>
    <n v="9.9288938005082789E-2"/>
  </r>
  <r>
    <x v="2"/>
    <d v="2010-02-17T00:00:00"/>
    <x v="0"/>
    <x v="0"/>
    <x v="0"/>
    <x v="8"/>
    <x v="1"/>
    <n v="244903.41"/>
    <n v="259051.94"/>
    <n v="14148.529999999999"/>
    <n v="5.7771878309085194E-2"/>
  </r>
  <r>
    <x v="2"/>
    <d v="2010-02-17T00:00:00"/>
    <x v="0"/>
    <x v="0"/>
    <x v="0"/>
    <x v="9"/>
    <x v="2"/>
    <n v="328219"/>
    <n v="352546.04"/>
    <n v="24327.039999999979"/>
    <n v="7.4118317342993484E-2"/>
  </r>
  <r>
    <x v="2"/>
    <d v="2010-02-17T00:00:00"/>
    <x v="0"/>
    <x v="0"/>
    <x v="0"/>
    <x v="10"/>
    <x v="2"/>
    <n v="146231.79999999999"/>
    <n v="153376.07999999999"/>
    <n v="7144.2799999999988"/>
    <n v="4.8855857617836881E-2"/>
  </r>
  <r>
    <x v="2"/>
    <d v="2010-02-17T00:00:00"/>
    <x v="0"/>
    <x v="0"/>
    <x v="0"/>
    <x v="11"/>
    <x v="2"/>
    <n v="85455"/>
    <n v="91631.51"/>
    <n v="6176.5099999999948"/>
    <n v="7.2277924053595399E-2"/>
  </r>
  <r>
    <x v="2"/>
    <d v="2010-02-17T00:00:00"/>
    <x v="0"/>
    <x v="0"/>
    <x v="0"/>
    <x v="12"/>
    <x v="2"/>
    <n v="16737.900000000001"/>
    <n v="19295.27"/>
    <n v="2557.369999999999"/>
    <n v="0.15278917904874559"/>
  </r>
  <r>
    <x v="2"/>
    <d v="2010-02-17T00:00:00"/>
    <x v="0"/>
    <x v="0"/>
    <x v="0"/>
    <x v="26"/>
    <x v="3"/>
    <n v="6810.66"/>
    <n v="7824.72"/>
    <n v="1014.0600000000004"/>
    <n v="0.14889305882249304"/>
  </r>
  <r>
    <x v="2"/>
    <d v="2010-02-17T00:00:00"/>
    <x v="0"/>
    <x v="0"/>
    <x v="0"/>
    <x v="13"/>
    <x v="3"/>
    <n v="146351.78"/>
    <n v="162149.51999999999"/>
    <n v="15797.739999999991"/>
    <n v="0.10794361366838169"/>
  </r>
  <r>
    <x v="2"/>
    <d v="2010-02-17T00:00:00"/>
    <x v="0"/>
    <x v="0"/>
    <x v="0"/>
    <x v="14"/>
    <x v="3"/>
    <n v="177225.05"/>
    <n v="200629.87"/>
    <n v="23404.820000000007"/>
    <n v="0.13206270783955207"/>
  </r>
  <r>
    <x v="2"/>
    <d v="2010-02-17T00:00:00"/>
    <x v="0"/>
    <x v="0"/>
    <x v="0"/>
    <x v="15"/>
    <x v="3"/>
    <n v="555246.67000000004"/>
    <n v="601429.16"/>
    <n v="46182.489999999991"/>
    <n v="8.3174726648968439E-2"/>
  </r>
  <r>
    <x v="2"/>
    <d v="2010-02-17T00:00:00"/>
    <x v="0"/>
    <x v="0"/>
    <x v="0"/>
    <x v="16"/>
    <x v="3"/>
    <n v="136787.9"/>
    <n v="154494.66"/>
    <n v="17706.760000000009"/>
    <n v="0.12944682972689844"/>
  </r>
  <r>
    <x v="2"/>
    <d v="2010-02-17T00:00:00"/>
    <x v="0"/>
    <x v="0"/>
    <x v="0"/>
    <x v="17"/>
    <x v="4"/>
    <n v="80"/>
    <n v="91.98"/>
    <n v="11.980000000000004"/>
    <n v="0.14975000000000005"/>
  </r>
  <r>
    <x v="2"/>
    <d v="2010-02-17T00:00:00"/>
    <x v="0"/>
    <x v="0"/>
    <x v="0"/>
    <x v="18"/>
    <x v="5"/>
    <n v="23873.64"/>
    <n v="26371.71"/>
    <n v="2498.0699999999997"/>
    <n v="0.10463716467199806"/>
  </r>
  <r>
    <x v="2"/>
    <d v="2010-02-17T00:00:00"/>
    <x v="0"/>
    <x v="0"/>
    <x v="0"/>
    <x v="19"/>
    <x v="5"/>
    <n v="17740.79"/>
    <n v="20399.830000000002"/>
    <n v="2659.0400000000009"/>
    <n v="0.14988284061758245"/>
  </r>
  <r>
    <x v="2"/>
    <d v="2010-02-17T00:00:00"/>
    <x v="0"/>
    <x v="0"/>
    <x v="0"/>
    <x v="20"/>
    <x v="5"/>
    <n v="234256.57"/>
    <n v="323418.45"/>
    <n v="89161.88"/>
    <n v="0.38061634728110294"/>
  </r>
  <r>
    <x v="2"/>
    <d v="2010-02-17T00:00:00"/>
    <x v="0"/>
    <x v="0"/>
    <x v="0"/>
    <x v="21"/>
    <x v="5"/>
    <n v="456"/>
    <n v="569.78"/>
    <n v="113.77999999999997"/>
    <n v="0.24951754385964905"/>
  </r>
  <r>
    <x v="2"/>
    <d v="2010-02-17T00:00:00"/>
    <x v="0"/>
    <x v="0"/>
    <x v="0"/>
    <x v="22"/>
    <x v="6"/>
    <n v="3661.84"/>
    <n v="4758.95"/>
    <n v="1097.1099999999997"/>
    <n v="0.29960620890044337"/>
  </r>
  <r>
    <x v="2"/>
    <d v="2010-02-17T00:00:00"/>
    <x v="0"/>
    <x v="0"/>
    <x v="0"/>
    <x v="23"/>
    <x v="6"/>
    <n v="166918.82999999999"/>
    <n v="180557.01"/>
    <n v="13638.180000000022"/>
    <n v="8.1705461271206023E-2"/>
  </r>
  <r>
    <x v="2"/>
    <d v="2010-02-17T00:00:00"/>
    <x v="0"/>
    <x v="0"/>
    <x v="0"/>
    <x v="24"/>
    <x v="6"/>
    <n v="350468.96"/>
    <n v="360898.02"/>
    <n v="10429.059999999998"/>
    <n v="2.9757442713329012E-2"/>
  </r>
  <r>
    <x v="2"/>
    <d v="2010-02-17T00:00:00"/>
    <x v="0"/>
    <x v="0"/>
    <x v="0"/>
    <x v="25"/>
    <x v="6"/>
    <n v="255133.91"/>
    <n v="271749.59000000003"/>
    <n v="16615.680000000022"/>
    <n v="6.5125329674914717E-2"/>
  </r>
  <r>
    <x v="2"/>
    <d v="2010-02-18T00:00:00"/>
    <x v="0"/>
    <x v="0"/>
    <x v="0"/>
    <x v="0"/>
    <x v="0"/>
    <n v="18460"/>
    <n v="22086.06"/>
    <n v="3626.0600000000013"/>
    <n v="0.19642795232936086"/>
  </r>
  <r>
    <x v="2"/>
    <d v="2010-02-18T00:00:00"/>
    <x v="0"/>
    <x v="0"/>
    <x v="0"/>
    <x v="1"/>
    <x v="0"/>
    <n v="253021.76"/>
    <n v="302611.65999999997"/>
    <n v="49589.899999999965"/>
    <n v="0.19599065313591987"/>
  </r>
  <r>
    <x v="2"/>
    <d v="2010-02-18T00:00:00"/>
    <x v="0"/>
    <x v="0"/>
    <x v="0"/>
    <x v="2"/>
    <x v="0"/>
    <n v="77768.47"/>
    <n v="84220.97"/>
    <n v="6452.5"/>
    <n v="8.2970643501151561E-2"/>
  </r>
  <r>
    <x v="2"/>
    <d v="2010-02-18T00:00:00"/>
    <x v="0"/>
    <x v="0"/>
    <x v="0"/>
    <x v="3"/>
    <x v="0"/>
    <n v="3957"/>
    <n v="4177.75"/>
    <n v="220.75"/>
    <n v="5.5787212534748547E-2"/>
  </r>
  <r>
    <x v="2"/>
    <d v="2010-02-18T00:00:00"/>
    <x v="0"/>
    <x v="0"/>
    <x v="0"/>
    <x v="4"/>
    <x v="0"/>
    <n v="19068.669999999998"/>
    <n v="20521.14"/>
    <n v="1452.4700000000012"/>
    <n v="7.6170493275094758E-2"/>
  </r>
  <r>
    <x v="2"/>
    <d v="2010-02-18T00:00:00"/>
    <x v="0"/>
    <x v="0"/>
    <x v="0"/>
    <x v="5"/>
    <x v="1"/>
    <n v="150242.07"/>
    <n v="161249.93"/>
    <n v="11007.859999999986"/>
    <n v="7.3267494251110787E-2"/>
  </r>
  <r>
    <x v="2"/>
    <d v="2010-02-18T00:00:00"/>
    <x v="0"/>
    <x v="0"/>
    <x v="0"/>
    <x v="6"/>
    <x v="1"/>
    <n v="428261.27"/>
    <n v="457794.8"/>
    <n v="29533.52999999997"/>
    <n v="6.896147765124773E-2"/>
  </r>
  <r>
    <x v="2"/>
    <d v="2010-02-18T00:00:00"/>
    <x v="0"/>
    <x v="0"/>
    <x v="0"/>
    <x v="7"/>
    <x v="1"/>
    <n v="141345.03"/>
    <n v="155951.20000000001"/>
    <n v="14606.170000000013"/>
    <n v="0.10333699034200221"/>
  </r>
  <r>
    <x v="2"/>
    <d v="2010-02-18T00:00:00"/>
    <x v="0"/>
    <x v="0"/>
    <x v="0"/>
    <x v="8"/>
    <x v="1"/>
    <n v="231460.17"/>
    <n v="243334.32"/>
    <n v="11874.149999999994"/>
    <n v="5.1301051062046632E-2"/>
  </r>
  <r>
    <x v="2"/>
    <d v="2010-02-18T00:00:00"/>
    <x v="0"/>
    <x v="0"/>
    <x v="0"/>
    <x v="9"/>
    <x v="2"/>
    <n v="332180.5"/>
    <n v="359052.96"/>
    <n v="26872.460000000021"/>
    <n v="8.0897162837674161E-2"/>
  </r>
  <r>
    <x v="2"/>
    <d v="2010-02-18T00:00:00"/>
    <x v="0"/>
    <x v="0"/>
    <x v="0"/>
    <x v="10"/>
    <x v="2"/>
    <n v="152980.20000000001"/>
    <n v="159690.07999999999"/>
    <n v="6709.8799999999756"/>
    <n v="4.3861100979080789E-2"/>
  </r>
  <r>
    <x v="2"/>
    <d v="2010-02-18T00:00:00"/>
    <x v="0"/>
    <x v="0"/>
    <x v="0"/>
    <x v="11"/>
    <x v="2"/>
    <n v="94061"/>
    <n v="101052.79"/>
    <n v="6991.7899999999936"/>
    <n v="7.4332507628028552E-2"/>
  </r>
  <r>
    <x v="2"/>
    <d v="2010-02-18T00:00:00"/>
    <x v="0"/>
    <x v="0"/>
    <x v="0"/>
    <x v="12"/>
    <x v="2"/>
    <n v="21224.5"/>
    <n v="23661.29"/>
    <n v="2436.7900000000009"/>
    <n v="0.11481024287969097"/>
  </r>
  <r>
    <x v="2"/>
    <d v="2010-02-18T00:00:00"/>
    <x v="0"/>
    <x v="0"/>
    <x v="0"/>
    <x v="26"/>
    <x v="3"/>
    <n v="2365.2199999999998"/>
    <n v="2693.71"/>
    <n v="328.49000000000024"/>
    <n v="0.13888348652556645"/>
  </r>
  <r>
    <x v="2"/>
    <d v="2010-02-18T00:00:00"/>
    <x v="0"/>
    <x v="0"/>
    <x v="0"/>
    <x v="13"/>
    <x v="3"/>
    <n v="164223.10999999999"/>
    <n v="182095.92"/>
    <n v="17872.810000000027"/>
    <n v="0.10883249014100407"/>
  </r>
  <r>
    <x v="2"/>
    <d v="2010-02-18T00:00:00"/>
    <x v="0"/>
    <x v="0"/>
    <x v="0"/>
    <x v="14"/>
    <x v="3"/>
    <n v="158682.94"/>
    <n v="177935.97"/>
    <n v="19253.03"/>
    <n v="0.1213301820598988"/>
  </r>
  <r>
    <x v="2"/>
    <d v="2010-02-18T00:00:00"/>
    <x v="0"/>
    <x v="0"/>
    <x v="0"/>
    <x v="15"/>
    <x v="3"/>
    <n v="567322.67000000004"/>
    <n v="610754.9"/>
    <n v="43432.229999999981"/>
    <n v="7.6556485923610237E-2"/>
  </r>
  <r>
    <x v="2"/>
    <d v="2010-02-18T00:00:00"/>
    <x v="0"/>
    <x v="0"/>
    <x v="0"/>
    <x v="16"/>
    <x v="3"/>
    <n v="171220.88"/>
    <n v="192744.36"/>
    <n v="21523.479999999981"/>
    <n v="0.1257059302580385"/>
  </r>
  <r>
    <x v="2"/>
    <d v="2010-02-18T00:00:00"/>
    <x v="0"/>
    <x v="0"/>
    <x v="0"/>
    <x v="17"/>
    <x v="4"/>
    <n v="120"/>
    <n v="137.97"/>
    <n v="17.97"/>
    <n v="0.14974999999999999"/>
  </r>
  <r>
    <x v="2"/>
    <d v="2010-02-18T00:00:00"/>
    <x v="0"/>
    <x v="0"/>
    <x v="0"/>
    <x v="18"/>
    <x v="5"/>
    <n v="31724.12"/>
    <n v="35549.64"/>
    <n v="3825.5200000000004"/>
    <n v="0.12058711163619355"/>
  </r>
  <r>
    <x v="2"/>
    <d v="2010-02-18T00:00:00"/>
    <x v="0"/>
    <x v="0"/>
    <x v="0"/>
    <x v="19"/>
    <x v="5"/>
    <n v="17101.02"/>
    <n v="19661.54"/>
    <n v="2560.5200000000004"/>
    <n v="0.14972908048759667"/>
  </r>
  <r>
    <x v="2"/>
    <d v="2010-02-18T00:00:00"/>
    <x v="0"/>
    <x v="0"/>
    <x v="0"/>
    <x v="20"/>
    <x v="5"/>
    <n v="233709.02"/>
    <n v="323171.95"/>
    <n v="89462.930000000022"/>
    <n v="0.38279622241366645"/>
  </r>
  <r>
    <x v="2"/>
    <d v="2010-02-18T00:00:00"/>
    <x v="0"/>
    <x v="0"/>
    <x v="0"/>
    <x v="22"/>
    <x v="6"/>
    <n v="2994.72"/>
    <n v="3891.65"/>
    <n v="896.93000000000029"/>
    <n v="0.29950379334295035"/>
  </r>
  <r>
    <x v="2"/>
    <d v="2010-02-18T00:00:00"/>
    <x v="0"/>
    <x v="0"/>
    <x v="0"/>
    <x v="23"/>
    <x v="6"/>
    <n v="116003.27"/>
    <n v="127983.77"/>
    <n v="11980.5"/>
    <n v="0.10327726106341657"/>
  </r>
  <r>
    <x v="2"/>
    <d v="2010-02-18T00:00:00"/>
    <x v="0"/>
    <x v="0"/>
    <x v="0"/>
    <x v="24"/>
    <x v="6"/>
    <n v="353730.8"/>
    <n v="366674.25"/>
    <n v="12943.450000000012"/>
    <n v="3.6591243962923251E-2"/>
  </r>
  <r>
    <x v="2"/>
    <d v="2010-02-18T00:00:00"/>
    <x v="0"/>
    <x v="0"/>
    <x v="0"/>
    <x v="25"/>
    <x v="6"/>
    <n v="194234.28"/>
    <n v="207904.1"/>
    <n v="13669.820000000007"/>
    <n v="7.0377999187373141E-2"/>
  </r>
  <r>
    <x v="2"/>
    <d v="2010-02-19T00:00:00"/>
    <x v="0"/>
    <x v="0"/>
    <x v="0"/>
    <x v="0"/>
    <x v="0"/>
    <n v="18234"/>
    <n v="21604.87"/>
    <n v="3370.869999999999"/>
    <n v="0.18486728090380602"/>
  </r>
  <r>
    <x v="2"/>
    <d v="2010-02-19T00:00:00"/>
    <x v="0"/>
    <x v="0"/>
    <x v="0"/>
    <x v="1"/>
    <x v="0"/>
    <n v="281896.87"/>
    <n v="351354.61"/>
    <n v="69457.739999999991"/>
    <n v="0.24639415116599198"/>
  </r>
  <r>
    <x v="2"/>
    <d v="2010-02-19T00:00:00"/>
    <x v="0"/>
    <x v="0"/>
    <x v="0"/>
    <x v="2"/>
    <x v="0"/>
    <n v="79276.22"/>
    <n v="86521.08"/>
    <n v="7244.8600000000006"/>
    <n v="9.1387556066623771E-2"/>
  </r>
  <r>
    <x v="2"/>
    <d v="2010-02-19T00:00:00"/>
    <x v="0"/>
    <x v="0"/>
    <x v="0"/>
    <x v="3"/>
    <x v="0"/>
    <n v="1420"/>
    <n v="1633.86"/>
    <n v="213.8599999999999"/>
    <n v="0.15060563380281683"/>
  </r>
  <r>
    <x v="2"/>
    <d v="2010-02-19T00:00:00"/>
    <x v="0"/>
    <x v="0"/>
    <x v="0"/>
    <x v="4"/>
    <x v="0"/>
    <n v="8250.51"/>
    <n v="9110.06"/>
    <n v="859.54999999999927"/>
    <n v="0.10418143848077262"/>
  </r>
  <r>
    <x v="2"/>
    <d v="2010-02-19T00:00:00"/>
    <x v="0"/>
    <x v="0"/>
    <x v="0"/>
    <x v="5"/>
    <x v="1"/>
    <n v="149328.26"/>
    <n v="161044.84"/>
    <n v="11716.579999999987"/>
    <n v="7.8461906674597209E-2"/>
  </r>
  <r>
    <x v="2"/>
    <d v="2010-02-19T00:00:00"/>
    <x v="0"/>
    <x v="0"/>
    <x v="0"/>
    <x v="6"/>
    <x v="1"/>
    <n v="534792.36"/>
    <n v="568672.14"/>
    <n v="33879.780000000028"/>
    <n v="6.3351278989849491E-2"/>
  </r>
  <r>
    <x v="2"/>
    <d v="2010-02-19T00:00:00"/>
    <x v="0"/>
    <x v="0"/>
    <x v="0"/>
    <x v="7"/>
    <x v="1"/>
    <n v="155714.23000000001"/>
    <n v="171093.32"/>
    <n v="15379.089999999997"/>
    <n v="9.8764833503013794E-2"/>
  </r>
  <r>
    <x v="2"/>
    <d v="2010-02-19T00:00:00"/>
    <x v="0"/>
    <x v="0"/>
    <x v="0"/>
    <x v="8"/>
    <x v="1"/>
    <n v="243283.89"/>
    <n v="260027.04"/>
    <n v="16743.149999999994"/>
    <n v="6.8821449706349208E-2"/>
  </r>
  <r>
    <x v="2"/>
    <d v="2010-02-19T00:00:00"/>
    <x v="0"/>
    <x v="0"/>
    <x v="0"/>
    <x v="9"/>
    <x v="2"/>
    <n v="621335.36"/>
    <n v="669177.84"/>
    <n v="47842.479999999981"/>
    <n v="7.6999448413816299E-2"/>
  </r>
  <r>
    <x v="2"/>
    <d v="2010-02-19T00:00:00"/>
    <x v="0"/>
    <x v="0"/>
    <x v="0"/>
    <x v="10"/>
    <x v="2"/>
    <n v="196121"/>
    <n v="204876.21"/>
    <n v="8755.2099999999919"/>
    <n v="4.4641879248015215E-2"/>
  </r>
  <r>
    <x v="2"/>
    <d v="2010-02-19T00:00:00"/>
    <x v="0"/>
    <x v="0"/>
    <x v="0"/>
    <x v="11"/>
    <x v="2"/>
    <n v="150426"/>
    <n v="160202.73000000001"/>
    <n v="9776.7300000000105"/>
    <n v="6.499361812452642E-2"/>
  </r>
  <r>
    <x v="2"/>
    <d v="2010-02-19T00:00:00"/>
    <x v="0"/>
    <x v="0"/>
    <x v="0"/>
    <x v="12"/>
    <x v="2"/>
    <n v="15704.85"/>
    <n v="18260.27"/>
    <n v="2555.42"/>
    <n v="0.16271533952887166"/>
  </r>
  <r>
    <x v="2"/>
    <d v="2010-02-19T00:00:00"/>
    <x v="0"/>
    <x v="0"/>
    <x v="0"/>
    <x v="26"/>
    <x v="3"/>
    <n v="21695.31"/>
    <n v="24298.46"/>
    <n v="2603.1499999999978"/>
    <n v="0.11998676211586733"/>
  </r>
  <r>
    <x v="2"/>
    <d v="2010-02-19T00:00:00"/>
    <x v="0"/>
    <x v="0"/>
    <x v="0"/>
    <x v="13"/>
    <x v="3"/>
    <n v="196639.58"/>
    <n v="217257.37"/>
    <n v="20617.790000000008"/>
    <n v="0.10485066129616433"/>
  </r>
  <r>
    <x v="2"/>
    <d v="2010-02-19T00:00:00"/>
    <x v="0"/>
    <x v="0"/>
    <x v="0"/>
    <x v="14"/>
    <x v="3"/>
    <n v="151101.35"/>
    <n v="171499.02"/>
    <n v="20397.669999999984"/>
    <n v="0.13499330085402933"/>
  </r>
  <r>
    <x v="2"/>
    <d v="2010-02-19T00:00:00"/>
    <x v="0"/>
    <x v="0"/>
    <x v="0"/>
    <x v="15"/>
    <x v="3"/>
    <n v="596058"/>
    <n v="642638.21"/>
    <n v="46580.209999999963"/>
    <n v="7.8147109845015023E-2"/>
  </r>
  <r>
    <x v="2"/>
    <d v="2010-02-19T00:00:00"/>
    <x v="0"/>
    <x v="0"/>
    <x v="0"/>
    <x v="16"/>
    <x v="3"/>
    <n v="184648.24"/>
    <n v="207649.05"/>
    <n v="23000.809999999998"/>
    <n v="0.12456555231720594"/>
  </r>
  <r>
    <x v="2"/>
    <d v="2010-02-19T00:00:00"/>
    <x v="0"/>
    <x v="0"/>
    <x v="0"/>
    <x v="17"/>
    <x v="4"/>
    <n v="680"/>
    <n v="846.73"/>
    <n v="166.73000000000002"/>
    <n v="0.24519117647058827"/>
  </r>
  <r>
    <x v="2"/>
    <d v="2010-02-19T00:00:00"/>
    <x v="0"/>
    <x v="0"/>
    <x v="0"/>
    <x v="18"/>
    <x v="5"/>
    <n v="33151.26"/>
    <n v="42673.83"/>
    <n v="9522.57"/>
    <n v="0.28724609562351472"/>
  </r>
  <r>
    <x v="2"/>
    <d v="2010-02-19T00:00:00"/>
    <x v="0"/>
    <x v="0"/>
    <x v="0"/>
    <x v="19"/>
    <x v="5"/>
    <n v="20564.189999999999"/>
    <n v="23644.27"/>
    <n v="3080.0800000000017"/>
    <n v="0.14977881453147446"/>
  </r>
  <r>
    <x v="2"/>
    <d v="2010-02-19T00:00:00"/>
    <x v="0"/>
    <x v="0"/>
    <x v="0"/>
    <x v="20"/>
    <x v="5"/>
    <n v="290604.61"/>
    <n v="397186.83"/>
    <n v="106582.22000000003"/>
    <n v="0.36676025201389623"/>
  </r>
  <r>
    <x v="2"/>
    <d v="2010-02-19T00:00:00"/>
    <x v="0"/>
    <x v="0"/>
    <x v="0"/>
    <x v="22"/>
    <x v="6"/>
    <n v="2158.8000000000002"/>
    <n v="2805.85"/>
    <n v="647.04999999999973"/>
    <n v="0.29972670001852864"/>
  </r>
  <r>
    <x v="2"/>
    <d v="2010-02-19T00:00:00"/>
    <x v="0"/>
    <x v="0"/>
    <x v="0"/>
    <x v="23"/>
    <x v="6"/>
    <n v="143122.65"/>
    <n v="154337.53"/>
    <n v="11214.880000000005"/>
    <n v="7.8358526760090072E-2"/>
  </r>
  <r>
    <x v="2"/>
    <d v="2010-02-19T00:00:00"/>
    <x v="0"/>
    <x v="0"/>
    <x v="0"/>
    <x v="24"/>
    <x v="6"/>
    <n v="347115.49"/>
    <n v="359973.04"/>
    <n v="12857.549999999988"/>
    <n v="3.7041130028510075E-2"/>
  </r>
  <r>
    <x v="2"/>
    <d v="2010-02-19T00:00:00"/>
    <x v="0"/>
    <x v="0"/>
    <x v="0"/>
    <x v="25"/>
    <x v="6"/>
    <n v="294215.46000000002"/>
    <n v="312889.07"/>
    <n v="18673.609999999986"/>
    <n v="6.3469166440131952E-2"/>
  </r>
  <r>
    <x v="2"/>
    <d v="2010-02-20T00:00:00"/>
    <x v="0"/>
    <x v="0"/>
    <x v="0"/>
    <x v="0"/>
    <x v="0"/>
    <n v="21617"/>
    <n v="25362.51"/>
    <n v="3745.5099999999984"/>
    <n v="0.17326687329416657"/>
  </r>
  <r>
    <x v="2"/>
    <d v="2010-02-20T00:00:00"/>
    <x v="0"/>
    <x v="0"/>
    <x v="0"/>
    <x v="1"/>
    <x v="0"/>
    <n v="408951.66"/>
    <n v="499331.82"/>
    <n v="90380.160000000033"/>
    <n v="0.22100450698745186"/>
  </r>
  <r>
    <x v="2"/>
    <d v="2010-02-20T00:00:00"/>
    <x v="0"/>
    <x v="0"/>
    <x v="0"/>
    <x v="2"/>
    <x v="0"/>
    <n v="121135.32"/>
    <n v="132336.73000000001"/>
    <n v="11201.410000000003"/>
    <n v="9.2470222557714823E-2"/>
  </r>
  <r>
    <x v="2"/>
    <d v="2010-02-20T00:00:00"/>
    <x v="0"/>
    <x v="0"/>
    <x v="0"/>
    <x v="3"/>
    <x v="0"/>
    <n v="3433"/>
    <n v="3853.43"/>
    <n v="420.42999999999984"/>
    <n v="0.12246722982813861"/>
  </r>
  <r>
    <x v="2"/>
    <d v="2010-02-20T00:00:00"/>
    <x v="0"/>
    <x v="0"/>
    <x v="0"/>
    <x v="4"/>
    <x v="0"/>
    <n v="8699.0300000000007"/>
    <n v="9670.2999999999993"/>
    <n v="971.26999999999862"/>
    <n v="0.1116526785170299"/>
  </r>
  <r>
    <x v="2"/>
    <d v="2010-02-20T00:00:00"/>
    <x v="0"/>
    <x v="0"/>
    <x v="0"/>
    <x v="5"/>
    <x v="1"/>
    <n v="242252.13"/>
    <n v="261299.68"/>
    <n v="19047.549999999988"/>
    <n v="7.8626966045664853E-2"/>
  </r>
  <r>
    <x v="2"/>
    <d v="2010-02-20T00:00:00"/>
    <x v="0"/>
    <x v="0"/>
    <x v="0"/>
    <x v="6"/>
    <x v="1"/>
    <n v="642982.51"/>
    <n v="682284.32"/>
    <n v="39301.809999999939"/>
    <n v="6.1124228713468329E-2"/>
  </r>
  <r>
    <x v="2"/>
    <d v="2010-02-20T00:00:00"/>
    <x v="0"/>
    <x v="0"/>
    <x v="0"/>
    <x v="7"/>
    <x v="1"/>
    <n v="234457.96"/>
    <n v="257615.49"/>
    <n v="23157.53"/>
    <n v="9.8770500263671998E-2"/>
  </r>
  <r>
    <x v="2"/>
    <d v="2010-02-20T00:00:00"/>
    <x v="0"/>
    <x v="0"/>
    <x v="0"/>
    <x v="8"/>
    <x v="1"/>
    <n v="396566.05"/>
    <n v="424339.62"/>
    <n v="27773.570000000007"/>
    <n v="7.0035168164294462E-2"/>
  </r>
  <r>
    <x v="2"/>
    <d v="2010-02-20T00:00:00"/>
    <x v="0"/>
    <x v="0"/>
    <x v="0"/>
    <x v="9"/>
    <x v="2"/>
    <n v="602387.64"/>
    <n v="659305.89"/>
    <n v="56918.25"/>
    <n v="9.4487745465693815E-2"/>
  </r>
  <r>
    <x v="2"/>
    <d v="2010-02-20T00:00:00"/>
    <x v="0"/>
    <x v="0"/>
    <x v="0"/>
    <x v="10"/>
    <x v="2"/>
    <n v="281714.40000000002"/>
    <n v="293335.32"/>
    <n v="11620.919999999984"/>
    <n v="4.1250713488554303E-2"/>
  </r>
  <r>
    <x v="2"/>
    <d v="2010-02-20T00:00:00"/>
    <x v="0"/>
    <x v="0"/>
    <x v="0"/>
    <x v="11"/>
    <x v="2"/>
    <n v="146463"/>
    <n v="163725.45000000001"/>
    <n v="17262.450000000012"/>
    <n v="0.11786219045083067"/>
  </r>
  <r>
    <x v="2"/>
    <d v="2010-02-20T00:00:00"/>
    <x v="0"/>
    <x v="0"/>
    <x v="0"/>
    <x v="12"/>
    <x v="2"/>
    <n v="28789.75"/>
    <n v="33828.199999999997"/>
    <n v="5038.4499999999971"/>
    <n v="0.17500846655493699"/>
  </r>
  <r>
    <x v="2"/>
    <d v="2010-02-20T00:00:00"/>
    <x v="0"/>
    <x v="0"/>
    <x v="0"/>
    <x v="26"/>
    <x v="3"/>
    <n v="44259.38"/>
    <n v="49086.67"/>
    <n v="4827.2900000000009"/>
    <n v="0.10906817944580338"/>
  </r>
  <r>
    <x v="2"/>
    <d v="2010-02-20T00:00:00"/>
    <x v="0"/>
    <x v="0"/>
    <x v="0"/>
    <x v="13"/>
    <x v="3"/>
    <n v="200541.46"/>
    <n v="225798.42"/>
    <n v="25256.960000000021"/>
    <n v="0.12594383226291472"/>
  </r>
  <r>
    <x v="2"/>
    <d v="2010-02-20T00:00:00"/>
    <x v="0"/>
    <x v="0"/>
    <x v="0"/>
    <x v="14"/>
    <x v="3"/>
    <n v="131011.61"/>
    <n v="148842.54"/>
    <n v="17830.930000000008"/>
    <n v="0.13610190730424584"/>
  </r>
  <r>
    <x v="2"/>
    <d v="2010-02-20T00:00:00"/>
    <x v="0"/>
    <x v="0"/>
    <x v="0"/>
    <x v="15"/>
    <x v="3"/>
    <n v="1059869"/>
    <n v="1150432.27"/>
    <n v="90563.270000000019"/>
    <n v="8.5447607204286583E-2"/>
  </r>
  <r>
    <x v="2"/>
    <d v="2010-02-20T00:00:00"/>
    <x v="0"/>
    <x v="0"/>
    <x v="0"/>
    <x v="16"/>
    <x v="3"/>
    <n v="266731.08"/>
    <n v="299721.62"/>
    <n v="32990.539999999979"/>
    <n v="0.12368464897304048"/>
  </r>
  <r>
    <x v="2"/>
    <d v="2010-02-20T00:00:00"/>
    <x v="0"/>
    <x v="0"/>
    <x v="0"/>
    <x v="17"/>
    <x v="4"/>
    <n v="1520"/>
    <n v="1902.83"/>
    <n v="382.82999999999993"/>
    <n v="0.25186184210526313"/>
  </r>
  <r>
    <x v="2"/>
    <d v="2010-02-20T00:00:00"/>
    <x v="0"/>
    <x v="0"/>
    <x v="0"/>
    <x v="18"/>
    <x v="5"/>
    <n v="54327.7"/>
    <n v="65619.19"/>
    <n v="11291.490000000005"/>
    <n v="0.20784038345079961"/>
  </r>
  <r>
    <x v="2"/>
    <d v="2010-02-20T00:00:00"/>
    <x v="0"/>
    <x v="0"/>
    <x v="0"/>
    <x v="19"/>
    <x v="5"/>
    <n v="56700.55"/>
    <n v="65196.88"/>
    <n v="8496.3299999999945"/>
    <n v="0.14984563641798879"/>
  </r>
  <r>
    <x v="2"/>
    <d v="2010-02-20T00:00:00"/>
    <x v="0"/>
    <x v="0"/>
    <x v="0"/>
    <x v="20"/>
    <x v="5"/>
    <n v="379295.85"/>
    <n v="513292.07"/>
    <n v="133996.22000000003"/>
    <n v="0.35327626178878579"/>
  </r>
  <r>
    <x v="2"/>
    <d v="2010-02-20T00:00:00"/>
    <x v="0"/>
    <x v="0"/>
    <x v="0"/>
    <x v="22"/>
    <x v="6"/>
    <n v="3444.2"/>
    <n v="4476.38"/>
    <n v="1032.1800000000003"/>
    <n v="0.29968642935950301"/>
  </r>
  <r>
    <x v="2"/>
    <d v="2010-02-20T00:00:00"/>
    <x v="0"/>
    <x v="0"/>
    <x v="0"/>
    <x v="23"/>
    <x v="6"/>
    <n v="226984.34"/>
    <n v="246507.4"/>
    <n v="19523.059999999998"/>
    <n v="8.6010603198440908E-2"/>
  </r>
  <r>
    <x v="2"/>
    <d v="2010-02-20T00:00:00"/>
    <x v="0"/>
    <x v="0"/>
    <x v="0"/>
    <x v="24"/>
    <x v="6"/>
    <n v="596846.01"/>
    <n v="621352.95999999996"/>
    <n v="24506.949999999953"/>
    <n v="4.1060758703907484E-2"/>
  </r>
  <r>
    <x v="2"/>
    <d v="2010-02-20T00:00:00"/>
    <x v="0"/>
    <x v="0"/>
    <x v="0"/>
    <x v="25"/>
    <x v="6"/>
    <n v="407829.92"/>
    <n v="437581.33"/>
    <n v="29751.410000000033"/>
    <n v="7.2950532908424265E-2"/>
  </r>
  <r>
    <x v="2"/>
    <d v="2010-02-21T00:00:00"/>
    <x v="1"/>
    <x v="0"/>
    <x v="0"/>
    <x v="0"/>
    <x v="0"/>
    <n v="14145"/>
    <n v="16789.28"/>
    <n v="2644.2799999999988"/>
    <n v="0.1869409685401201"/>
  </r>
  <r>
    <x v="2"/>
    <d v="2010-02-21T00:00:00"/>
    <x v="1"/>
    <x v="0"/>
    <x v="0"/>
    <x v="1"/>
    <x v="0"/>
    <n v="315423.78000000003"/>
    <n v="374684.28"/>
    <n v="59260.5"/>
    <n v="0.18787581583100676"/>
  </r>
  <r>
    <x v="2"/>
    <d v="2010-02-21T00:00:00"/>
    <x v="1"/>
    <x v="0"/>
    <x v="0"/>
    <x v="2"/>
    <x v="0"/>
    <n v="116703.92"/>
    <n v="127669.08"/>
    <n v="10965.160000000003"/>
    <n v="9.3957083875160358E-2"/>
  </r>
  <r>
    <x v="2"/>
    <d v="2010-02-21T00:00:00"/>
    <x v="1"/>
    <x v="0"/>
    <x v="0"/>
    <x v="3"/>
    <x v="0"/>
    <n v="2074"/>
    <n v="2208.62"/>
    <n v="134.61999999999989"/>
    <n v="6.4908389585342285E-2"/>
  </r>
  <r>
    <x v="2"/>
    <d v="2010-02-21T00:00:00"/>
    <x v="1"/>
    <x v="0"/>
    <x v="0"/>
    <x v="4"/>
    <x v="0"/>
    <n v="13369.54"/>
    <n v="14981.85"/>
    <n v="1612.3099999999995"/>
    <n v="0.12059577218064342"/>
  </r>
  <r>
    <x v="2"/>
    <d v="2010-02-21T00:00:00"/>
    <x v="1"/>
    <x v="0"/>
    <x v="0"/>
    <x v="5"/>
    <x v="1"/>
    <n v="208289.24"/>
    <n v="227333.11"/>
    <n v="19043.869999999995"/>
    <n v="9.1429926961181462E-2"/>
  </r>
  <r>
    <x v="2"/>
    <d v="2010-02-21T00:00:00"/>
    <x v="1"/>
    <x v="0"/>
    <x v="0"/>
    <x v="6"/>
    <x v="1"/>
    <n v="726807.45"/>
    <n v="767670.48"/>
    <n v="40863.030000000028"/>
    <n v="5.6222635032153329E-2"/>
  </r>
  <r>
    <x v="2"/>
    <d v="2010-02-21T00:00:00"/>
    <x v="1"/>
    <x v="0"/>
    <x v="0"/>
    <x v="7"/>
    <x v="1"/>
    <n v="187942.95"/>
    <n v="206881.84"/>
    <n v="18938.889999999985"/>
    <n v="0.10076935580717437"/>
  </r>
  <r>
    <x v="2"/>
    <d v="2010-02-21T00:00:00"/>
    <x v="1"/>
    <x v="0"/>
    <x v="0"/>
    <x v="8"/>
    <x v="1"/>
    <n v="333945.87"/>
    <n v="353283.96"/>
    <n v="19338.090000000026"/>
    <n v="5.790785794116881E-2"/>
  </r>
  <r>
    <x v="2"/>
    <d v="2010-02-21T00:00:00"/>
    <x v="1"/>
    <x v="0"/>
    <x v="0"/>
    <x v="9"/>
    <x v="2"/>
    <n v="404340.5"/>
    <n v="444040.09"/>
    <n v="39699.590000000026"/>
    <n v="9.8183560637630965E-2"/>
  </r>
  <r>
    <x v="2"/>
    <d v="2010-02-21T00:00:00"/>
    <x v="1"/>
    <x v="0"/>
    <x v="0"/>
    <x v="10"/>
    <x v="2"/>
    <n v="253882.4"/>
    <n v="265079.74"/>
    <n v="11197.339999999997"/>
    <n v="4.4104435754506802E-2"/>
  </r>
  <r>
    <x v="2"/>
    <d v="2010-02-21T00:00:00"/>
    <x v="1"/>
    <x v="0"/>
    <x v="0"/>
    <x v="11"/>
    <x v="2"/>
    <n v="90248"/>
    <n v="101452.07"/>
    <n v="11204.070000000007"/>
    <n v="0.12414757113731061"/>
  </r>
  <r>
    <x v="2"/>
    <d v="2010-02-21T00:00:00"/>
    <x v="1"/>
    <x v="0"/>
    <x v="0"/>
    <x v="12"/>
    <x v="2"/>
    <n v="25483.1"/>
    <n v="27367.38"/>
    <n v="1884.2800000000025"/>
    <n v="7.3942338255549855E-2"/>
  </r>
  <r>
    <x v="2"/>
    <d v="2010-02-21T00:00:00"/>
    <x v="1"/>
    <x v="0"/>
    <x v="0"/>
    <x v="26"/>
    <x v="3"/>
    <n v="36207.279999999999"/>
    <n v="40114.74"/>
    <n v="3907.4599999999991"/>
    <n v="0.10791918089400804"/>
  </r>
  <r>
    <x v="2"/>
    <d v="2010-02-21T00:00:00"/>
    <x v="1"/>
    <x v="0"/>
    <x v="0"/>
    <x v="13"/>
    <x v="3"/>
    <n v="153237.54"/>
    <n v="172650.58"/>
    <n v="19413.039999999979"/>
    <n v="0.12668592826535832"/>
  </r>
  <r>
    <x v="2"/>
    <d v="2010-02-21T00:00:00"/>
    <x v="1"/>
    <x v="0"/>
    <x v="0"/>
    <x v="14"/>
    <x v="3"/>
    <n v="93246.35"/>
    <n v="102883.64"/>
    <n v="9637.2899999999936"/>
    <n v="0.10335299987613449"/>
  </r>
  <r>
    <x v="2"/>
    <d v="2010-02-21T00:00:00"/>
    <x v="1"/>
    <x v="0"/>
    <x v="0"/>
    <x v="15"/>
    <x v="3"/>
    <n v="1000761.33"/>
    <n v="1083675.43"/>
    <n v="82914.099999999977"/>
    <n v="8.2851023030636073E-2"/>
  </r>
  <r>
    <x v="2"/>
    <d v="2010-02-21T00:00:00"/>
    <x v="1"/>
    <x v="0"/>
    <x v="0"/>
    <x v="16"/>
    <x v="3"/>
    <n v="175485.7"/>
    <n v="198413.4"/>
    <n v="22927.699999999983"/>
    <n v="0.13065281102676732"/>
  </r>
  <r>
    <x v="2"/>
    <d v="2010-02-21T00:00:00"/>
    <x v="1"/>
    <x v="0"/>
    <x v="0"/>
    <x v="17"/>
    <x v="4"/>
    <n v="760"/>
    <n v="958.87"/>
    <n v="198.87"/>
    <n v="0.26167105263157897"/>
  </r>
  <r>
    <x v="2"/>
    <d v="2010-02-21T00:00:00"/>
    <x v="1"/>
    <x v="0"/>
    <x v="0"/>
    <x v="18"/>
    <x v="5"/>
    <n v="31501.919999999998"/>
    <n v="41215.89"/>
    <n v="9713.9700000000012"/>
    <n v="0.30836120465038325"/>
  </r>
  <r>
    <x v="2"/>
    <d v="2010-02-21T00:00:00"/>
    <x v="1"/>
    <x v="0"/>
    <x v="0"/>
    <x v="19"/>
    <x v="5"/>
    <n v="42066.79"/>
    <n v="48370.76"/>
    <n v="6303.9700000000012"/>
    <n v="0.14985621674484792"/>
  </r>
  <r>
    <x v="2"/>
    <d v="2010-02-21T00:00:00"/>
    <x v="1"/>
    <x v="0"/>
    <x v="0"/>
    <x v="20"/>
    <x v="5"/>
    <n v="264362.77"/>
    <n v="371441.05"/>
    <n v="107078.27999999997"/>
    <n v="0.40504296425703196"/>
  </r>
  <r>
    <x v="2"/>
    <d v="2010-02-21T00:00:00"/>
    <x v="1"/>
    <x v="0"/>
    <x v="0"/>
    <x v="21"/>
    <x v="5"/>
    <n v="380"/>
    <n v="474.95"/>
    <n v="94.949999999999989"/>
    <n v="0.24986842105263155"/>
  </r>
  <r>
    <x v="2"/>
    <d v="2010-02-21T00:00:00"/>
    <x v="1"/>
    <x v="0"/>
    <x v="0"/>
    <x v="22"/>
    <x v="6"/>
    <n v="1573.88"/>
    <n v="2045.81"/>
    <n v="471.92999999999984"/>
    <n v="0.29985132284545191"/>
  </r>
  <r>
    <x v="2"/>
    <d v="2010-02-21T00:00:00"/>
    <x v="1"/>
    <x v="0"/>
    <x v="0"/>
    <x v="23"/>
    <x v="6"/>
    <n v="254190.85"/>
    <n v="276255.74"/>
    <n v="22064.889999999985"/>
    <n v="8.680442273984286E-2"/>
  </r>
  <r>
    <x v="2"/>
    <d v="2010-02-21T00:00:00"/>
    <x v="1"/>
    <x v="0"/>
    <x v="0"/>
    <x v="24"/>
    <x v="6"/>
    <n v="517836.01"/>
    <n v="543298.12"/>
    <n v="25462.109999999986"/>
    <n v="4.9170218965652823E-2"/>
  </r>
  <r>
    <x v="2"/>
    <d v="2010-02-21T00:00:00"/>
    <x v="1"/>
    <x v="0"/>
    <x v="0"/>
    <x v="25"/>
    <x v="6"/>
    <n v="462276.13"/>
    <n v="496634.1"/>
    <n v="34357.969999999972"/>
    <n v="7.432347848027536E-2"/>
  </r>
  <r>
    <x v="2"/>
    <d v="2010-02-22T00:00:00"/>
    <x v="1"/>
    <x v="0"/>
    <x v="0"/>
    <x v="0"/>
    <x v="0"/>
    <n v="7842"/>
    <n v="9507.7199999999993"/>
    <n v="1665.7199999999993"/>
    <n v="0.21241009946442227"/>
  </r>
  <r>
    <x v="2"/>
    <d v="2010-02-22T00:00:00"/>
    <x v="1"/>
    <x v="0"/>
    <x v="0"/>
    <x v="1"/>
    <x v="0"/>
    <n v="295709.12"/>
    <n v="355564.71"/>
    <n v="59855.590000000026"/>
    <n v="0.20241374361399481"/>
  </r>
  <r>
    <x v="2"/>
    <d v="2010-02-22T00:00:00"/>
    <x v="1"/>
    <x v="0"/>
    <x v="0"/>
    <x v="2"/>
    <x v="0"/>
    <n v="103644.75"/>
    <n v="114032.1"/>
    <n v="10387.350000000006"/>
    <n v="0.10022070582446295"/>
  </r>
  <r>
    <x v="2"/>
    <d v="2010-02-22T00:00:00"/>
    <x v="1"/>
    <x v="0"/>
    <x v="0"/>
    <x v="3"/>
    <x v="0"/>
    <n v="1420"/>
    <n v="1449.2"/>
    <n v="29.200000000000045"/>
    <n v="2.0563380281690174E-2"/>
  </r>
  <r>
    <x v="2"/>
    <d v="2010-02-22T00:00:00"/>
    <x v="1"/>
    <x v="0"/>
    <x v="0"/>
    <x v="4"/>
    <x v="0"/>
    <n v="6569.77"/>
    <n v="7198.52"/>
    <n v="628.75"/>
    <n v="9.5703502557928199E-2"/>
  </r>
  <r>
    <x v="2"/>
    <d v="2010-02-22T00:00:00"/>
    <x v="1"/>
    <x v="0"/>
    <x v="0"/>
    <x v="5"/>
    <x v="1"/>
    <n v="154747.39000000001"/>
    <n v="170051.76"/>
    <n v="15304.369999999995"/>
    <n v="9.8899050898370519E-2"/>
  </r>
  <r>
    <x v="2"/>
    <d v="2010-02-22T00:00:00"/>
    <x v="1"/>
    <x v="0"/>
    <x v="0"/>
    <x v="6"/>
    <x v="1"/>
    <n v="304174.94"/>
    <n v="328018.28000000003"/>
    <n v="23843.340000000026"/>
    <n v="7.838693088917853E-2"/>
  </r>
  <r>
    <x v="2"/>
    <d v="2010-02-22T00:00:00"/>
    <x v="1"/>
    <x v="0"/>
    <x v="0"/>
    <x v="7"/>
    <x v="1"/>
    <n v="110522.1"/>
    <n v="121271.71"/>
    <n v="10749.61"/>
    <n v="9.7262086044329593E-2"/>
  </r>
  <r>
    <x v="2"/>
    <d v="2010-02-22T00:00:00"/>
    <x v="1"/>
    <x v="0"/>
    <x v="0"/>
    <x v="8"/>
    <x v="1"/>
    <n v="189824.15"/>
    <n v="200874.45"/>
    <n v="11050.300000000017"/>
    <n v="5.8213351673114394E-2"/>
  </r>
  <r>
    <x v="2"/>
    <d v="2010-02-22T00:00:00"/>
    <x v="1"/>
    <x v="0"/>
    <x v="0"/>
    <x v="9"/>
    <x v="2"/>
    <n v="386576.5"/>
    <n v="423506.94"/>
    <n v="36930.44"/>
    <n v="9.5532035703153204E-2"/>
  </r>
  <r>
    <x v="2"/>
    <d v="2010-02-22T00:00:00"/>
    <x v="1"/>
    <x v="0"/>
    <x v="0"/>
    <x v="10"/>
    <x v="2"/>
    <n v="165053.70000000001"/>
    <n v="173996.62"/>
    <n v="8942.9199999999837"/>
    <n v="5.4181881411928257E-2"/>
  </r>
  <r>
    <x v="2"/>
    <d v="2010-02-22T00:00:00"/>
    <x v="1"/>
    <x v="0"/>
    <x v="0"/>
    <x v="11"/>
    <x v="2"/>
    <n v="76558"/>
    <n v="87657.19"/>
    <n v="11099.190000000002"/>
    <n v="0.14497753337339014"/>
  </r>
  <r>
    <x v="2"/>
    <d v="2010-02-22T00:00:00"/>
    <x v="1"/>
    <x v="0"/>
    <x v="0"/>
    <x v="12"/>
    <x v="2"/>
    <n v="20136.25"/>
    <n v="23772.61"/>
    <n v="3636.3600000000006"/>
    <n v="0.18058774598050781"/>
  </r>
  <r>
    <x v="2"/>
    <d v="2010-02-22T00:00:00"/>
    <x v="1"/>
    <x v="0"/>
    <x v="0"/>
    <x v="26"/>
    <x v="3"/>
    <n v="16473.86"/>
    <n v="18244.25"/>
    <n v="1770.3899999999994"/>
    <n v="0.10746661680990365"/>
  </r>
  <r>
    <x v="2"/>
    <d v="2010-02-22T00:00:00"/>
    <x v="1"/>
    <x v="0"/>
    <x v="0"/>
    <x v="13"/>
    <x v="3"/>
    <n v="116028.28"/>
    <n v="130199.81"/>
    <n v="14171.529999999999"/>
    <n v="0.12213858552414979"/>
  </r>
  <r>
    <x v="2"/>
    <d v="2010-02-22T00:00:00"/>
    <x v="1"/>
    <x v="0"/>
    <x v="0"/>
    <x v="14"/>
    <x v="3"/>
    <n v="92995.41"/>
    <n v="103103.66"/>
    <n v="10108.25"/>
    <n v="0.10869622489970203"/>
  </r>
  <r>
    <x v="2"/>
    <d v="2010-02-22T00:00:00"/>
    <x v="1"/>
    <x v="0"/>
    <x v="0"/>
    <x v="15"/>
    <x v="3"/>
    <n v="588220.82999999996"/>
    <n v="639622.97"/>
    <n v="51402.140000000014"/>
    <n v="8.7385786729109918E-2"/>
  </r>
  <r>
    <x v="2"/>
    <d v="2010-02-22T00:00:00"/>
    <x v="1"/>
    <x v="0"/>
    <x v="0"/>
    <x v="16"/>
    <x v="3"/>
    <n v="46366.400000000001"/>
    <n v="52715.360000000001"/>
    <n v="6348.9599999999991"/>
    <n v="0.13693019082784083"/>
  </r>
  <r>
    <x v="2"/>
    <d v="2010-02-22T00:00:00"/>
    <x v="1"/>
    <x v="0"/>
    <x v="0"/>
    <x v="17"/>
    <x v="4"/>
    <n v="240"/>
    <n v="306"/>
    <n v="66"/>
    <n v="0.27500000000000002"/>
  </r>
  <r>
    <x v="2"/>
    <d v="2010-02-22T00:00:00"/>
    <x v="1"/>
    <x v="0"/>
    <x v="0"/>
    <x v="18"/>
    <x v="5"/>
    <n v="22738.639999999999"/>
    <n v="26855.43"/>
    <n v="4116.7900000000009"/>
    <n v="0.18104820692882254"/>
  </r>
  <r>
    <x v="2"/>
    <d v="2010-02-22T00:00:00"/>
    <x v="1"/>
    <x v="0"/>
    <x v="0"/>
    <x v="19"/>
    <x v="5"/>
    <n v="18720.939999999999"/>
    <n v="21524.23"/>
    <n v="2803.2900000000009"/>
    <n v="0.14974087839606351"/>
  </r>
  <r>
    <x v="2"/>
    <d v="2010-02-22T00:00:00"/>
    <x v="1"/>
    <x v="0"/>
    <x v="0"/>
    <x v="20"/>
    <x v="5"/>
    <n v="236108.95"/>
    <n v="328954.96000000002"/>
    <n v="92846.010000000009"/>
    <n v="0.393233759245467"/>
  </r>
  <r>
    <x v="2"/>
    <d v="2010-02-22T00:00:00"/>
    <x v="1"/>
    <x v="0"/>
    <x v="0"/>
    <x v="21"/>
    <x v="5"/>
    <n v="532"/>
    <n v="664.94"/>
    <n v="132.94000000000005"/>
    <n v="0.24988721804511288"/>
  </r>
  <r>
    <x v="2"/>
    <d v="2010-02-22T00:00:00"/>
    <x v="1"/>
    <x v="0"/>
    <x v="0"/>
    <x v="22"/>
    <x v="6"/>
    <n v="1009.36"/>
    <n v="1311.98"/>
    <n v="302.62"/>
    <n v="0.29981374336213046"/>
  </r>
  <r>
    <x v="2"/>
    <d v="2010-02-22T00:00:00"/>
    <x v="1"/>
    <x v="0"/>
    <x v="0"/>
    <x v="23"/>
    <x v="6"/>
    <n v="112666.19"/>
    <n v="122612.39"/>
    <n v="9946.1999999999971"/>
    <n v="8.8280255150191875E-2"/>
  </r>
  <r>
    <x v="2"/>
    <d v="2010-02-22T00:00:00"/>
    <x v="1"/>
    <x v="0"/>
    <x v="0"/>
    <x v="24"/>
    <x v="6"/>
    <n v="293376.94"/>
    <n v="302465.07"/>
    <n v="9088.1300000000047"/>
    <n v="3.097765625341925E-2"/>
  </r>
  <r>
    <x v="2"/>
    <d v="2010-02-22T00:00:00"/>
    <x v="1"/>
    <x v="0"/>
    <x v="0"/>
    <x v="25"/>
    <x v="6"/>
    <n v="170689.95"/>
    <n v="181793.56"/>
    <n v="11103.609999999986"/>
    <n v="6.5051340163846699E-2"/>
  </r>
  <r>
    <x v="2"/>
    <d v="2010-02-23T00:00:00"/>
    <x v="1"/>
    <x v="0"/>
    <x v="0"/>
    <x v="0"/>
    <x v="0"/>
    <n v="17894"/>
    <n v="21228.52"/>
    <n v="3334.5200000000004"/>
    <n v="0.18634849670280543"/>
  </r>
  <r>
    <x v="2"/>
    <d v="2010-02-23T00:00:00"/>
    <x v="1"/>
    <x v="0"/>
    <x v="0"/>
    <x v="1"/>
    <x v="0"/>
    <n v="395096.08"/>
    <n v="511665.24"/>
    <n v="116569.15999999997"/>
    <n v="0.2950400317816364"/>
  </r>
  <r>
    <x v="2"/>
    <d v="2010-02-23T00:00:00"/>
    <x v="1"/>
    <x v="0"/>
    <x v="0"/>
    <x v="2"/>
    <x v="0"/>
    <n v="99361.88"/>
    <n v="109880.88"/>
    <n v="10519"/>
    <n v="0.10586554924282833"/>
  </r>
  <r>
    <x v="2"/>
    <d v="2010-02-23T00:00:00"/>
    <x v="1"/>
    <x v="0"/>
    <x v="0"/>
    <x v="3"/>
    <x v="0"/>
    <n v="1722"/>
    <n v="1830.68"/>
    <n v="108.68000000000006"/>
    <n v="6.3112659698025583E-2"/>
  </r>
  <r>
    <x v="2"/>
    <d v="2010-02-23T00:00:00"/>
    <x v="1"/>
    <x v="0"/>
    <x v="0"/>
    <x v="4"/>
    <x v="0"/>
    <n v="13601.48"/>
    <n v="15279.89"/>
    <n v="1678.4099999999999"/>
    <n v="0.12339907127753744"/>
  </r>
  <r>
    <x v="2"/>
    <d v="2010-02-23T00:00:00"/>
    <x v="1"/>
    <x v="0"/>
    <x v="0"/>
    <x v="5"/>
    <x v="1"/>
    <n v="121735.96"/>
    <n v="133535.56"/>
    <n v="11799.599999999991"/>
    <n v="9.6927809991394415E-2"/>
  </r>
  <r>
    <x v="2"/>
    <d v="2010-02-23T00:00:00"/>
    <x v="1"/>
    <x v="0"/>
    <x v="0"/>
    <x v="6"/>
    <x v="1"/>
    <n v="367032.22"/>
    <n v="392643.04"/>
    <n v="25610.820000000007"/>
    <n v="6.9778124656195054E-2"/>
  </r>
  <r>
    <x v="2"/>
    <d v="2010-02-23T00:00:00"/>
    <x v="1"/>
    <x v="0"/>
    <x v="0"/>
    <x v="7"/>
    <x v="1"/>
    <n v="91614.85"/>
    <n v="100820.61"/>
    <n v="9205.7599999999948"/>
    <n v="0.10048327318114907"/>
  </r>
  <r>
    <x v="2"/>
    <d v="2010-02-23T00:00:00"/>
    <x v="1"/>
    <x v="0"/>
    <x v="0"/>
    <x v="8"/>
    <x v="1"/>
    <n v="194274.53"/>
    <n v="207390.96"/>
    <n v="13116.429999999993"/>
    <n v="6.751492334069728E-2"/>
  </r>
  <r>
    <x v="2"/>
    <d v="2010-02-23T00:00:00"/>
    <x v="1"/>
    <x v="0"/>
    <x v="0"/>
    <x v="9"/>
    <x v="2"/>
    <n v="435012.49"/>
    <n v="477940.64"/>
    <n v="42928.150000000023"/>
    <n v="9.8682568861413661E-2"/>
  </r>
  <r>
    <x v="2"/>
    <d v="2010-02-23T00:00:00"/>
    <x v="1"/>
    <x v="0"/>
    <x v="0"/>
    <x v="10"/>
    <x v="2"/>
    <n v="134488.6"/>
    <n v="142698.93"/>
    <n v="8210.3299999999872"/>
    <n v="6.1048520097614127E-2"/>
  </r>
  <r>
    <x v="2"/>
    <d v="2010-02-23T00:00:00"/>
    <x v="1"/>
    <x v="0"/>
    <x v="0"/>
    <x v="11"/>
    <x v="2"/>
    <n v="113827"/>
    <n v="122990.59"/>
    <n v="9163.5899999999965"/>
    <n v="8.0504537587742772E-2"/>
  </r>
  <r>
    <x v="2"/>
    <d v="2010-02-23T00:00:00"/>
    <x v="1"/>
    <x v="0"/>
    <x v="0"/>
    <x v="12"/>
    <x v="2"/>
    <n v="17989.5"/>
    <n v="20342.62"/>
    <n v="2353.119999999999"/>
    <n v="0.13080519191750739"/>
  </r>
  <r>
    <x v="2"/>
    <d v="2010-02-23T00:00:00"/>
    <x v="1"/>
    <x v="0"/>
    <x v="0"/>
    <x v="26"/>
    <x v="3"/>
    <n v="24740.94"/>
    <n v="27460.03"/>
    <n v="2719.09"/>
    <n v="0.10990245318084116"/>
  </r>
  <r>
    <x v="2"/>
    <d v="2010-02-23T00:00:00"/>
    <x v="1"/>
    <x v="0"/>
    <x v="0"/>
    <x v="13"/>
    <x v="3"/>
    <n v="137788.56"/>
    <n v="155905.37"/>
    <n v="18116.809999999998"/>
    <n v="0.13148268622591017"/>
  </r>
  <r>
    <x v="2"/>
    <d v="2010-02-23T00:00:00"/>
    <x v="1"/>
    <x v="0"/>
    <x v="0"/>
    <x v="14"/>
    <x v="3"/>
    <n v="136455.28"/>
    <n v="152555.34"/>
    <n v="16100.059999999998"/>
    <n v="0.11798781256394035"/>
  </r>
  <r>
    <x v="2"/>
    <d v="2010-02-23T00:00:00"/>
    <x v="1"/>
    <x v="0"/>
    <x v="0"/>
    <x v="15"/>
    <x v="3"/>
    <n v="572402"/>
    <n v="627072.30000000005"/>
    <n v="54670.300000000047"/>
    <n v="9.5510323164489375E-2"/>
  </r>
  <r>
    <x v="2"/>
    <d v="2010-02-23T00:00:00"/>
    <x v="1"/>
    <x v="0"/>
    <x v="0"/>
    <x v="16"/>
    <x v="3"/>
    <n v="165992.79999999999"/>
    <n v="187501.62"/>
    <n v="21508.820000000007"/>
    <n v="0.12957682501891654"/>
  </r>
  <r>
    <x v="2"/>
    <d v="2010-02-23T00:00:00"/>
    <x v="1"/>
    <x v="0"/>
    <x v="0"/>
    <x v="17"/>
    <x v="4"/>
    <n v="480"/>
    <n v="591.96"/>
    <n v="111.96000000000004"/>
    <n v="0.23325000000000007"/>
  </r>
  <r>
    <x v="2"/>
    <d v="2010-02-23T00:00:00"/>
    <x v="1"/>
    <x v="0"/>
    <x v="0"/>
    <x v="18"/>
    <x v="5"/>
    <n v="10823.89"/>
    <n v="13442.94"/>
    <n v="2619.0500000000011"/>
    <n v="0.24196938438953106"/>
  </r>
  <r>
    <x v="2"/>
    <d v="2010-02-23T00:00:00"/>
    <x v="1"/>
    <x v="0"/>
    <x v="0"/>
    <x v="19"/>
    <x v="5"/>
    <n v="24909.41"/>
    <n v="28517.200000000001"/>
    <n v="3607.7900000000009"/>
    <n v="0.14483642928515772"/>
  </r>
  <r>
    <x v="2"/>
    <d v="2010-02-23T00:00:00"/>
    <x v="1"/>
    <x v="0"/>
    <x v="0"/>
    <x v="20"/>
    <x v="5"/>
    <n v="354011.21"/>
    <n v="468388.43"/>
    <n v="114377.21999999997"/>
    <n v="0.32308926036551205"/>
  </r>
  <r>
    <x v="2"/>
    <d v="2010-02-23T00:00:00"/>
    <x v="1"/>
    <x v="0"/>
    <x v="0"/>
    <x v="22"/>
    <x v="6"/>
    <n v="2286.48"/>
    <n v="2971.9"/>
    <n v="685.42000000000007"/>
    <n v="0.29977082677303107"/>
  </r>
  <r>
    <x v="2"/>
    <d v="2010-02-23T00:00:00"/>
    <x v="1"/>
    <x v="0"/>
    <x v="0"/>
    <x v="23"/>
    <x v="6"/>
    <n v="125909"/>
    <n v="137157.28"/>
    <n v="11248.279999999999"/>
    <n v="8.9336584358544649E-2"/>
  </r>
  <r>
    <x v="2"/>
    <d v="2010-02-23T00:00:00"/>
    <x v="1"/>
    <x v="0"/>
    <x v="0"/>
    <x v="24"/>
    <x v="6"/>
    <n v="287543.45"/>
    <n v="305469.69"/>
    <n v="17926.239999999991"/>
    <n v="6.2342717248471458E-2"/>
  </r>
  <r>
    <x v="2"/>
    <d v="2010-02-23T00:00:00"/>
    <x v="1"/>
    <x v="0"/>
    <x v="0"/>
    <x v="25"/>
    <x v="6"/>
    <n v="257457.19"/>
    <n v="272315.39"/>
    <n v="14858.200000000012"/>
    <n v="5.7711342223536313E-2"/>
  </r>
  <r>
    <x v="2"/>
    <d v="2010-02-24T00:00:00"/>
    <x v="1"/>
    <x v="0"/>
    <x v="0"/>
    <x v="0"/>
    <x v="0"/>
    <n v="11567"/>
    <n v="14055.93"/>
    <n v="2488.9300000000003"/>
    <n v="0.21517506700095101"/>
  </r>
  <r>
    <x v="2"/>
    <d v="2010-02-24T00:00:00"/>
    <x v="1"/>
    <x v="0"/>
    <x v="0"/>
    <x v="1"/>
    <x v="0"/>
    <n v="218486.34"/>
    <n v="269442.31"/>
    <n v="50955.97"/>
    <n v="0.23322268110674563"/>
  </r>
  <r>
    <x v="2"/>
    <d v="2010-02-24T00:00:00"/>
    <x v="1"/>
    <x v="0"/>
    <x v="0"/>
    <x v="2"/>
    <x v="0"/>
    <n v="69844.350000000006"/>
    <n v="77282.570000000007"/>
    <n v="7438.2200000000012"/>
    <n v="0.10649708959994618"/>
  </r>
  <r>
    <x v="2"/>
    <d v="2010-02-24T00:00:00"/>
    <x v="1"/>
    <x v="0"/>
    <x v="0"/>
    <x v="3"/>
    <x v="0"/>
    <n v="3315"/>
    <n v="3771.57"/>
    <n v="456.57000000000016"/>
    <n v="0.13772850678733037"/>
  </r>
  <r>
    <x v="2"/>
    <d v="2010-02-24T00:00:00"/>
    <x v="1"/>
    <x v="0"/>
    <x v="0"/>
    <x v="4"/>
    <x v="0"/>
    <n v="3653.87"/>
    <n v="4028.74"/>
    <n v="374.86999999999989"/>
    <n v="0.10259533043047506"/>
  </r>
  <r>
    <x v="2"/>
    <d v="2010-02-24T00:00:00"/>
    <x v="1"/>
    <x v="0"/>
    <x v="0"/>
    <x v="5"/>
    <x v="1"/>
    <n v="123586.6"/>
    <n v="134868.31"/>
    <n v="11281.709999999992"/>
    <n v="9.1285867561693518E-2"/>
  </r>
  <r>
    <x v="2"/>
    <d v="2010-02-24T00:00:00"/>
    <x v="1"/>
    <x v="0"/>
    <x v="0"/>
    <x v="6"/>
    <x v="1"/>
    <n v="373623.64"/>
    <n v="400253.95"/>
    <n v="26630.309999999998"/>
    <n v="7.1275762957611566E-2"/>
  </r>
  <r>
    <x v="2"/>
    <d v="2010-02-24T00:00:00"/>
    <x v="1"/>
    <x v="0"/>
    <x v="0"/>
    <x v="7"/>
    <x v="1"/>
    <n v="143828.35999999999"/>
    <n v="157185.39000000001"/>
    <n v="13357.030000000028"/>
    <n v="9.2867846090993661E-2"/>
  </r>
  <r>
    <x v="2"/>
    <d v="2010-02-24T00:00:00"/>
    <x v="1"/>
    <x v="0"/>
    <x v="0"/>
    <x v="8"/>
    <x v="1"/>
    <n v="162737.74"/>
    <n v="173564.7"/>
    <n v="10826.960000000021"/>
    <n v="6.6530111577068854E-2"/>
  </r>
  <r>
    <x v="2"/>
    <d v="2010-02-24T00:00:00"/>
    <x v="1"/>
    <x v="0"/>
    <x v="0"/>
    <x v="9"/>
    <x v="2"/>
    <n v="242355.45"/>
    <n v="262636.90000000002"/>
    <n v="20281.450000000012"/>
    <n v="8.368472836076106E-2"/>
  </r>
  <r>
    <x v="2"/>
    <d v="2010-02-24T00:00:00"/>
    <x v="1"/>
    <x v="0"/>
    <x v="0"/>
    <x v="10"/>
    <x v="2"/>
    <n v="120574.6"/>
    <n v="127123.75"/>
    <n v="6549.1499999999942"/>
    <n v="5.4316166091365789E-2"/>
  </r>
  <r>
    <x v="2"/>
    <d v="2010-02-24T00:00:00"/>
    <x v="1"/>
    <x v="0"/>
    <x v="0"/>
    <x v="11"/>
    <x v="2"/>
    <n v="102343"/>
    <n v="109414.96"/>
    <n v="7071.9600000000064"/>
    <n v="6.9100573561455172E-2"/>
  </r>
  <r>
    <x v="2"/>
    <d v="2010-02-24T00:00:00"/>
    <x v="1"/>
    <x v="0"/>
    <x v="0"/>
    <x v="12"/>
    <x v="2"/>
    <n v="21205.45"/>
    <n v="23577.33"/>
    <n v="2371.880000000001"/>
    <n v="0.11185237757274667"/>
  </r>
  <r>
    <x v="2"/>
    <d v="2010-02-24T00:00:00"/>
    <x v="1"/>
    <x v="0"/>
    <x v="0"/>
    <x v="26"/>
    <x v="3"/>
    <n v="16388.400000000001"/>
    <n v="18348.07"/>
    <n v="1959.6699999999983"/>
    <n v="0.11957665177808682"/>
  </r>
  <r>
    <x v="2"/>
    <d v="2010-02-24T00:00:00"/>
    <x v="1"/>
    <x v="0"/>
    <x v="0"/>
    <x v="13"/>
    <x v="3"/>
    <n v="150183.9"/>
    <n v="171260.32"/>
    <n v="21076.420000000013"/>
    <n v="0.1403374129983308"/>
  </r>
  <r>
    <x v="2"/>
    <d v="2010-02-24T00:00:00"/>
    <x v="1"/>
    <x v="0"/>
    <x v="0"/>
    <x v="14"/>
    <x v="3"/>
    <n v="111478.07"/>
    <n v="125490.04"/>
    <n v="14011.969999999987"/>
    <n v="0.12569261380287608"/>
  </r>
  <r>
    <x v="2"/>
    <d v="2010-02-24T00:00:00"/>
    <x v="1"/>
    <x v="0"/>
    <x v="0"/>
    <x v="15"/>
    <x v="3"/>
    <n v="515462"/>
    <n v="567049.73"/>
    <n v="51587.729999999981"/>
    <n v="0.10008056849971478"/>
  </r>
  <r>
    <x v="2"/>
    <d v="2010-02-24T00:00:00"/>
    <x v="1"/>
    <x v="0"/>
    <x v="0"/>
    <x v="16"/>
    <x v="3"/>
    <n v="128624.26"/>
    <n v="145485.79999999999"/>
    <n v="16861.539999999994"/>
    <n v="0.13109144418012586"/>
  </r>
  <r>
    <x v="2"/>
    <d v="2010-02-24T00:00:00"/>
    <x v="1"/>
    <x v="0"/>
    <x v="0"/>
    <x v="18"/>
    <x v="5"/>
    <n v="13879.98"/>
    <n v="15488.19"/>
    <n v="1608.2100000000009"/>
    <n v="0.11586544072830084"/>
  </r>
  <r>
    <x v="2"/>
    <d v="2010-02-24T00:00:00"/>
    <x v="1"/>
    <x v="0"/>
    <x v="0"/>
    <x v="19"/>
    <x v="5"/>
    <n v="15421.47"/>
    <n v="17718.75"/>
    <n v="2297.2800000000007"/>
    <n v="0.14896634367540842"/>
  </r>
  <r>
    <x v="2"/>
    <d v="2010-02-24T00:00:00"/>
    <x v="1"/>
    <x v="0"/>
    <x v="0"/>
    <x v="20"/>
    <x v="5"/>
    <n v="199615.13"/>
    <n v="273003.88"/>
    <n v="73388.75"/>
    <n v="0.36765123966304558"/>
  </r>
  <r>
    <x v="2"/>
    <d v="2010-02-24T00:00:00"/>
    <x v="1"/>
    <x v="0"/>
    <x v="0"/>
    <x v="21"/>
    <x v="5"/>
    <n v="760"/>
    <n v="949.88"/>
    <n v="189.88"/>
    <n v="0.24984210526315789"/>
  </r>
  <r>
    <x v="2"/>
    <d v="2010-02-24T00:00:00"/>
    <x v="1"/>
    <x v="0"/>
    <x v="0"/>
    <x v="22"/>
    <x v="6"/>
    <n v="2013.44"/>
    <n v="2616.13"/>
    <n v="602.69000000000005"/>
    <n v="0.29933347902097907"/>
  </r>
  <r>
    <x v="2"/>
    <d v="2010-02-24T00:00:00"/>
    <x v="1"/>
    <x v="0"/>
    <x v="0"/>
    <x v="23"/>
    <x v="6"/>
    <n v="120580.03"/>
    <n v="130638"/>
    <n v="10057.970000000001"/>
    <n v="8.3413231859371745E-2"/>
  </r>
  <r>
    <x v="2"/>
    <d v="2010-02-24T00:00:00"/>
    <x v="1"/>
    <x v="0"/>
    <x v="0"/>
    <x v="24"/>
    <x v="6"/>
    <n v="322729.8"/>
    <n v="337249.53"/>
    <n v="14519.73000000004"/>
    <n v="4.4990360357178169E-2"/>
  </r>
  <r>
    <x v="2"/>
    <d v="2010-02-24T00:00:00"/>
    <x v="1"/>
    <x v="0"/>
    <x v="0"/>
    <x v="25"/>
    <x v="6"/>
    <n v="248037.03"/>
    <n v="265308.06"/>
    <n v="17271.03"/>
    <n v="6.9630853102861295E-2"/>
  </r>
  <r>
    <x v="2"/>
    <d v="2010-02-25T00:00:00"/>
    <x v="1"/>
    <x v="0"/>
    <x v="0"/>
    <x v="0"/>
    <x v="0"/>
    <n v="13927"/>
    <n v="16388.099999999999"/>
    <n v="2461.0999999999985"/>
    <n v="0.17671429597185312"/>
  </r>
  <r>
    <x v="2"/>
    <d v="2010-02-25T00:00:00"/>
    <x v="1"/>
    <x v="0"/>
    <x v="0"/>
    <x v="1"/>
    <x v="0"/>
    <n v="216638.68"/>
    <n v="270733.18"/>
    <n v="54094.5"/>
    <n v="0.24969917652747886"/>
  </r>
  <r>
    <x v="2"/>
    <d v="2010-02-25T00:00:00"/>
    <x v="1"/>
    <x v="0"/>
    <x v="0"/>
    <x v="2"/>
    <x v="0"/>
    <n v="70091.05"/>
    <n v="77458.710000000006"/>
    <n v="7367.6600000000035"/>
    <n v="0.10511556040321843"/>
  </r>
  <r>
    <x v="2"/>
    <d v="2010-02-25T00:00:00"/>
    <x v="1"/>
    <x v="0"/>
    <x v="0"/>
    <x v="3"/>
    <x v="0"/>
    <n v="1722"/>
    <n v="1979.9"/>
    <n v="257.90000000000009"/>
    <n v="0.14976771196283398"/>
  </r>
  <r>
    <x v="2"/>
    <d v="2010-02-25T00:00:00"/>
    <x v="1"/>
    <x v="0"/>
    <x v="0"/>
    <x v="4"/>
    <x v="0"/>
    <n v="3138.87"/>
    <n v="3346.91"/>
    <n v="208.03999999999996"/>
    <n v="6.6278628933342243E-2"/>
  </r>
  <r>
    <x v="2"/>
    <d v="2010-02-25T00:00:00"/>
    <x v="1"/>
    <x v="0"/>
    <x v="0"/>
    <x v="5"/>
    <x v="1"/>
    <n v="128549.71"/>
    <n v="140384.98000000001"/>
    <n v="11835.270000000004"/>
    <n v="9.2067652272416672E-2"/>
  </r>
  <r>
    <x v="2"/>
    <d v="2010-02-25T00:00:00"/>
    <x v="1"/>
    <x v="0"/>
    <x v="0"/>
    <x v="6"/>
    <x v="1"/>
    <n v="437967.44"/>
    <n v="466948.13"/>
    <n v="28980.690000000002"/>
    <n v="6.6170877908184225E-2"/>
  </r>
  <r>
    <x v="2"/>
    <d v="2010-02-25T00:00:00"/>
    <x v="1"/>
    <x v="0"/>
    <x v="0"/>
    <x v="7"/>
    <x v="1"/>
    <n v="124716.68"/>
    <n v="135978.10999999999"/>
    <n v="11261.429999999993"/>
    <n v="9.0296101531888065E-2"/>
  </r>
  <r>
    <x v="2"/>
    <d v="2010-02-25T00:00:00"/>
    <x v="1"/>
    <x v="0"/>
    <x v="0"/>
    <x v="8"/>
    <x v="1"/>
    <n v="183870.91"/>
    <n v="195990.05"/>
    <n v="12119.139999999985"/>
    <n v="6.5911132979110096E-2"/>
  </r>
  <r>
    <x v="2"/>
    <d v="2010-02-25T00:00:00"/>
    <x v="1"/>
    <x v="0"/>
    <x v="0"/>
    <x v="9"/>
    <x v="2"/>
    <n v="361977.32"/>
    <n v="392700.15999999997"/>
    <n v="30722.839999999967"/>
    <n v="8.487504134236909E-2"/>
  </r>
  <r>
    <x v="2"/>
    <d v="2010-02-25T00:00:00"/>
    <x v="1"/>
    <x v="0"/>
    <x v="0"/>
    <x v="10"/>
    <x v="2"/>
    <n v="132529"/>
    <n v="139302.38"/>
    <n v="6773.3800000000047"/>
    <n v="5.1108663009605482E-2"/>
  </r>
  <r>
    <x v="2"/>
    <d v="2010-02-25T00:00:00"/>
    <x v="1"/>
    <x v="0"/>
    <x v="0"/>
    <x v="11"/>
    <x v="2"/>
    <n v="114008"/>
    <n v="122302.85"/>
    <n v="8294.8500000000058"/>
    <n v="7.2756736369377642E-2"/>
  </r>
  <r>
    <x v="2"/>
    <d v="2010-02-25T00:00:00"/>
    <x v="1"/>
    <x v="0"/>
    <x v="0"/>
    <x v="12"/>
    <x v="2"/>
    <n v="17623.349999999999"/>
    <n v="20086.009999999998"/>
    <n v="2462.66"/>
    <n v="0.1397384719704256"/>
  </r>
  <r>
    <x v="2"/>
    <d v="2010-02-25T00:00:00"/>
    <x v="1"/>
    <x v="0"/>
    <x v="0"/>
    <x v="26"/>
    <x v="3"/>
    <n v="11670.88"/>
    <n v="13100.04"/>
    <n v="1429.1600000000017"/>
    <n v="0.12245520474891369"/>
  </r>
  <r>
    <x v="2"/>
    <d v="2010-02-25T00:00:00"/>
    <x v="1"/>
    <x v="0"/>
    <x v="0"/>
    <x v="13"/>
    <x v="3"/>
    <n v="199939.67"/>
    <n v="227027.08"/>
    <n v="27087.409999999974"/>
    <n v="0.13547791691363686"/>
  </r>
  <r>
    <x v="2"/>
    <d v="2010-02-25T00:00:00"/>
    <x v="1"/>
    <x v="0"/>
    <x v="0"/>
    <x v="14"/>
    <x v="3"/>
    <n v="127030.16"/>
    <n v="139079.98000000001"/>
    <n v="12049.820000000007"/>
    <n v="9.4857945546160116E-2"/>
  </r>
  <r>
    <x v="2"/>
    <d v="2010-02-25T00:00:00"/>
    <x v="1"/>
    <x v="0"/>
    <x v="0"/>
    <x v="15"/>
    <x v="3"/>
    <n v="604649.57999999996"/>
    <n v="666842.62"/>
    <n v="62193.040000000037"/>
    <n v="0.10285798925056731"/>
  </r>
  <r>
    <x v="2"/>
    <d v="2010-02-25T00:00:00"/>
    <x v="1"/>
    <x v="0"/>
    <x v="0"/>
    <x v="16"/>
    <x v="3"/>
    <n v="147344.78"/>
    <n v="166509.49"/>
    <n v="19164.709999999992"/>
    <n v="0.13006711198048546"/>
  </r>
  <r>
    <x v="2"/>
    <d v="2010-02-25T00:00:00"/>
    <x v="1"/>
    <x v="0"/>
    <x v="0"/>
    <x v="18"/>
    <x v="5"/>
    <n v="18844.43"/>
    <n v="20951.830000000002"/>
    <n v="2107.4000000000015"/>
    <n v="0.11183145364439261"/>
  </r>
  <r>
    <x v="2"/>
    <d v="2010-02-25T00:00:00"/>
    <x v="1"/>
    <x v="0"/>
    <x v="0"/>
    <x v="19"/>
    <x v="5"/>
    <n v="25499.63"/>
    <n v="29318.54"/>
    <n v="3818.91"/>
    <n v="0.1497633495074242"/>
  </r>
  <r>
    <x v="2"/>
    <d v="2010-02-25T00:00:00"/>
    <x v="1"/>
    <x v="0"/>
    <x v="0"/>
    <x v="20"/>
    <x v="5"/>
    <n v="206847.61"/>
    <n v="285104.69"/>
    <n v="78257.080000000016"/>
    <n v="0.37833204840993823"/>
  </r>
  <r>
    <x v="2"/>
    <d v="2010-02-25T00:00:00"/>
    <x v="1"/>
    <x v="0"/>
    <x v="0"/>
    <x v="21"/>
    <x v="5"/>
    <n v="152"/>
    <n v="190"/>
    <n v="38"/>
    <n v="0.25"/>
  </r>
  <r>
    <x v="2"/>
    <d v="2010-02-25T00:00:00"/>
    <x v="1"/>
    <x v="0"/>
    <x v="0"/>
    <x v="22"/>
    <x v="6"/>
    <n v="3625.88"/>
    <n v="4712.5600000000004"/>
    <n v="1086.6800000000003"/>
    <n v="0.29970103809282167"/>
  </r>
  <r>
    <x v="2"/>
    <d v="2010-02-25T00:00:00"/>
    <x v="1"/>
    <x v="0"/>
    <x v="0"/>
    <x v="23"/>
    <x v="6"/>
    <n v="139079.62"/>
    <n v="150205.19"/>
    <n v="11125.570000000007"/>
    <n v="7.9994250775203488E-2"/>
  </r>
  <r>
    <x v="2"/>
    <d v="2010-02-25T00:00:00"/>
    <x v="1"/>
    <x v="0"/>
    <x v="0"/>
    <x v="24"/>
    <x v="6"/>
    <n v="332840.43"/>
    <n v="354010.24"/>
    <n v="21169.809999999998"/>
    <n v="6.3603481103542608E-2"/>
  </r>
  <r>
    <x v="2"/>
    <d v="2010-02-25T00:00:00"/>
    <x v="1"/>
    <x v="0"/>
    <x v="0"/>
    <x v="25"/>
    <x v="6"/>
    <n v="276529.51"/>
    <n v="291452.48"/>
    <n v="14922.969999999972"/>
    <n v="5.3965198867925425E-2"/>
  </r>
  <r>
    <x v="2"/>
    <d v="2010-02-26T00:00:00"/>
    <x v="1"/>
    <x v="0"/>
    <x v="0"/>
    <x v="0"/>
    <x v="0"/>
    <n v="11137"/>
    <n v="13336.84"/>
    <n v="2199.84"/>
    <n v="0.19752536589745892"/>
  </r>
  <r>
    <x v="2"/>
    <d v="2010-02-26T00:00:00"/>
    <x v="1"/>
    <x v="0"/>
    <x v="0"/>
    <x v="1"/>
    <x v="0"/>
    <n v="293940.44"/>
    <n v="376639.23"/>
    <n v="82698.789999999979"/>
    <n v="0.28134539772751233"/>
  </r>
  <r>
    <x v="2"/>
    <d v="2010-02-26T00:00:00"/>
    <x v="1"/>
    <x v="0"/>
    <x v="0"/>
    <x v="2"/>
    <x v="0"/>
    <n v="90714.35"/>
    <n v="99805.5"/>
    <n v="9091.1499999999942"/>
    <n v="0.10021733055464757"/>
  </r>
  <r>
    <x v="2"/>
    <d v="2010-02-26T00:00:00"/>
    <x v="1"/>
    <x v="0"/>
    <x v="0"/>
    <x v="3"/>
    <x v="0"/>
    <n v="574"/>
    <n v="659.94"/>
    <n v="85.940000000000055"/>
    <n v="0.14972125435540079"/>
  </r>
  <r>
    <x v="2"/>
    <d v="2010-02-26T00:00:00"/>
    <x v="1"/>
    <x v="0"/>
    <x v="0"/>
    <x v="4"/>
    <x v="0"/>
    <n v="3345.61"/>
    <n v="3679.91"/>
    <n v="334.29999999999973"/>
    <n v="9.9921987320697778E-2"/>
  </r>
  <r>
    <x v="2"/>
    <d v="2010-02-26T00:00:00"/>
    <x v="1"/>
    <x v="0"/>
    <x v="0"/>
    <x v="5"/>
    <x v="1"/>
    <n v="180884.37"/>
    <n v="197663.6"/>
    <n v="16779.23000000001"/>
    <n v="9.2762188352702946E-2"/>
  </r>
  <r>
    <x v="2"/>
    <d v="2010-02-26T00:00:00"/>
    <x v="1"/>
    <x v="0"/>
    <x v="0"/>
    <x v="6"/>
    <x v="1"/>
    <n v="609869.49"/>
    <n v="644887.81000000006"/>
    <n v="35018.320000000065"/>
    <n v="5.7419366887823925E-2"/>
  </r>
  <r>
    <x v="2"/>
    <d v="2010-02-26T00:00:00"/>
    <x v="1"/>
    <x v="0"/>
    <x v="0"/>
    <x v="7"/>
    <x v="1"/>
    <n v="140906.16"/>
    <n v="155201.1"/>
    <n v="14294.940000000002"/>
    <n v="0.10145007145180879"/>
  </r>
  <r>
    <x v="2"/>
    <d v="2010-02-26T00:00:00"/>
    <x v="1"/>
    <x v="0"/>
    <x v="0"/>
    <x v="8"/>
    <x v="1"/>
    <n v="259567.82"/>
    <n v="277659.78999999998"/>
    <n v="18091.969999999972"/>
    <n v="6.970035807982658E-2"/>
  </r>
  <r>
    <x v="2"/>
    <d v="2010-02-26T00:00:00"/>
    <x v="1"/>
    <x v="0"/>
    <x v="0"/>
    <x v="9"/>
    <x v="2"/>
    <n v="515369.44"/>
    <n v="555258.99"/>
    <n v="39889.549999999988"/>
    <n v="7.7399913351478486E-2"/>
  </r>
  <r>
    <x v="2"/>
    <d v="2010-02-26T00:00:00"/>
    <x v="1"/>
    <x v="0"/>
    <x v="0"/>
    <x v="10"/>
    <x v="2"/>
    <n v="148709.67000000001"/>
    <n v="157455.53"/>
    <n v="8745.859999999986"/>
    <n v="5.8811642847435446E-2"/>
  </r>
  <r>
    <x v="2"/>
    <d v="2010-02-26T00:00:00"/>
    <x v="1"/>
    <x v="0"/>
    <x v="0"/>
    <x v="11"/>
    <x v="2"/>
    <n v="170026"/>
    <n v="180638.71"/>
    <n v="10612.709999999992"/>
    <n v="6.2418159575594274E-2"/>
  </r>
  <r>
    <x v="2"/>
    <d v="2010-02-26T00:00:00"/>
    <x v="1"/>
    <x v="0"/>
    <x v="0"/>
    <x v="12"/>
    <x v="2"/>
    <n v="11812.05"/>
    <n v="13751.43"/>
    <n v="1939.380000000001"/>
    <n v="0.16418657218687704"/>
  </r>
  <r>
    <x v="2"/>
    <d v="2010-02-26T00:00:00"/>
    <x v="1"/>
    <x v="0"/>
    <x v="0"/>
    <x v="26"/>
    <x v="3"/>
    <n v="21332.48"/>
    <n v="23806.3"/>
    <n v="2473.8199999999997"/>
    <n v="0.11596495109804392"/>
  </r>
  <r>
    <x v="2"/>
    <d v="2010-02-26T00:00:00"/>
    <x v="1"/>
    <x v="0"/>
    <x v="0"/>
    <x v="13"/>
    <x v="3"/>
    <n v="204127.54"/>
    <n v="231372.36"/>
    <n v="27244.819999999978"/>
    <n v="0.13346959454858456"/>
  </r>
  <r>
    <x v="2"/>
    <d v="2010-02-26T00:00:00"/>
    <x v="1"/>
    <x v="0"/>
    <x v="0"/>
    <x v="14"/>
    <x v="3"/>
    <n v="132290.63"/>
    <n v="148690.76"/>
    <n v="16400.130000000005"/>
    <n v="0.1239704580740148"/>
  </r>
  <r>
    <x v="2"/>
    <d v="2010-02-26T00:00:00"/>
    <x v="1"/>
    <x v="0"/>
    <x v="0"/>
    <x v="15"/>
    <x v="3"/>
    <n v="767931.22"/>
    <n v="838292.24"/>
    <n v="70361.020000000019"/>
    <n v="9.1624117066109151E-2"/>
  </r>
  <r>
    <x v="2"/>
    <d v="2010-02-26T00:00:00"/>
    <x v="1"/>
    <x v="0"/>
    <x v="0"/>
    <x v="16"/>
    <x v="3"/>
    <n v="175042.88"/>
    <n v="197855.79"/>
    <n v="22812.910000000003"/>
    <n v="0.13032755174046498"/>
  </r>
  <r>
    <x v="2"/>
    <d v="2010-02-26T00:00:00"/>
    <x v="1"/>
    <x v="0"/>
    <x v="0"/>
    <x v="18"/>
    <x v="5"/>
    <n v="40572.639999999999"/>
    <n v="52398.04"/>
    <n v="11825.400000000001"/>
    <n v="0.29146242393889088"/>
  </r>
  <r>
    <x v="2"/>
    <d v="2010-02-26T00:00:00"/>
    <x v="1"/>
    <x v="0"/>
    <x v="0"/>
    <x v="19"/>
    <x v="5"/>
    <n v="30923.360000000001"/>
    <n v="35557.86"/>
    <n v="4634.5"/>
    <n v="0.14987051859823772"/>
  </r>
  <r>
    <x v="2"/>
    <d v="2010-02-26T00:00:00"/>
    <x v="1"/>
    <x v="0"/>
    <x v="0"/>
    <x v="20"/>
    <x v="5"/>
    <n v="264900"/>
    <n v="361122.57"/>
    <n v="96222.57"/>
    <n v="0.36324110985277464"/>
  </r>
  <r>
    <x v="2"/>
    <d v="2010-02-26T00:00:00"/>
    <x v="1"/>
    <x v="0"/>
    <x v="0"/>
    <x v="21"/>
    <x v="5"/>
    <n v="304"/>
    <n v="379.97"/>
    <n v="75.970000000000027"/>
    <n v="0.24990131578947378"/>
  </r>
  <r>
    <x v="2"/>
    <d v="2010-02-26T00:00:00"/>
    <x v="1"/>
    <x v="0"/>
    <x v="0"/>
    <x v="22"/>
    <x v="6"/>
    <n v="2417.36"/>
    <n v="3140.76"/>
    <n v="723.40000000000009"/>
    <n v="0.29925207664559689"/>
  </r>
  <r>
    <x v="2"/>
    <d v="2010-02-26T00:00:00"/>
    <x v="1"/>
    <x v="0"/>
    <x v="0"/>
    <x v="23"/>
    <x v="6"/>
    <n v="212600.47"/>
    <n v="229845.71"/>
    <n v="17245.239999999991"/>
    <n v="8.111571907625599E-2"/>
  </r>
  <r>
    <x v="2"/>
    <d v="2010-02-26T00:00:00"/>
    <x v="1"/>
    <x v="0"/>
    <x v="0"/>
    <x v="24"/>
    <x v="6"/>
    <n v="437579.45"/>
    <n v="468929.17"/>
    <n v="31349.719999999972"/>
    <n v="7.1643492398923148E-2"/>
  </r>
  <r>
    <x v="2"/>
    <d v="2010-02-26T00:00:00"/>
    <x v="1"/>
    <x v="0"/>
    <x v="0"/>
    <x v="25"/>
    <x v="6"/>
    <n v="323699.8"/>
    <n v="346235.14"/>
    <n v="22535.340000000026"/>
    <n v="6.9618022624666515E-2"/>
  </r>
  <r>
    <x v="2"/>
    <d v="2010-02-27T00:00:00"/>
    <x v="1"/>
    <x v="0"/>
    <x v="0"/>
    <x v="0"/>
    <x v="0"/>
    <n v="17763"/>
    <n v="20968.72"/>
    <n v="3205.7200000000012"/>
    <n v="0.18047176715644886"/>
  </r>
  <r>
    <x v="2"/>
    <d v="2010-02-27T00:00:00"/>
    <x v="1"/>
    <x v="0"/>
    <x v="0"/>
    <x v="1"/>
    <x v="0"/>
    <n v="436323.15"/>
    <n v="547153.72"/>
    <n v="110830.56999999995"/>
    <n v="0.25401029030891425"/>
  </r>
  <r>
    <x v="2"/>
    <d v="2010-02-27T00:00:00"/>
    <x v="1"/>
    <x v="0"/>
    <x v="0"/>
    <x v="2"/>
    <x v="0"/>
    <n v="115746.68"/>
    <n v="128050.55"/>
    <n v="12303.87000000001"/>
    <n v="0.10629998199516401"/>
  </r>
  <r>
    <x v="2"/>
    <d v="2010-02-27T00:00:00"/>
    <x v="1"/>
    <x v="0"/>
    <x v="0"/>
    <x v="3"/>
    <x v="0"/>
    <n v="1148"/>
    <n v="1245.33"/>
    <n v="97.329999999999927"/>
    <n v="8.4782229965156733E-2"/>
  </r>
  <r>
    <x v="2"/>
    <d v="2010-02-27T00:00:00"/>
    <x v="1"/>
    <x v="0"/>
    <x v="0"/>
    <x v="4"/>
    <x v="0"/>
    <n v="7715.74"/>
    <n v="8292.1200000000008"/>
    <n v="576.38000000000102"/>
    <n v="7.4701843245106883E-2"/>
  </r>
  <r>
    <x v="2"/>
    <d v="2010-02-27T00:00:00"/>
    <x v="1"/>
    <x v="0"/>
    <x v="0"/>
    <x v="5"/>
    <x v="1"/>
    <n v="294964.28000000003"/>
    <n v="323077.96000000002"/>
    <n v="28113.679999999993"/>
    <n v="9.5312151017065486E-2"/>
  </r>
  <r>
    <x v="2"/>
    <d v="2010-02-27T00:00:00"/>
    <x v="1"/>
    <x v="0"/>
    <x v="0"/>
    <x v="6"/>
    <x v="1"/>
    <n v="1062826.78"/>
    <n v="1124032.76"/>
    <n v="61205.979999999981"/>
    <n v="5.7587916631155998E-2"/>
  </r>
  <r>
    <x v="2"/>
    <d v="2010-02-27T00:00:00"/>
    <x v="1"/>
    <x v="0"/>
    <x v="0"/>
    <x v="7"/>
    <x v="1"/>
    <n v="247331.75"/>
    <n v="271430.34000000003"/>
    <n v="24098.590000000026"/>
    <n v="9.7434276028047453E-2"/>
  </r>
  <r>
    <x v="2"/>
    <d v="2010-02-27T00:00:00"/>
    <x v="1"/>
    <x v="0"/>
    <x v="0"/>
    <x v="8"/>
    <x v="1"/>
    <n v="328847.46999999997"/>
    <n v="344126.33"/>
    <n v="15278.860000000044"/>
    <n v="4.6461844453296375E-2"/>
  </r>
  <r>
    <x v="2"/>
    <d v="2010-02-27T00:00:00"/>
    <x v="1"/>
    <x v="0"/>
    <x v="0"/>
    <x v="9"/>
    <x v="2"/>
    <n v="558773.92000000004"/>
    <n v="610429.99"/>
    <n v="51656.069999999949"/>
    <n v="9.2445384709436584E-2"/>
  </r>
  <r>
    <x v="2"/>
    <d v="2010-02-27T00:00:00"/>
    <x v="1"/>
    <x v="0"/>
    <x v="0"/>
    <x v="10"/>
    <x v="2"/>
    <n v="235396.96"/>
    <n v="246346.22"/>
    <n v="10949.260000000009"/>
    <n v="4.651402465010597E-2"/>
  </r>
  <r>
    <x v="2"/>
    <d v="2010-02-27T00:00:00"/>
    <x v="1"/>
    <x v="0"/>
    <x v="0"/>
    <x v="11"/>
    <x v="2"/>
    <n v="287561"/>
    <n v="305181.48"/>
    <n v="17620.479999999981"/>
    <n v="6.1275624997826482E-2"/>
  </r>
  <r>
    <x v="2"/>
    <d v="2010-02-27T00:00:00"/>
    <x v="1"/>
    <x v="0"/>
    <x v="0"/>
    <x v="12"/>
    <x v="2"/>
    <n v="31548.15"/>
    <n v="34143.160000000003"/>
    <n v="2595.010000000002"/>
    <n v="8.2255536378519872E-2"/>
  </r>
  <r>
    <x v="2"/>
    <d v="2010-02-27T00:00:00"/>
    <x v="1"/>
    <x v="0"/>
    <x v="0"/>
    <x v="26"/>
    <x v="3"/>
    <n v="48039.61"/>
    <n v="52953.65"/>
    <n v="4914.0400000000009"/>
    <n v="0.10229142159980067"/>
  </r>
  <r>
    <x v="2"/>
    <d v="2010-02-27T00:00:00"/>
    <x v="1"/>
    <x v="0"/>
    <x v="0"/>
    <x v="13"/>
    <x v="3"/>
    <n v="311908.98"/>
    <n v="353817.42"/>
    <n v="41908.44"/>
    <n v="0.13436112034991748"/>
  </r>
  <r>
    <x v="2"/>
    <d v="2010-02-27T00:00:00"/>
    <x v="1"/>
    <x v="0"/>
    <x v="0"/>
    <x v="14"/>
    <x v="3"/>
    <n v="248834.68"/>
    <n v="282645.28000000003"/>
    <n v="33810.600000000035"/>
    <n v="0.13587575493898213"/>
  </r>
  <r>
    <x v="2"/>
    <d v="2010-02-27T00:00:00"/>
    <x v="1"/>
    <x v="0"/>
    <x v="0"/>
    <x v="15"/>
    <x v="3"/>
    <n v="1327410.24"/>
    <n v="1441230.35"/>
    <n v="113820.1100000001"/>
    <n v="8.5745993642477925E-2"/>
  </r>
  <r>
    <x v="2"/>
    <d v="2010-02-27T00:00:00"/>
    <x v="1"/>
    <x v="0"/>
    <x v="0"/>
    <x v="16"/>
    <x v="3"/>
    <n v="324515.48"/>
    <n v="365103.74"/>
    <n v="40588.260000000009"/>
    <n v="0.12507341714484627"/>
  </r>
  <r>
    <x v="2"/>
    <d v="2010-02-27T00:00:00"/>
    <x v="1"/>
    <x v="0"/>
    <x v="0"/>
    <x v="18"/>
    <x v="5"/>
    <n v="62729.48"/>
    <n v="80188.62"/>
    <n v="17459.139999999992"/>
    <n v="0.27832432215283776"/>
  </r>
  <r>
    <x v="2"/>
    <d v="2010-02-27T00:00:00"/>
    <x v="1"/>
    <x v="0"/>
    <x v="0"/>
    <x v="19"/>
    <x v="5"/>
    <n v="53030.97"/>
    <n v="60948.23"/>
    <n v="7917.260000000002"/>
    <n v="0.14929502515228368"/>
  </r>
  <r>
    <x v="2"/>
    <d v="2010-02-27T00:00:00"/>
    <x v="1"/>
    <x v="0"/>
    <x v="0"/>
    <x v="20"/>
    <x v="5"/>
    <n v="311334.46999999997"/>
    <n v="427832.33"/>
    <n v="116497.86000000004"/>
    <n v="0.37418876233010773"/>
  </r>
  <r>
    <x v="2"/>
    <d v="2010-02-27T00:00:00"/>
    <x v="1"/>
    <x v="0"/>
    <x v="0"/>
    <x v="21"/>
    <x v="5"/>
    <n v="684"/>
    <n v="854.94"/>
    <n v="170.94000000000005"/>
    <n v="0.24991228070175447"/>
  </r>
  <r>
    <x v="2"/>
    <d v="2010-02-27T00:00:00"/>
    <x v="1"/>
    <x v="0"/>
    <x v="0"/>
    <x v="22"/>
    <x v="6"/>
    <n v="8859.33"/>
    <n v="10619.65"/>
    <n v="1760.3199999999997"/>
    <n v="0.19869674117568706"/>
  </r>
  <r>
    <x v="2"/>
    <d v="2010-02-27T00:00:00"/>
    <x v="1"/>
    <x v="0"/>
    <x v="0"/>
    <x v="23"/>
    <x v="6"/>
    <n v="324090.87"/>
    <n v="352065.09"/>
    <n v="27974.22000000003"/>
    <n v="8.6315976750594769E-2"/>
  </r>
  <r>
    <x v="2"/>
    <d v="2010-02-27T00:00:00"/>
    <x v="1"/>
    <x v="0"/>
    <x v="0"/>
    <x v="24"/>
    <x v="6"/>
    <n v="701342.17"/>
    <n v="749182.4"/>
    <n v="47840.229999999981"/>
    <n v="6.8212396240197537E-2"/>
  </r>
  <r>
    <x v="2"/>
    <d v="2010-02-27T00:00:00"/>
    <x v="1"/>
    <x v="0"/>
    <x v="0"/>
    <x v="25"/>
    <x v="6"/>
    <n v="624773.87"/>
    <n v="669348.12"/>
    <n v="44574.25"/>
    <n v="7.1344613051759029E-2"/>
  </r>
  <r>
    <x v="2"/>
    <d v="2010-02-28T00:00:00"/>
    <x v="2"/>
    <x v="0"/>
    <x v="0"/>
    <x v="0"/>
    <x v="0"/>
    <n v="11817"/>
    <n v="14321.02"/>
    <n v="2504.0200000000004"/>
    <n v="0.21189980536515193"/>
  </r>
  <r>
    <x v="2"/>
    <d v="2010-02-28T00:00:00"/>
    <x v="2"/>
    <x v="0"/>
    <x v="0"/>
    <x v="1"/>
    <x v="0"/>
    <n v="329690.63"/>
    <n v="388452.2"/>
    <n v="58761.570000000007"/>
    <n v="0.17823245386136696"/>
  </r>
  <r>
    <x v="2"/>
    <d v="2010-02-28T00:00:00"/>
    <x v="2"/>
    <x v="0"/>
    <x v="0"/>
    <x v="2"/>
    <x v="0"/>
    <n v="123045.16"/>
    <n v="134057.79"/>
    <n v="11012.630000000005"/>
    <n v="8.9500716647448825E-2"/>
  </r>
  <r>
    <x v="2"/>
    <d v="2010-02-28T00:00:00"/>
    <x v="2"/>
    <x v="0"/>
    <x v="0"/>
    <x v="3"/>
    <x v="0"/>
    <n v="1722"/>
    <n v="1905.4"/>
    <n v="183.40000000000009"/>
    <n v="0.10650406504065046"/>
  </r>
  <r>
    <x v="2"/>
    <d v="2010-02-28T00:00:00"/>
    <x v="2"/>
    <x v="0"/>
    <x v="0"/>
    <x v="4"/>
    <x v="0"/>
    <n v="5856.74"/>
    <n v="6694.03"/>
    <n v="837.29"/>
    <n v="0.14296178420076697"/>
  </r>
  <r>
    <x v="2"/>
    <d v="2010-02-28T00:00:00"/>
    <x v="2"/>
    <x v="0"/>
    <x v="0"/>
    <x v="5"/>
    <x v="1"/>
    <n v="272385.71999999997"/>
    <n v="299131.07"/>
    <n v="26745.350000000035"/>
    <n v="9.8189251624497931E-2"/>
  </r>
  <r>
    <x v="2"/>
    <d v="2010-02-28T00:00:00"/>
    <x v="2"/>
    <x v="0"/>
    <x v="0"/>
    <x v="6"/>
    <x v="1"/>
    <n v="857116.99"/>
    <n v="906037.04"/>
    <n v="48920.050000000047"/>
    <n v="5.7075114098485022E-2"/>
  </r>
  <r>
    <x v="2"/>
    <d v="2010-02-28T00:00:00"/>
    <x v="2"/>
    <x v="0"/>
    <x v="0"/>
    <x v="7"/>
    <x v="1"/>
    <n v="163017.35"/>
    <n v="180191.69"/>
    <n v="17174.339999999997"/>
    <n v="0.10535283514300776"/>
  </r>
  <r>
    <x v="2"/>
    <d v="2010-02-28T00:00:00"/>
    <x v="2"/>
    <x v="0"/>
    <x v="0"/>
    <x v="8"/>
    <x v="1"/>
    <n v="310995.18"/>
    <n v="326740.82"/>
    <n v="15745.640000000014"/>
    <n v="5.0629852205426512E-2"/>
  </r>
  <r>
    <x v="2"/>
    <d v="2010-02-28T00:00:00"/>
    <x v="2"/>
    <x v="0"/>
    <x v="0"/>
    <x v="9"/>
    <x v="2"/>
    <n v="352615.96"/>
    <n v="394492.68"/>
    <n v="41876.719999999972"/>
    <n v="0.11876013779977505"/>
  </r>
  <r>
    <x v="2"/>
    <d v="2010-02-28T00:00:00"/>
    <x v="2"/>
    <x v="0"/>
    <x v="0"/>
    <x v="10"/>
    <x v="2"/>
    <n v="174497.5"/>
    <n v="182922.62"/>
    <n v="8425.1199999999953"/>
    <n v="4.8282181693147443E-2"/>
  </r>
  <r>
    <x v="2"/>
    <d v="2010-02-28T00:00:00"/>
    <x v="2"/>
    <x v="0"/>
    <x v="0"/>
    <x v="11"/>
    <x v="2"/>
    <n v="225206"/>
    <n v="238611.67"/>
    <n v="13405.670000000013"/>
    <n v="5.9526255961208904E-2"/>
  </r>
  <r>
    <x v="2"/>
    <d v="2010-02-28T00:00:00"/>
    <x v="2"/>
    <x v="0"/>
    <x v="0"/>
    <x v="12"/>
    <x v="2"/>
    <n v="18062.349999999999"/>
    <n v="20048.68"/>
    <n v="1986.3300000000017"/>
    <n v="0.10997074024144156"/>
  </r>
  <r>
    <x v="2"/>
    <d v="2010-02-28T00:00:00"/>
    <x v="2"/>
    <x v="0"/>
    <x v="0"/>
    <x v="26"/>
    <x v="3"/>
    <n v="47043.89"/>
    <n v="52041.07"/>
    <n v="4997.18"/>
    <n v="0.10622378378998847"/>
  </r>
  <r>
    <x v="2"/>
    <d v="2010-02-28T00:00:00"/>
    <x v="2"/>
    <x v="0"/>
    <x v="0"/>
    <x v="13"/>
    <x v="3"/>
    <n v="203092.1"/>
    <n v="230525.75"/>
    <n v="27433.649999999994"/>
    <n v="0.13507984800984377"/>
  </r>
  <r>
    <x v="2"/>
    <d v="2010-02-28T00:00:00"/>
    <x v="2"/>
    <x v="0"/>
    <x v="0"/>
    <x v="14"/>
    <x v="3"/>
    <n v="222376.74"/>
    <n v="251740.48"/>
    <n v="29363.74000000002"/>
    <n v="0.13204501513962305"/>
  </r>
  <r>
    <x v="2"/>
    <d v="2010-02-28T00:00:00"/>
    <x v="2"/>
    <x v="0"/>
    <x v="0"/>
    <x v="15"/>
    <x v="3"/>
    <n v="996003.64"/>
    <n v="1081746.32"/>
    <n v="85742.680000000051"/>
    <n v="8.6086713498356338E-2"/>
  </r>
  <r>
    <x v="2"/>
    <d v="2010-02-28T00:00:00"/>
    <x v="2"/>
    <x v="0"/>
    <x v="0"/>
    <x v="16"/>
    <x v="3"/>
    <n v="257754.72"/>
    <n v="289270.59999999998"/>
    <n v="31515.879999999976"/>
    <n v="0.12227081622404422"/>
  </r>
  <r>
    <x v="2"/>
    <d v="2010-02-28T00:00:00"/>
    <x v="2"/>
    <x v="0"/>
    <x v="0"/>
    <x v="18"/>
    <x v="5"/>
    <n v="48571.040000000001"/>
    <n v="65139.6"/>
    <n v="16568.559999999998"/>
    <n v="0.34112014072583163"/>
  </r>
  <r>
    <x v="2"/>
    <d v="2010-02-28T00:00:00"/>
    <x v="2"/>
    <x v="0"/>
    <x v="0"/>
    <x v="19"/>
    <x v="5"/>
    <n v="21923.78"/>
    <n v="25207.58"/>
    <n v="3283.8000000000029"/>
    <n v="0.14978256486791983"/>
  </r>
  <r>
    <x v="2"/>
    <d v="2010-02-28T00:00:00"/>
    <x v="2"/>
    <x v="0"/>
    <x v="0"/>
    <x v="20"/>
    <x v="5"/>
    <n v="251584.18"/>
    <n v="351133.85"/>
    <n v="99549.669999999984"/>
    <n v="0.39569129505678768"/>
  </r>
  <r>
    <x v="2"/>
    <d v="2010-02-28T00:00:00"/>
    <x v="2"/>
    <x v="0"/>
    <x v="0"/>
    <x v="22"/>
    <x v="6"/>
    <n v="2546.84"/>
    <n v="3310.34"/>
    <n v="763.5"/>
    <n v="0.29978326082517942"/>
  </r>
  <r>
    <x v="2"/>
    <d v="2010-02-28T00:00:00"/>
    <x v="2"/>
    <x v="0"/>
    <x v="0"/>
    <x v="23"/>
    <x v="6"/>
    <n v="295130.57"/>
    <n v="320771.61"/>
    <n v="25641.039999999979"/>
    <n v="8.6880325545401746E-2"/>
  </r>
  <r>
    <x v="2"/>
    <d v="2010-02-28T00:00:00"/>
    <x v="2"/>
    <x v="0"/>
    <x v="0"/>
    <x v="24"/>
    <x v="6"/>
    <n v="649890.51"/>
    <n v="691151.77"/>
    <n v="41261.260000000009"/>
    <n v="6.348955610999768E-2"/>
  </r>
  <r>
    <x v="2"/>
    <d v="2010-02-28T00:00:00"/>
    <x v="2"/>
    <x v="0"/>
    <x v="0"/>
    <x v="25"/>
    <x v="6"/>
    <n v="530764.89"/>
    <n v="566254.27"/>
    <n v="35489.380000000005"/>
    <n v="6.686459611147226E-2"/>
  </r>
  <r>
    <x v="2"/>
    <d v="2010-03-01T00:00:00"/>
    <x v="2"/>
    <x v="1"/>
    <x v="0"/>
    <x v="0"/>
    <x v="0"/>
    <n v="10589"/>
    <n v="12785.49"/>
    <n v="2196.4899999999998"/>
    <n v="0.20743129662857682"/>
  </r>
  <r>
    <x v="2"/>
    <d v="2010-03-01T00:00:00"/>
    <x v="2"/>
    <x v="1"/>
    <x v="0"/>
    <x v="1"/>
    <x v="0"/>
    <n v="243506.39"/>
    <n v="304767.34000000003"/>
    <n v="61260.950000000012"/>
    <n v="0.25157840827092876"/>
  </r>
  <r>
    <x v="2"/>
    <d v="2010-03-01T00:00:00"/>
    <x v="2"/>
    <x v="1"/>
    <x v="0"/>
    <x v="2"/>
    <x v="0"/>
    <n v="83668.160000000003"/>
    <n v="92377.33"/>
    <n v="8709.1699999999983"/>
    <n v="0.10409180744503044"/>
  </r>
  <r>
    <x v="2"/>
    <d v="2010-03-01T00:00:00"/>
    <x v="2"/>
    <x v="1"/>
    <x v="0"/>
    <x v="3"/>
    <x v="0"/>
    <n v="574"/>
    <n v="585.14"/>
    <n v="11.139999999999986"/>
    <n v="1.9407665505226455E-2"/>
  </r>
  <r>
    <x v="2"/>
    <d v="2010-03-01T00:00:00"/>
    <x v="2"/>
    <x v="1"/>
    <x v="0"/>
    <x v="4"/>
    <x v="0"/>
    <n v="771.87"/>
    <n v="872.98"/>
    <n v="101.11000000000001"/>
    <n v="0.13099356109189372"/>
  </r>
  <r>
    <x v="2"/>
    <d v="2010-03-01T00:00:00"/>
    <x v="2"/>
    <x v="1"/>
    <x v="0"/>
    <x v="5"/>
    <x v="1"/>
    <n v="213120.71"/>
    <n v="231841.35"/>
    <n v="18720.640000000014"/>
    <n v="8.7840548203879459E-2"/>
  </r>
  <r>
    <x v="2"/>
    <d v="2010-03-01T00:00:00"/>
    <x v="2"/>
    <x v="1"/>
    <x v="0"/>
    <x v="6"/>
    <x v="1"/>
    <n v="551200.81000000006"/>
    <n v="582902.43999999994"/>
    <n v="31701.629999999888"/>
    <n v="5.7513758007721148E-2"/>
  </r>
  <r>
    <x v="2"/>
    <d v="2010-03-01T00:00:00"/>
    <x v="2"/>
    <x v="1"/>
    <x v="0"/>
    <x v="7"/>
    <x v="1"/>
    <n v="126250.05"/>
    <n v="139042.82999999999"/>
    <n v="12792.779999999984"/>
    <n v="0.10132891036478785"/>
  </r>
  <r>
    <x v="2"/>
    <d v="2010-03-01T00:00:00"/>
    <x v="2"/>
    <x v="1"/>
    <x v="0"/>
    <x v="8"/>
    <x v="1"/>
    <n v="187501.4"/>
    <n v="199828.12"/>
    <n v="12326.720000000001"/>
    <n v="6.5742015792948749E-2"/>
  </r>
  <r>
    <x v="2"/>
    <d v="2010-03-01T00:00:00"/>
    <x v="2"/>
    <x v="1"/>
    <x v="0"/>
    <x v="9"/>
    <x v="2"/>
    <n v="220186.96"/>
    <n v="247514.62"/>
    <n v="27327.660000000003"/>
    <n v="0.12411116443952905"/>
  </r>
  <r>
    <x v="2"/>
    <d v="2010-03-01T00:00:00"/>
    <x v="2"/>
    <x v="1"/>
    <x v="0"/>
    <x v="10"/>
    <x v="2"/>
    <n v="123318.36"/>
    <n v="129391.86"/>
    <n v="6073.5"/>
    <n v="4.9250573880483005E-2"/>
  </r>
  <r>
    <x v="2"/>
    <d v="2010-03-01T00:00:00"/>
    <x v="2"/>
    <x v="1"/>
    <x v="0"/>
    <x v="11"/>
    <x v="2"/>
    <n v="108929"/>
    <n v="117304.31"/>
    <n v="8375.3099999999977"/>
    <n v="7.6887789293943742E-2"/>
  </r>
  <r>
    <x v="2"/>
    <d v="2010-03-01T00:00:00"/>
    <x v="2"/>
    <x v="1"/>
    <x v="0"/>
    <x v="12"/>
    <x v="2"/>
    <n v="21065.35"/>
    <n v="24277.31"/>
    <n v="3211.9600000000028"/>
    <n v="0.15247598544529301"/>
  </r>
  <r>
    <x v="2"/>
    <d v="2010-03-01T00:00:00"/>
    <x v="2"/>
    <x v="1"/>
    <x v="0"/>
    <x v="26"/>
    <x v="3"/>
    <n v="23777.68"/>
    <n v="26510.04"/>
    <n v="2732.3600000000006"/>
    <n v="0.11491280898725194"/>
  </r>
  <r>
    <x v="2"/>
    <d v="2010-03-01T00:00:00"/>
    <x v="2"/>
    <x v="1"/>
    <x v="0"/>
    <x v="13"/>
    <x v="3"/>
    <n v="133741.66"/>
    <n v="151874.57999999999"/>
    <n v="18132.919999999984"/>
    <n v="0.13558168786001298"/>
  </r>
  <r>
    <x v="2"/>
    <d v="2010-03-01T00:00:00"/>
    <x v="2"/>
    <x v="1"/>
    <x v="0"/>
    <x v="14"/>
    <x v="3"/>
    <n v="100004.22"/>
    <n v="109073.02"/>
    <n v="9068.8000000000029"/>
    <n v="9.0684173127894036E-2"/>
  </r>
  <r>
    <x v="2"/>
    <d v="2010-03-01T00:00:00"/>
    <x v="2"/>
    <x v="1"/>
    <x v="0"/>
    <x v="15"/>
    <x v="3"/>
    <n v="584089.53"/>
    <n v="631293.13"/>
    <n v="47203.599999999977"/>
    <n v="8.0815692758608379E-2"/>
  </r>
  <r>
    <x v="2"/>
    <d v="2010-03-01T00:00:00"/>
    <x v="2"/>
    <x v="1"/>
    <x v="0"/>
    <x v="16"/>
    <x v="3"/>
    <n v="169126.5"/>
    <n v="190345.71"/>
    <n v="21219.209999999992"/>
    <n v="0.12546354356058922"/>
  </r>
  <r>
    <x v="2"/>
    <d v="2010-03-01T00:00:00"/>
    <x v="2"/>
    <x v="1"/>
    <x v="0"/>
    <x v="18"/>
    <x v="5"/>
    <n v="22765.24"/>
    <n v="28635.200000000001"/>
    <n v="5869.9599999999991"/>
    <n v="0.25784749029661003"/>
  </r>
  <r>
    <x v="2"/>
    <d v="2010-03-01T00:00:00"/>
    <x v="2"/>
    <x v="1"/>
    <x v="0"/>
    <x v="19"/>
    <x v="5"/>
    <n v="33653.269999999997"/>
    <n v="38694.89"/>
    <n v="5041.6200000000026"/>
    <n v="0.1498107019020738"/>
  </r>
  <r>
    <x v="2"/>
    <d v="2010-03-01T00:00:00"/>
    <x v="2"/>
    <x v="1"/>
    <x v="0"/>
    <x v="20"/>
    <x v="5"/>
    <n v="214026.59"/>
    <n v="294928.78000000003"/>
    <n v="80902.190000000031"/>
    <n v="0.3780006493585682"/>
  </r>
  <r>
    <x v="2"/>
    <d v="2010-03-01T00:00:00"/>
    <x v="2"/>
    <x v="1"/>
    <x v="0"/>
    <x v="21"/>
    <x v="5"/>
    <n v="1064"/>
    <n v="1329.66"/>
    <n v="265.66000000000008"/>
    <n v="0.24968045112781961"/>
  </r>
  <r>
    <x v="2"/>
    <d v="2010-03-01T00:00:00"/>
    <x v="2"/>
    <x v="1"/>
    <x v="0"/>
    <x v="22"/>
    <x v="6"/>
    <n v="2985.76"/>
    <n v="3880.67"/>
    <n v="894.90999999999985"/>
    <n v="0.29972603290284544"/>
  </r>
  <r>
    <x v="2"/>
    <d v="2010-03-01T00:00:00"/>
    <x v="2"/>
    <x v="1"/>
    <x v="0"/>
    <x v="23"/>
    <x v="6"/>
    <n v="176764.33"/>
    <n v="194698.85"/>
    <n v="17934.520000000019"/>
    <n v="0.10146006267214669"/>
  </r>
  <r>
    <x v="2"/>
    <d v="2010-03-01T00:00:00"/>
    <x v="2"/>
    <x v="1"/>
    <x v="0"/>
    <x v="24"/>
    <x v="6"/>
    <n v="321844.78000000003"/>
    <n v="344675.83"/>
    <n v="22831.049999999988"/>
    <n v="7.0938077665885974E-2"/>
  </r>
  <r>
    <x v="2"/>
    <d v="2010-03-01T00:00:00"/>
    <x v="2"/>
    <x v="1"/>
    <x v="0"/>
    <x v="25"/>
    <x v="6"/>
    <n v="310456.84000000003"/>
    <n v="333220.32"/>
    <n v="22763.479999999981"/>
    <n v="7.3322526892949047E-2"/>
  </r>
  <r>
    <x v="2"/>
    <d v="2010-03-02T00:00:00"/>
    <x v="2"/>
    <x v="1"/>
    <x v="0"/>
    <x v="0"/>
    <x v="0"/>
    <n v="9122"/>
    <n v="11057.5"/>
    <n v="1935.5"/>
    <n v="0.21217934663450996"/>
  </r>
  <r>
    <x v="2"/>
    <d v="2010-03-02T00:00:00"/>
    <x v="2"/>
    <x v="1"/>
    <x v="0"/>
    <x v="1"/>
    <x v="0"/>
    <n v="211905.6"/>
    <n v="263658.59999999998"/>
    <n v="51752.999999999971"/>
    <n v="0.24422667451921973"/>
  </r>
  <r>
    <x v="2"/>
    <d v="2010-03-02T00:00:00"/>
    <x v="2"/>
    <x v="1"/>
    <x v="0"/>
    <x v="2"/>
    <x v="0"/>
    <n v="78123.960000000006"/>
    <n v="86181.29"/>
    <n v="8057.3299999999872"/>
    <n v="0.10313519693574144"/>
  </r>
  <r>
    <x v="2"/>
    <d v="2010-03-02T00:00:00"/>
    <x v="2"/>
    <x v="1"/>
    <x v="0"/>
    <x v="3"/>
    <x v="0"/>
    <n v="3290"/>
    <n v="3633.19"/>
    <n v="343.19000000000005"/>
    <n v="0.1043130699088146"/>
  </r>
  <r>
    <x v="2"/>
    <d v="2010-03-02T00:00:00"/>
    <x v="2"/>
    <x v="1"/>
    <x v="0"/>
    <x v="4"/>
    <x v="0"/>
    <n v="4955.4799999999996"/>
    <n v="5623.05"/>
    <n v="667.57000000000062"/>
    <n v="0.13471348890521215"/>
  </r>
  <r>
    <x v="2"/>
    <d v="2010-03-02T00:00:00"/>
    <x v="2"/>
    <x v="1"/>
    <x v="0"/>
    <x v="5"/>
    <x v="1"/>
    <n v="146737.57"/>
    <n v="161318.49"/>
    <n v="14580.919999999984"/>
    <n v="9.9367326309138027E-2"/>
  </r>
  <r>
    <x v="2"/>
    <d v="2010-03-02T00:00:00"/>
    <x v="2"/>
    <x v="1"/>
    <x v="0"/>
    <x v="6"/>
    <x v="1"/>
    <n v="628435.97"/>
    <n v="659036.64"/>
    <n v="30600.670000000042"/>
    <n v="4.8693377624453998E-2"/>
  </r>
  <r>
    <x v="2"/>
    <d v="2010-03-02T00:00:00"/>
    <x v="2"/>
    <x v="1"/>
    <x v="0"/>
    <x v="7"/>
    <x v="1"/>
    <n v="139692.85999999999"/>
    <n v="153296.20000000001"/>
    <n v="13603.340000000026"/>
    <n v="9.7380352868428832E-2"/>
  </r>
  <r>
    <x v="2"/>
    <d v="2010-03-02T00:00:00"/>
    <x v="2"/>
    <x v="1"/>
    <x v="0"/>
    <x v="8"/>
    <x v="1"/>
    <n v="220947.20000000001"/>
    <n v="231906.06"/>
    <n v="10958.859999999986"/>
    <n v="4.9599451814732139E-2"/>
  </r>
  <r>
    <x v="2"/>
    <d v="2010-03-02T00:00:00"/>
    <x v="2"/>
    <x v="1"/>
    <x v="0"/>
    <x v="9"/>
    <x v="2"/>
    <n v="431696.85"/>
    <n v="464874.01"/>
    <n v="33177.160000000033"/>
    <n v="7.6852911945037433E-2"/>
  </r>
  <r>
    <x v="2"/>
    <d v="2010-03-02T00:00:00"/>
    <x v="2"/>
    <x v="1"/>
    <x v="0"/>
    <x v="10"/>
    <x v="2"/>
    <n v="134272.4"/>
    <n v="140203.74"/>
    <n v="5931.3399999999965"/>
    <n v="4.4173932989951745E-2"/>
  </r>
  <r>
    <x v="2"/>
    <d v="2010-03-02T00:00:00"/>
    <x v="2"/>
    <x v="1"/>
    <x v="0"/>
    <x v="11"/>
    <x v="2"/>
    <n v="102248"/>
    <n v="108789.09"/>
    <n v="6541.0899999999965"/>
    <n v="6.3972791643846297E-2"/>
  </r>
  <r>
    <x v="2"/>
    <d v="2010-03-02T00:00:00"/>
    <x v="2"/>
    <x v="1"/>
    <x v="0"/>
    <x v="12"/>
    <x v="2"/>
    <n v="15914.65"/>
    <n v="18631.21"/>
    <n v="2716.5599999999995"/>
    <n v="0.17069555409638287"/>
  </r>
  <r>
    <x v="2"/>
    <d v="2010-03-02T00:00:00"/>
    <x v="2"/>
    <x v="1"/>
    <x v="0"/>
    <x v="26"/>
    <x v="3"/>
    <n v="21238.39"/>
    <n v="23713.59"/>
    <n v="2475.2000000000007"/>
    <n v="0.116543673979054"/>
  </r>
  <r>
    <x v="2"/>
    <d v="2010-03-02T00:00:00"/>
    <x v="2"/>
    <x v="1"/>
    <x v="0"/>
    <x v="13"/>
    <x v="3"/>
    <n v="143892.20000000001"/>
    <n v="162921.97"/>
    <n v="19029.76999999999"/>
    <n v="0.1322501845131285"/>
  </r>
  <r>
    <x v="2"/>
    <d v="2010-03-02T00:00:00"/>
    <x v="2"/>
    <x v="1"/>
    <x v="0"/>
    <x v="14"/>
    <x v="3"/>
    <n v="81706.399999999994"/>
    <n v="90633.19"/>
    <n v="8926.7900000000081"/>
    <n v="0.10925447700547336"/>
  </r>
  <r>
    <x v="2"/>
    <d v="2010-03-02T00:00:00"/>
    <x v="2"/>
    <x v="1"/>
    <x v="0"/>
    <x v="15"/>
    <x v="3"/>
    <n v="604561.85"/>
    <n v="657315.19999999995"/>
    <n v="52753.349999999977"/>
    <n v="8.725881396584978E-2"/>
  </r>
  <r>
    <x v="2"/>
    <d v="2010-03-02T00:00:00"/>
    <x v="2"/>
    <x v="1"/>
    <x v="0"/>
    <x v="16"/>
    <x v="3"/>
    <n v="152954.14000000001"/>
    <n v="172948.93"/>
    <n v="19994.789999999979"/>
    <n v="0.13072408501005581"/>
  </r>
  <r>
    <x v="2"/>
    <d v="2010-03-02T00:00:00"/>
    <x v="2"/>
    <x v="1"/>
    <x v="0"/>
    <x v="17"/>
    <x v="4"/>
    <n v="120"/>
    <n v="153"/>
    <n v="33"/>
    <n v="0.27500000000000002"/>
  </r>
  <r>
    <x v="2"/>
    <d v="2010-03-02T00:00:00"/>
    <x v="2"/>
    <x v="1"/>
    <x v="0"/>
    <x v="18"/>
    <x v="5"/>
    <n v="18955.96"/>
    <n v="25597.31"/>
    <n v="6641.3500000000022"/>
    <n v="0.3503568270876285"/>
  </r>
  <r>
    <x v="2"/>
    <d v="2010-03-02T00:00:00"/>
    <x v="2"/>
    <x v="1"/>
    <x v="0"/>
    <x v="19"/>
    <x v="5"/>
    <n v="29720.04"/>
    <n v="34170.46"/>
    <n v="4450.4199999999983"/>
    <n v="0.14974475135295909"/>
  </r>
  <r>
    <x v="2"/>
    <d v="2010-03-02T00:00:00"/>
    <x v="2"/>
    <x v="1"/>
    <x v="0"/>
    <x v="20"/>
    <x v="5"/>
    <n v="228530.9"/>
    <n v="317710.43"/>
    <n v="89179.53"/>
    <n v="0.39022963634239399"/>
  </r>
  <r>
    <x v="2"/>
    <d v="2010-03-02T00:00:00"/>
    <x v="2"/>
    <x v="1"/>
    <x v="0"/>
    <x v="21"/>
    <x v="5"/>
    <n v="760"/>
    <n v="949.92"/>
    <n v="189.91999999999996"/>
    <n v="0.2498947368421052"/>
  </r>
  <r>
    <x v="2"/>
    <d v="2010-03-02T00:00:00"/>
    <x v="2"/>
    <x v="1"/>
    <x v="0"/>
    <x v="22"/>
    <x v="6"/>
    <n v="2235.6"/>
    <n v="2905.26"/>
    <n v="669.66000000000031"/>
    <n v="0.29954374664519606"/>
  </r>
  <r>
    <x v="2"/>
    <d v="2010-03-02T00:00:00"/>
    <x v="2"/>
    <x v="1"/>
    <x v="0"/>
    <x v="23"/>
    <x v="6"/>
    <n v="166041.75"/>
    <n v="182528.08"/>
    <n v="16486.329999999987"/>
    <n v="9.9290268863102119E-2"/>
  </r>
  <r>
    <x v="2"/>
    <d v="2010-03-02T00:00:00"/>
    <x v="2"/>
    <x v="1"/>
    <x v="0"/>
    <x v="24"/>
    <x v="6"/>
    <n v="280755.58"/>
    <n v="303860.92"/>
    <n v="23105.339999999967"/>
    <n v="8.2296992992979753E-2"/>
  </r>
  <r>
    <x v="2"/>
    <d v="2010-03-02T00:00:00"/>
    <x v="2"/>
    <x v="1"/>
    <x v="0"/>
    <x v="25"/>
    <x v="6"/>
    <n v="298076.09999999998"/>
    <n v="312833.44"/>
    <n v="14757.340000000026"/>
    <n v="4.9508632191578014E-2"/>
  </r>
  <r>
    <x v="2"/>
    <d v="2010-03-03T00:00:00"/>
    <x v="2"/>
    <x v="1"/>
    <x v="0"/>
    <x v="0"/>
    <x v="0"/>
    <n v="9102"/>
    <n v="11212.65"/>
    <n v="2110.6499999999996"/>
    <n v="0.23188859591298611"/>
  </r>
  <r>
    <x v="2"/>
    <d v="2010-03-03T00:00:00"/>
    <x v="2"/>
    <x v="1"/>
    <x v="0"/>
    <x v="1"/>
    <x v="0"/>
    <n v="229182.96"/>
    <n v="298283.75"/>
    <n v="69100.790000000008"/>
    <n v="0.30150928323816051"/>
  </r>
  <r>
    <x v="2"/>
    <d v="2010-03-03T00:00:00"/>
    <x v="2"/>
    <x v="1"/>
    <x v="0"/>
    <x v="2"/>
    <x v="0"/>
    <n v="134099.4"/>
    <n v="147975.70000000001"/>
    <n v="13876.300000000017"/>
    <n v="0.10347771876682534"/>
  </r>
  <r>
    <x v="2"/>
    <d v="2010-03-03T00:00:00"/>
    <x v="2"/>
    <x v="1"/>
    <x v="0"/>
    <x v="3"/>
    <x v="0"/>
    <n v="2982"/>
    <n v="3115.53"/>
    <n v="133.5300000000002"/>
    <n v="4.4778672032193226E-2"/>
  </r>
  <r>
    <x v="2"/>
    <d v="2010-03-03T00:00:00"/>
    <x v="2"/>
    <x v="1"/>
    <x v="0"/>
    <x v="4"/>
    <x v="0"/>
    <n v="5102.87"/>
    <n v="5761.6"/>
    <n v="658.73000000000047"/>
    <n v="0.1290901002769031"/>
  </r>
  <r>
    <x v="2"/>
    <d v="2010-03-03T00:00:00"/>
    <x v="2"/>
    <x v="1"/>
    <x v="0"/>
    <x v="5"/>
    <x v="1"/>
    <n v="143539.46"/>
    <n v="158273.42000000001"/>
    <n v="14733.960000000021"/>
    <n v="0.10264745318116719"/>
  </r>
  <r>
    <x v="2"/>
    <d v="2010-03-03T00:00:00"/>
    <x v="2"/>
    <x v="1"/>
    <x v="0"/>
    <x v="6"/>
    <x v="1"/>
    <n v="493034"/>
    <n v="524818.46"/>
    <n v="31784.459999999963"/>
    <n v="6.4467075292981749E-2"/>
  </r>
  <r>
    <x v="2"/>
    <d v="2010-03-03T00:00:00"/>
    <x v="2"/>
    <x v="1"/>
    <x v="0"/>
    <x v="7"/>
    <x v="1"/>
    <n v="144706.82999999999"/>
    <n v="158156.07999999999"/>
    <n v="13449.25"/>
    <n v="9.2941362892131632E-2"/>
  </r>
  <r>
    <x v="2"/>
    <d v="2010-03-03T00:00:00"/>
    <x v="2"/>
    <x v="1"/>
    <x v="0"/>
    <x v="8"/>
    <x v="1"/>
    <n v="219920.4"/>
    <n v="234533.16"/>
    <n v="14612.760000000009"/>
    <n v="6.6445677617901794E-2"/>
  </r>
  <r>
    <x v="2"/>
    <d v="2010-03-03T00:00:00"/>
    <x v="2"/>
    <x v="1"/>
    <x v="0"/>
    <x v="9"/>
    <x v="2"/>
    <n v="421951.1"/>
    <n v="454895.18"/>
    <n v="32944.080000000016"/>
    <n v="7.8075587431813823E-2"/>
  </r>
  <r>
    <x v="2"/>
    <d v="2010-03-03T00:00:00"/>
    <x v="2"/>
    <x v="1"/>
    <x v="0"/>
    <x v="10"/>
    <x v="2"/>
    <n v="121549.2"/>
    <n v="126442.54"/>
    <n v="4893.3399999999965"/>
    <n v="4.0258101246244293E-2"/>
  </r>
  <r>
    <x v="2"/>
    <d v="2010-03-03T00:00:00"/>
    <x v="2"/>
    <x v="1"/>
    <x v="0"/>
    <x v="11"/>
    <x v="2"/>
    <n v="128926.75"/>
    <n v="137020.26999999999"/>
    <n v="8093.5199999999895"/>
    <n v="6.2776111241460666E-2"/>
  </r>
  <r>
    <x v="2"/>
    <d v="2010-03-03T00:00:00"/>
    <x v="2"/>
    <x v="1"/>
    <x v="0"/>
    <x v="12"/>
    <x v="2"/>
    <n v="23258.25"/>
    <n v="25756.51"/>
    <n v="2498.2599999999984"/>
    <n v="0.10741392839100097"/>
  </r>
  <r>
    <x v="2"/>
    <d v="2010-03-03T00:00:00"/>
    <x v="2"/>
    <x v="1"/>
    <x v="0"/>
    <x v="26"/>
    <x v="3"/>
    <n v="22395.89"/>
    <n v="25148.63"/>
    <n v="2752.7400000000016"/>
    <n v="0.12291273086267175"/>
  </r>
  <r>
    <x v="2"/>
    <d v="2010-03-03T00:00:00"/>
    <x v="2"/>
    <x v="1"/>
    <x v="0"/>
    <x v="13"/>
    <x v="3"/>
    <n v="138346.09"/>
    <n v="156610.37"/>
    <n v="18264.28"/>
    <n v="0.13201876540204352"/>
  </r>
  <r>
    <x v="2"/>
    <d v="2010-03-03T00:00:00"/>
    <x v="2"/>
    <x v="1"/>
    <x v="0"/>
    <x v="14"/>
    <x v="3"/>
    <n v="126432.15"/>
    <n v="144321.96"/>
    <n v="17889.809999999998"/>
    <n v="0.141497316940351"/>
  </r>
  <r>
    <x v="2"/>
    <d v="2010-03-03T00:00:00"/>
    <x v="2"/>
    <x v="1"/>
    <x v="0"/>
    <x v="15"/>
    <x v="3"/>
    <n v="670182.13"/>
    <n v="728417.97"/>
    <n v="58235.839999999967"/>
    <n v="8.6895542857879496E-2"/>
  </r>
  <r>
    <x v="2"/>
    <d v="2010-03-03T00:00:00"/>
    <x v="2"/>
    <x v="1"/>
    <x v="0"/>
    <x v="16"/>
    <x v="3"/>
    <n v="171271.16"/>
    <n v="193182.61"/>
    <n v="21911.449999999983"/>
    <n v="0.12793426517342429"/>
  </r>
  <r>
    <x v="2"/>
    <d v="2010-03-03T00:00:00"/>
    <x v="2"/>
    <x v="1"/>
    <x v="0"/>
    <x v="17"/>
    <x v="4"/>
    <n v="200"/>
    <n v="254.74"/>
    <n v="54.740000000000009"/>
    <n v="0.27370000000000005"/>
  </r>
  <r>
    <x v="2"/>
    <d v="2010-03-03T00:00:00"/>
    <x v="2"/>
    <x v="1"/>
    <x v="0"/>
    <x v="18"/>
    <x v="5"/>
    <n v="16721.849999999999"/>
    <n v="22951.35"/>
    <n v="6229.5"/>
    <n v="0.37253653154405764"/>
  </r>
  <r>
    <x v="2"/>
    <d v="2010-03-03T00:00:00"/>
    <x v="2"/>
    <x v="1"/>
    <x v="0"/>
    <x v="19"/>
    <x v="5"/>
    <n v="29243.88"/>
    <n v="33626.69"/>
    <n v="4382.8100000000013"/>
    <n v="0.14987101574756842"/>
  </r>
  <r>
    <x v="2"/>
    <d v="2010-03-03T00:00:00"/>
    <x v="2"/>
    <x v="1"/>
    <x v="0"/>
    <x v="20"/>
    <x v="5"/>
    <n v="244533.34"/>
    <n v="336148.36"/>
    <n v="91615.01999999999"/>
    <n v="0.37465247070195007"/>
  </r>
  <r>
    <x v="2"/>
    <d v="2010-03-03T00:00:00"/>
    <x v="2"/>
    <x v="1"/>
    <x v="0"/>
    <x v="21"/>
    <x v="5"/>
    <n v="304"/>
    <n v="379.82"/>
    <n v="75.819999999999993"/>
    <n v="0.24940789473684208"/>
  </r>
  <r>
    <x v="2"/>
    <d v="2010-03-03T00:00:00"/>
    <x v="2"/>
    <x v="1"/>
    <x v="0"/>
    <x v="22"/>
    <x v="6"/>
    <n v="1170.32"/>
    <n v="1521.16"/>
    <n v="350.84000000000015"/>
    <n v="0.29978125640850378"/>
  </r>
  <r>
    <x v="2"/>
    <d v="2010-03-03T00:00:00"/>
    <x v="2"/>
    <x v="1"/>
    <x v="0"/>
    <x v="23"/>
    <x v="6"/>
    <n v="170407.45"/>
    <n v="180499.26"/>
    <n v="10091.809999999998"/>
    <n v="5.9221647879831529E-2"/>
  </r>
  <r>
    <x v="2"/>
    <d v="2010-03-03T00:00:00"/>
    <x v="2"/>
    <x v="1"/>
    <x v="0"/>
    <x v="24"/>
    <x v="6"/>
    <n v="345571.03"/>
    <n v="368795.36"/>
    <n v="23224.329999999958"/>
    <n v="6.7205662465398081E-2"/>
  </r>
  <r>
    <x v="2"/>
    <d v="2010-03-03T00:00:00"/>
    <x v="2"/>
    <x v="1"/>
    <x v="0"/>
    <x v="25"/>
    <x v="6"/>
    <n v="276041.37"/>
    <n v="284275.58"/>
    <n v="8234.210000000021"/>
    <n v="2.9829623001798682E-2"/>
  </r>
  <r>
    <x v="2"/>
    <d v="2010-03-04T00:00:00"/>
    <x v="2"/>
    <x v="1"/>
    <x v="0"/>
    <x v="0"/>
    <x v="0"/>
    <n v="14948"/>
    <n v="18275.37"/>
    <n v="3327.369999999999"/>
    <n v="0.22259633395772002"/>
  </r>
  <r>
    <x v="2"/>
    <d v="2010-03-04T00:00:00"/>
    <x v="2"/>
    <x v="1"/>
    <x v="0"/>
    <x v="1"/>
    <x v="0"/>
    <n v="430786.53"/>
    <n v="538271.49"/>
    <n v="107484.95999999996"/>
    <n v="0.24950863714332006"/>
  </r>
  <r>
    <x v="2"/>
    <d v="2010-03-04T00:00:00"/>
    <x v="2"/>
    <x v="1"/>
    <x v="0"/>
    <x v="2"/>
    <x v="0"/>
    <n v="125267.7"/>
    <n v="137984.49"/>
    <n v="12716.789999999994"/>
    <n v="0.10151691138258301"/>
  </r>
  <r>
    <x v="2"/>
    <d v="2010-03-04T00:00:00"/>
    <x v="2"/>
    <x v="1"/>
    <x v="0"/>
    <x v="3"/>
    <x v="0"/>
    <n v="1568"/>
    <n v="1728.33"/>
    <n v="160.32999999999993"/>
    <n v="0.10225127551020403"/>
  </r>
  <r>
    <x v="2"/>
    <d v="2010-03-04T00:00:00"/>
    <x v="2"/>
    <x v="1"/>
    <x v="0"/>
    <x v="4"/>
    <x v="0"/>
    <n v="4561.74"/>
    <n v="5131.3500000000004"/>
    <n v="569.61000000000058"/>
    <n v="0.1248668271317525"/>
  </r>
  <r>
    <x v="2"/>
    <d v="2010-03-04T00:00:00"/>
    <x v="2"/>
    <x v="1"/>
    <x v="0"/>
    <x v="5"/>
    <x v="1"/>
    <n v="203789.1"/>
    <n v="226146.17"/>
    <n v="22357.070000000007"/>
    <n v="0.10970689796461149"/>
  </r>
  <r>
    <x v="2"/>
    <d v="2010-03-04T00:00:00"/>
    <x v="2"/>
    <x v="1"/>
    <x v="0"/>
    <x v="6"/>
    <x v="1"/>
    <n v="596552.14"/>
    <n v="631996.89"/>
    <n v="35444.75"/>
    <n v="5.9416013493807936E-2"/>
  </r>
  <r>
    <x v="2"/>
    <d v="2010-03-04T00:00:00"/>
    <x v="2"/>
    <x v="1"/>
    <x v="0"/>
    <x v="7"/>
    <x v="1"/>
    <n v="211893.51"/>
    <n v="231055.94"/>
    <n v="19162.429999999993"/>
    <n v="9.0434246900719106E-2"/>
  </r>
  <r>
    <x v="2"/>
    <d v="2010-03-04T00:00:00"/>
    <x v="2"/>
    <x v="1"/>
    <x v="0"/>
    <x v="8"/>
    <x v="1"/>
    <n v="211000.8"/>
    <n v="227300.6"/>
    <n v="16299.800000000017"/>
    <n v="7.7249944076041507E-2"/>
  </r>
  <r>
    <x v="2"/>
    <d v="2010-03-04T00:00:00"/>
    <x v="2"/>
    <x v="1"/>
    <x v="0"/>
    <x v="9"/>
    <x v="2"/>
    <n v="650929.27"/>
    <n v="721193.41"/>
    <n v="70264.140000000014"/>
    <n v="0.10794435469156274"/>
  </r>
  <r>
    <x v="2"/>
    <d v="2010-03-04T00:00:00"/>
    <x v="2"/>
    <x v="1"/>
    <x v="0"/>
    <x v="10"/>
    <x v="2"/>
    <n v="162954.4"/>
    <n v="170892.18"/>
    <n v="7937.7799999999988"/>
    <n v="4.8711664121987498E-2"/>
  </r>
  <r>
    <x v="2"/>
    <d v="2010-03-04T00:00:00"/>
    <x v="2"/>
    <x v="1"/>
    <x v="0"/>
    <x v="11"/>
    <x v="2"/>
    <n v="215689.75"/>
    <n v="230337.44"/>
    <n v="14647.690000000002"/>
    <n v="6.7910922980809252E-2"/>
  </r>
  <r>
    <x v="2"/>
    <d v="2010-03-04T00:00:00"/>
    <x v="2"/>
    <x v="1"/>
    <x v="0"/>
    <x v="12"/>
    <x v="2"/>
    <n v="24625.1"/>
    <n v="27305.59"/>
    <n v="2680.4900000000016"/>
    <n v="0.10885194374845185"/>
  </r>
  <r>
    <x v="2"/>
    <d v="2010-03-04T00:00:00"/>
    <x v="2"/>
    <x v="1"/>
    <x v="0"/>
    <x v="26"/>
    <x v="3"/>
    <n v="28142.84"/>
    <n v="31493.41"/>
    <n v="3350.5699999999997"/>
    <n v="0.11905585932336607"/>
  </r>
  <r>
    <x v="2"/>
    <d v="2010-03-04T00:00:00"/>
    <x v="2"/>
    <x v="1"/>
    <x v="0"/>
    <x v="13"/>
    <x v="3"/>
    <n v="253402.53"/>
    <n v="287359.74"/>
    <n v="33957.209999999992"/>
    <n v="0.13400501565631565"/>
  </r>
  <r>
    <x v="2"/>
    <d v="2010-03-04T00:00:00"/>
    <x v="2"/>
    <x v="1"/>
    <x v="0"/>
    <x v="14"/>
    <x v="3"/>
    <n v="184067.72"/>
    <n v="205958.49"/>
    <n v="21890.76999999999"/>
    <n v="0.11892780548376429"/>
  </r>
  <r>
    <x v="2"/>
    <d v="2010-03-04T00:00:00"/>
    <x v="2"/>
    <x v="1"/>
    <x v="0"/>
    <x v="15"/>
    <x v="3"/>
    <n v="906491.19"/>
    <n v="987432.28"/>
    <n v="80941.090000000084"/>
    <n v="8.9290542360373176E-2"/>
  </r>
  <r>
    <x v="2"/>
    <d v="2010-03-04T00:00:00"/>
    <x v="2"/>
    <x v="1"/>
    <x v="0"/>
    <x v="16"/>
    <x v="3"/>
    <n v="226216.44"/>
    <n v="254594.39"/>
    <n v="28377.950000000012"/>
    <n v="0.12544601090884469"/>
  </r>
  <r>
    <x v="2"/>
    <d v="2010-03-04T00:00:00"/>
    <x v="2"/>
    <x v="1"/>
    <x v="0"/>
    <x v="18"/>
    <x v="5"/>
    <n v="18883.98"/>
    <n v="27728.799999999999"/>
    <n v="8844.82"/>
    <n v="0.46837689936125754"/>
  </r>
  <r>
    <x v="2"/>
    <d v="2010-03-04T00:00:00"/>
    <x v="2"/>
    <x v="1"/>
    <x v="0"/>
    <x v="19"/>
    <x v="5"/>
    <n v="21425.5"/>
    <n v="24635.08"/>
    <n v="3209.5800000000017"/>
    <n v="0.1498018716015963"/>
  </r>
  <r>
    <x v="2"/>
    <d v="2010-03-04T00:00:00"/>
    <x v="2"/>
    <x v="1"/>
    <x v="0"/>
    <x v="20"/>
    <x v="5"/>
    <n v="262600.40000000002"/>
    <n v="353749.84"/>
    <n v="91149.440000000002"/>
    <n v="0.3471032031939022"/>
  </r>
  <r>
    <x v="2"/>
    <d v="2010-03-04T00:00:00"/>
    <x v="2"/>
    <x v="1"/>
    <x v="0"/>
    <x v="21"/>
    <x v="5"/>
    <n v="1788.31"/>
    <n v="2023.47"/>
    <n v="235.16000000000008"/>
    <n v="0.13149845384748735"/>
  </r>
  <r>
    <x v="2"/>
    <d v="2010-03-04T00:00:00"/>
    <x v="2"/>
    <x v="1"/>
    <x v="0"/>
    <x v="22"/>
    <x v="6"/>
    <n v="3600.96"/>
    <n v="4680.25"/>
    <n v="1079.29"/>
    <n v="0.29972285168399537"/>
  </r>
  <r>
    <x v="2"/>
    <d v="2010-03-04T00:00:00"/>
    <x v="2"/>
    <x v="1"/>
    <x v="0"/>
    <x v="23"/>
    <x v="6"/>
    <n v="299808.84999999998"/>
    <n v="329033.03999999998"/>
    <n v="29224.190000000002"/>
    <n v="9.7476075172564139E-2"/>
  </r>
  <r>
    <x v="2"/>
    <d v="2010-03-04T00:00:00"/>
    <x v="2"/>
    <x v="1"/>
    <x v="0"/>
    <x v="24"/>
    <x v="6"/>
    <n v="454060.23"/>
    <n v="482756.08"/>
    <n v="28695.850000000035"/>
    <n v="6.3198333842186608E-2"/>
  </r>
  <r>
    <x v="2"/>
    <d v="2010-03-04T00:00:00"/>
    <x v="2"/>
    <x v="1"/>
    <x v="0"/>
    <x v="25"/>
    <x v="6"/>
    <n v="330676.09000000003"/>
    <n v="346369.73"/>
    <n v="15693.639999999956"/>
    <n v="4.7459252345701662E-2"/>
  </r>
  <r>
    <x v="2"/>
    <d v="2010-03-05T00:00:00"/>
    <x v="2"/>
    <x v="1"/>
    <x v="0"/>
    <x v="0"/>
    <x v="0"/>
    <n v="20954"/>
    <n v="25446.080000000002"/>
    <n v="4492.0800000000017"/>
    <n v="0.21437816168750604"/>
  </r>
  <r>
    <x v="2"/>
    <d v="2010-03-05T00:00:00"/>
    <x v="2"/>
    <x v="1"/>
    <x v="0"/>
    <x v="1"/>
    <x v="0"/>
    <n v="516130.07"/>
    <n v="681468.64"/>
    <n v="165338.57"/>
    <n v="0.3203428352856868"/>
  </r>
  <r>
    <x v="2"/>
    <d v="2010-03-05T00:00:00"/>
    <x v="2"/>
    <x v="1"/>
    <x v="0"/>
    <x v="2"/>
    <x v="0"/>
    <n v="77918.47"/>
    <n v="86362.49"/>
    <n v="8444.0200000000041"/>
    <n v="0.10836994104222021"/>
  </r>
  <r>
    <x v="2"/>
    <d v="2010-03-05T00:00:00"/>
    <x v="2"/>
    <x v="1"/>
    <x v="0"/>
    <x v="3"/>
    <x v="0"/>
    <n v="1722"/>
    <n v="1905.34"/>
    <n v="183.33999999999992"/>
    <n v="0.10646922183507544"/>
  </r>
  <r>
    <x v="2"/>
    <d v="2010-03-05T00:00:00"/>
    <x v="2"/>
    <x v="1"/>
    <x v="0"/>
    <x v="4"/>
    <x v="0"/>
    <n v="1176"/>
    <n v="1313.77"/>
    <n v="137.76999999999998"/>
    <n v="0.11715136054421767"/>
  </r>
  <r>
    <x v="2"/>
    <d v="2010-03-05T00:00:00"/>
    <x v="2"/>
    <x v="1"/>
    <x v="0"/>
    <x v="5"/>
    <x v="1"/>
    <n v="168564.48000000001"/>
    <n v="189751.24"/>
    <n v="21186.75999999998"/>
    <n v="0.12568935044915738"/>
  </r>
  <r>
    <x v="2"/>
    <d v="2010-03-05T00:00:00"/>
    <x v="2"/>
    <x v="1"/>
    <x v="0"/>
    <x v="6"/>
    <x v="1"/>
    <n v="671439.43"/>
    <n v="707145.69"/>
    <n v="35706.259999999893"/>
    <n v="5.3178676146558579E-2"/>
  </r>
  <r>
    <x v="2"/>
    <d v="2010-03-05T00:00:00"/>
    <x v="2"/>
    <x v="1"/>
    <x v="0"/>
    <x v="7"/>
    <x v="1"/>
    <n v="206049.35"/>
    <n v="224889.03"/>
    <n v="18839.679999999993"/>
    <n v="9.1432853343143244E-2"/>
  </r>
  <r>
    <x v="2"/>
    <d v="2010-03-05T00:00:00"/>
    <x v="2"/>
    <x v="1"/>
    <x v="0"/>
    <x v="8"/>
    <x v="1"/>
    <n v="173538.6"/>
    <n v="187387.21"/>
    <n v="13848.609999999986"/>
    <n v="7.9801323740078492E-2"/>
  </r>
  <r>
    <x v="2"/>
    <d v="2010-03-05T00:00:00"/>
    <x v="2"/>
    <x v="1"/>
    <x v="0"/>
    <x v="9"/>
    <x v="2"/>
    <n v="815363.41"/>
    <n v="903229.93"/>
    <n v="87866.520000000019"/>
    <n v="0.10776362898109447"/>
  </r>
  <r>
    <x v="2"/>
    <d v="2010-03-05T00:00:00"/>
    <x v="2"/>
    <x v="1"/>
    <x v="0"/>
    <x v="10"/>
    <x v="2"/>
    <n v="232320"/>
    <n v="243190.37"/>
    <n v="10870.369999999995"/>
    <n v="4.6790504476584005E-2"/>
  </r>
  <r>
    <x v="2"/>
    <d v="2010-03-05T00:00:00"/>
    <x v="2"/>
    <x v="1"/>
    <x v="0"/>
    <x v="11"/>
    <x v="2"/>
    <n v="229029"/>
    <n v="244463.22"/>
    <n v="15434.220000000001"/>
    <n v="6.7389806531050658E-2"/>
  </r>
  <r>
    <x v="2"/>
    <d v="2010-03-05T00:00:00"/>
    <x v="2"/>
    <x v="1"/>
    <x v="0"/>
    <x v="12"/>
    <x v="2"/>
    <n v="21364.35"/>
    <n v="24363.74"/>
    <n v="2999.3900000000031"/>
    <n v="0.14039228902353704"/>
  </r>
  <r>
    <x v="2"/>
    <d v="2010-03-05T00:00:00"/>
    <x v="2"/>
    <x v="1"/>
    <x v="0"/>
    <x v="26"/>
    <x v="3"/>
    <n v="29297.83"/>
    <n v="32392.29"/>
    <n v="3094.4599999999991"/>
    <n v="0.10562079171051231"/>
  </r>
  <r>
    <x v="2"/>
    <d v="2010-03-05T00:00:00"/>
    <x v="2"/>
    <x v="1"/>
    <x v="0"/>
    <x v="13"/>
    <x v="3"/>
    <n v="242205.54"/>
    <n v="275132.48"/>
    <n v="32926.939999999973"/>
    <n v="0.13594627108859678"/>
  </r>
  <r>
    <x v="2"/>
    <d v="2010-03-05T00:00:00"/>
    <x v="2"/>
    <x v="1"/>
    <x v="0"/>
    <x v="14"/>
    <x v="3"/>
    <n v="155546.94"/>
    <n v="173213.48"/>
    <n v="17666.540000000008"/>
    <n v="0.11357690482371435"/>
  </r>
  <r>
    <x v="2"/>
    <d v="2010-03-05T00:00:00"/>
    <x v="2"/>
    <x v="1"/>
    <x v="0"/>
    <x v="15"/>
    <x v="3"/>
    <n v="933333.3"/>
    <n v="1017903.93"/>
    <n v="84570.63"/>
    <n v="9.0611392521835449E-2"/>
  </r>
  <r>
    <x v="2"/>
    <d v="2010-03-05T00:00:00"/>
    <x v="2"/>
    <x v="1"/>
    <x v="0"/>
    <x v="16"/>
    <x v="3"/>
    <n v="220346"/>
    <n v="247302.84"/>
    <n v="26956.839999999997"/>
    <n v="0.12233868552186106"/>
  </r>
  <r>
    <x v="2"/>
    <d v="2010-03-05T00:00:00"/>
    <x v="2"/>
    <x v="1"/>
    <x v="0"/>
    <x v="18"/>
    <x v="5"/>
    <n v="50268.74"/>
    <n v="61392.480000000003"/>
    <n v="11123.740000000005"/>
    <n v="0.22128543504372708"/>
  </r>
  <r>
    <x v="2"/>
    <d v="2010-03-05T00:00:00"/>
    <x v="2"/>
    <x v="1"/>
    <x v="0"/>
    <x v="19"/>
    <x v="5"/>
    <n v="29626.93"/>
    <n v="34066.239999999998"/>
    <n v="4439.3099999999977"/>
    <n v="0.14984036483024052"/>
  </r>
  <r>
    <x v="2"/>
    <d v="2010-03-05T00:00:00"/>
    <x v="2"/>
    <x v="1"/>
    <x v="0"/>
    <x v="20"/>
    <x v="5"/>
    <n v="414614.97"/>
    <n v="519221.23"/>
    <n v="104606.26000000001"/>
    <n v="0.25229735433817069"/>
  </r>
  <r>
    <x v="2"/>
    <d v="2010-03-05T00:00:00"/>
    <x v="2"/>
    <x v="1"/>
    <x v="0"/>
    <x v="21"/>
    <x v="5"/>
    <n v="2463.58"/>
    <n v="2846.5"/>
    <n v="382.92000000000007"/>
    <n v="0.1554323383044188"/>
  </r>
  <r>
    <x v="2"/>
    <d v="2010-03-05T00:00:00"/>
    <x v="2"/>
    <x v="1"/>
    <x v="0"/>
    <x v="22"/>
    <x v="6"/>
    <n v="3148.84"/>
    <n v="4090.85"/>
    <n v="942.00999999999976"/>
    <n v="0.29916096086177757"/>
  </r>
  <r>
    <x v="2"/>
    <d v="2010-03-05T00:00:00"/>
    <x v="2"/>
    <x v="1"/>
    <x v="0"/>
    <x v="23"/>
    <x v="6"/>
    <n v="346356.68"/>
    <n v="380218.51"/>
    <n v="33861.830000000016"/>
    <n v="9.776577717513639E-2"/>
  </r>
  <r>
    <x v="2"/>
    <d v="2010-03-05T00:00:00"/>
    <x v="2"/>
    <x v="1"/>
    <x v="0"/>
    <x v="24"/>
    <x v="6"/>
    <n v="352201.46"/>
    <n v="378734.01"/>
    <n v="26532.549999999988"/>
    <n v="7.5333446942553811E-2"/>
  </r>
  <r>
    <x v="2"/>
    <d v="2010-03-05T00:00:00"/>
    <x v="2"/>
    <x v="1"/>
    <x v="0"/>
    <x v="25"/>
    <x v="6"/>
    <n v="303832.87"/>
    <n v="314650.13"/>
    <n v="10817.260000000009"/>
    <n v="3.5602665373236309E-2"/>
  </r>
  <r>
    <x v="2"/>
    <d v="2010-03-06T00:00:00"/>
    <x v="2"/>
    <x v="1"/>
    <x v="0"/>
    <x v="0"/>
    <x v="0"/>
    <n v="23704"/>
    <n v="27720.04"/>
    <n v="4016.0400000000009"/>
    <n v="0.16942456969287886"/>
  </r>
  <r>
    <x v="2"/>
    <d v="2010-03-06T00:00:00"/>
    <x v="2"/>
    <x v="1"/>
    <x v="0"/>
    <x v="1"/>
    <x v="0"/>
    <n v="514918.28"/>
    <n v="678121.54"/>
    <n v="163203.26"/>
    <n v="0.31694982745611594"/>
  </r>
  <r>
    <x v="2"/>
    <d v="2010-03-06T00:00:00"/>
    <x v="2"/>
    <x v="1"/>
    <x v="0"/>
    <x v="2"/>
    <x v="0"/>
    <n v="105082.9"/>
    <n v="115512.17"/>
    <n v="10429.270000000004"/>
    <n v="9.9248022275746139E-2"/>
  </r>
  <r>
    <x v="2"/>
    <d v="2010-03-06T00:00:00"/>
    <x v="2"/>
    <x v="1"/>
    <x v="0"/>
    <x v="3"/>
    <x v="0"/>
    <n v="3290"/>
    <n v="3632.77"/>
    <n v="342.77"/>
    <n v="0.1041854103343465"/>
  </r>
  <r>
    <x v="2"/>
    <d v="2010-03-06T00:00:00"/>
    <x v="2"/>
    <x v="1"/>
    <x v="0"/>
    <x v="4"/>
    <x v="0"/>
    <n v="3191"/>
    <n v="3592.17"/>
    <n v="401.17000000000007"/>
    <n v="0.12571921027890945"/>
  </r>
  <r>
    <x v="2"/>
    <d v="2010-03-06T00:00:00"/>
    <x v="2"/>
    <x v="1"/>
    <x v="0"/>
    <x v="5"/>
    <x v="1"/>
    <n v="223453.61"/>
    <n v="248688.78"/>
    <n v="25235.170000000013"/>
    <n v="0.11293247846834971"/>
  </r>
  <r>
    <x v="2"/>
    <d v="2010-03-06T00:00:00"/>
    <x v="2"/>
    <x v="1"/>
    <x v="0"/>
    <x v="6"/>
    <x v="1"/>
    <n v="1032917.36"/>
    <n v="1092343.44"/>
    <n v="59426.079999999958"/>
    <n v="5.753226957091704E-2"/>
  </r>
  <r>
    <x v="2"/>
    <d v="2010-03-06T00:00:00"/>
    <x v="2"/>
    <x v="1"/>
    <x v="0"/>
    <x v="7"/>
    <x v="1"/>
    <n v="298364.07"/>
    <n v="326788.39"/>
    <n v="28424.320000000007"/>
    <n v="9.5267235093019098E-2"/>
  </r>
  <r>
    <x v="2"/>
    <d v="2010-03-06T00:00:00"/>
    <x v="2"/>
    <x v="1"/>
    <x v="0"/>
    <x v="8"/>
    <x v="1"/>
    <n v="293917.2"/>
    <n v="318915.03999999998"/>
    <n v="24997.839999999967"/>
    <n v="8.5050619698336702E-2"/>
  </r>
  <r>
    <x v="2"/>
    <d v="2010-03-06T00:00:00"/>
    <x v="2"/>
    <x v="1"/>
    <x v="0"/>
    <x v="9"/>
    <x v="2"/>
    <n v="887091.47"/>
    <n v="976683.92"/>
    <n v="89592.45000000007"/>
    <n v="0.10099572933555552"/>
  </r>
  <r>
    <x v="2"/>
    <d v="2010-03-06T00:00:00"/>
    <x v="2"/>
    <x v="1"/>
    <x v="0"/>
    <x v="10"/>
    <x v="2"/>
    <n v="361490.4"/>
    <n v="378452.79"/>
    <n v="16962.389999999956"/>
    <n v="4.6923486764793632E-2"/>
  </r>
  <r>
    <x v="2"/>
    <d v="2010-03-06T00:00:00"/>
    <x v="2"/>
    <x v="1"/>
    <x v="0"/>
    <x v="11"/>
    <x v="2"/>
    <n v="350848"/>
    <n v="368382.52"/>
    <n v="17534.520000000019"/>
    <n v="4.9977540131338982E-2"/>
  </r>
  <r>
    <x v="2"/>
    <d v="2010-03-06T00:00:00"/>
    <x v="2"/>
    <x v="1"/>
    <x v="0"/>
    <x v="12"/>
    <x v="2"/>
    <n v="67140.149999999994"/>
    <n v="71481.25"/>
    <n v="4341.1000000000058"/>
    <n v="6.4657287777879643E-2"/>
  </r>
  <r>
    <x v="2"/>
    <d v="2010-03-06T00:00:00"/>
    <x v="2"/>
    <x v="1"/>
    <x v="0"/>
    <x v="26"/>
    <x v="3"/>
    <n v="38009.74"/>
    <n v="42631.27"/>
    <n v="4621.5299999999988"/>
    <n v="0.12158804559041969"/>
  </r>
  <r>
    <x v="2"/>
    <d v="2010-03-06T00:00:00"/>
    <x v="2"/>
    <x v="1"/>
    <x v="0"/>
    <x v="13"/>
    <x v="3"/>
    <n v="296138.98"/>
    <n v="337175.85"/>
    <n v="41036.869999999995"/>
    <n v="0.1385730105506543"/>
  </r>
  <r>
    <x v="2"/>
    <d v="2010-03-06T00:00:00"/>
    <x v="2"/>
    <x v="1"/>
    <x v="0"/>
    <x v="14"/>
    <x v="3"/>
    <n v="211134.13"/>
    <n v="236703.56"/>
    <n v="25569.429999999993"/>
    <n v="0.12110514770871006"/>
  </r>
  <r>
    <x v="2"/>
    <d v="2010-03-06T00:00:00"/>
    <x v="2"/>
    <x v="1"/>
    <x v="0"/>
    <x v="15"/>
    <x v="3"/>
    <n v="1547790.64"/>
    <n v="1685447.73"/>
    <n v="137657.09000000008"/>
    <n v="8.8937797168743754E-2"/>
  </r>
  <r>
    <x v="2"/>
    <d v="2010-03-06T00:00:00"/>
    <x v="2"/>
    <x v="1"/>
    <x v="0"/>
    <x v="16"/>
    <x v="3"/>
    <n v="347494.54"/>
    <n v="390715.82"/>
    <n v="43221.280000000028"/>
    <n v="0.12437973845574676"/>
  </r>
  <r>
    <x v="2"/>
    <d v="2010-03-06T00:00:00"/>
    <x v="2"/>
    <x v="1"/>
    <x v="0"/>
    <x v="18"/>
    <x v="5"/>
    <n v="94677.66"/>
    <n v="108525.55"/>
    <n v="13847.89"/>
    <n v="0.14626354305757028"/>
  </r>
  <r>
    <x v="2"/>
    <d v="2010-03-06T00:00:00"/>
    <x v="2"/>
    <x v="1"/>
    <x v="0"/>
    <x v="19"/>
    <x v="5"/>
    <n v="53911.81"/>
    <n v="61991.94"/>
    <n v="8080.1300000000047"/>
    <n v="0.14987680806858469"/>
  </r>
  <r>
    <x v="2"/>
    <d v="2010-03-06T00:00:00"/>
    <x v="2"/>
    <x v="1"/>
    <x v="0"/>
    <x v="20"/>
    <x v="5"/>
    <n v="442993.41"/>
    <n v="587150.44999999995"/>
    <n v="144157.03999999998"/>
    <n v="0.32541576634288982"/>
  </r>
  <r>
    <x v="2"/>
    <d v="2010-03-06T00:00:00"/>
    <x v="2"/>
    <x v="1"/>
    <x v="0"/>
    <x v="21"/>
    <x v="5"/>
    <n v="2635.67"/>
    <n v="3069.95"/>
    <n v="434.27999999999975"/>
    <n v="0.16477024817219141"/>
  </r>
  <r>
    <x v="2"/>
    <d v="2010-03-06T00:00:00"/>
    <x v="2"/>
    <x v="1"/>
    <x v="0"/>
    <x v="22"/>
    <x v="6"/>
    <n v="4054.28"/>
    <n v="5269.93"/>
    <n v="1215.6500000000001"/>
    <n v="0.29984362204879783"/>
  </r>
  <r>
    <x v="2"/>
    <d v="2010-03-06T00:00:00"/>
    <x v="2"/>
    <x v="1"/>
    <x v="0"/>
    <x v="23"/>
    <x v="6"/>
    <n v="503382.64"/>
    <n v="550221.72"/>
    <n v="46839.079999999958"/>
    <n v="9.3048659763077954E-2"/>
  </r>
  <r>
    <x v="2"/>
    <d v="2010-03-06T00:00:00"/>
    <x v="2"/>
    <x v="1"/>
    <x v="0"/>
    <x v="24"/>
    <x v="6"/>
    <n v="601044.61"/>
    <n v="642663.96"/>
    <n v="41619.349999999977"/>
    <n v="6.9245026587959876E-2"/>
  </r>
  <r>
    <x v="2"/>
    <d v="2010-03-06T00:00:00"/>
    <x v="2"/>
    <x v="1"/>
    <x v="0"/>
    <x v="25"/>
    <x v="6"/>
    <n v="615869.51"/>
    <n v="640608.18999999994"/>
    <n v="24738.679999999935"/>
    <n v="4.0168703919114188E-2"/>
  </r>
  <r>
    <x v="2"/>
    <d v="2010-03-07T00:00:00"/>
    <x v="3"/>
    <x v="1"/>
    <x v="0"/>
    <x v="0"/>
    <x v="0"/>
    <n v="11500"/>
    <n v="13779.39"/>
    <n v="2279.3899999999994"/>
    <n v="0.19820782608695647"/>
  </r>
  <r>
    <x v="2"/>
    <d v="2010-03-07T00:00:00"/>
    <x v="3"/>
    <x v="1"/>
    <x v="0"/>
    <x v="1"/>
    <x v="0"/>
    <n v="430493.91"/>
    <n v="715907.99"/>
    <n v="285414.08"/>
    <n v="0.66299214314088684"/>
  </r>
  <r>
    <x v="2"/>
    <d v="2010-03-07T00:00:00"/>
    <x v="3"/>
    <x v="1"/>
    <x v="0"/>
    <x v="2"/>
    <x v="0"/>
    <n v="68817.66"/>
    <n v="76459.149999999994"/>
    <n v="7641.4899999999907"/>
    <n v="0.11103966627170976"/>
  </r>
  <r>
    <x v="2"/>
    <d v="2010-03-07T00:00:00"/>
    <x v="3"/>
    <x v="1"/>
    <x v="0"/>
    <x v="3"/>
    <x v="0"/>
    <n v="2716"/>
    <n v="3068.24"/>
    <n v="352.23999999999978"/>
    <n v="0.12969072164948445"/>
  </r>
  <r>
    <x v="2"/>
    <d v="2010-03-07T00:00:00"/>
    <x v="3"/>
    <x v="1"/>
    <x v="0"/>
    <x v="4"/>
    <x v="0"/>
    <n v="3290.87"/>
    <n v="3642.44"/>
    <n v="351.57000000000016"/>
    <n v="0.10683193198151254"/>
  </r>
  <r>
    <x v="2"/>
    <d v="2010-03-07T00:00:00"/>
    <x v="3"/>
    <x v="1"/>
    <x v="0"/>
    <x v="5"/>
    <x v="1"/>
    <n v="166889.21"/>
    <n v="189686.55"/>
    <n v="22797.339999999997"/>
    <n v="0.13660164129244784"/>
  </r>
  <r>
    <x v="2"/>
    <d v="2010-03-07T00:00:00"/>
    <x v="3"/>
    <x v="1"/>
    <x v="0"/>
    <x v="6"/>
    <x v="1"/>
    <n v="550055.55000000005"/>
    <n v="590825.87"/>
    <n v="40770.319999999949"/>
    <n v="7.4120368388247232E-2"/>
  </r>
  <r>
    <x v="2"/>
    <d v="2010-03-07T00:00:00"/>
    <x v="3"/>
    <x v="1"/>
    <x v="0"/>
    <x v="7"/>
    <x v="1"/>
    <n v="195755.38"/>
    <n v="214345.9"/>
    <n v="18590.51999999999"/>
    <n v="9.4968117862201232E-2"/>
  </r>
  <r>
    <x v="2"/>
    <d v="2010-03-07T00:00:00"/>
    <x v="3"/>
    <x v="1"/>
    <x v="0"/>
    <x v="8"/>
    <x v="1"/>
    <n v="205720"/>
    <n v="225476.9"/>
    <n v="19756.899999999994"/>
    <n v="9.603781839393348E-2"/>
  </r>
  <r>
    <x v="2"/>
    <d v="2010-03-07T00:00:00"/>
    <x v="3"/>
    <x v="1"/>
    <x v="0"/>
    <x v="9"/>
    <x v="2"/>
    <n v="541053.5"/>
    <n v="607583.34"/>
    <n v="66529.839999999967"/>
    <n v="0.1229635146986388"/>
  </r>
  <r>
    <x v="2"/>
    <d v="2010-03-07T00:00:00"/>
    <x v="3"/>
    <x v="1"/>
    <x v="0"/>
    <x v="10"/>
    <x v="2"/>
    <n v="301223.40000000002"/>
    <n v="315318.33"/>
    <n v="14094.929999999993"/>
    <n v="4.6792281077764848E-2"/>
  </r>
  <r>
    <x v="2"/>
    <d v="2010-03-07T00:00:00"/>
    <x v="3"/>
    <x v="1"/>
    <x v="0"/>
    <x v="11"/>
    <x v="2"/>
    <n v="228410"/>
    <n v="243794.29"/>
    <n v="15384.290000000008"/>
    <n v="6.7353837397662139E-2"/>
  </r>
  <r>
    <x v="2"/>
    <d v="2010-03-07T00:00:00"/>
    <x v="3"/>
    <x v="1"/>
    <x v="0"/>
    <x v="12"/>
    <x v="2"/>
    <n v="28331.95"/>
    <n v="30744.720000000001"/>
    <n v="2412.7700000000004"/>
    <n v="8.516074608348527E-2"/>
  </r>
  <r>
    <x v="2"/>
    <d v="2010-03-07T00:00:00"/>
    <x v="3"/>
    <x v="1"/>
    <x v="0"/>
    <x v="26"/>
    <x v="3"/>
    <n v="23745.57"/>
    <n v="26806.61"/>
    <n v="3061.0400000000009"/>
    <n v="0.12890993983298785"/>
  </r>
  <r>
    <x v="2"/>
    <d v="2010-03-07T00:00:00"/>
    <x v="3"/>
    <x v="1"/>
    <x v="0"/>
    <x v="13"/>
    <x v="3"/>
    <n v="186861.22"/>
    <n v="211835.08"/>
    <n v="24973.859999999986"/>
    <n v="0.13364923979411023"/>
  </r>
  <r>
    <x v="2"/>
    <d v="2010-03-07T00:00:00"/>
    <x v="3"/>
    <x v="1"/>
    <x v="0"/>
    <x v="14"/>
    <x v="3"/>
    <n v="147381.46"/>
    <n v="166220.44"/>
    <n v="18838.98000000001"/>
    <n v="0.12782462597398622"/>
  </r>
  <r>
    <x v="2"/>
    <d v="2010-03-07T00:00:00"/>
    <x v="3"/>
    <x v="1"/>
    <x v="0"/>
    <x v="15"/>
    <x v="3"/>
    <n v="1282211.57"/>
    <n v="1397187.77"/>
    <n v="114976.19999999995"/>
    <n v="8.9670225015985427E-2"/>
  </r>
  <r>
    <x v="2"/>
    <d v="2010-03-07T00:00:00"/>
    <x v="3"/>
    <x v="1"/>
    <x v="0"/>
    <x v="16"/>
    <x v="3"/>
    <n v="298378.44"/>
    <n v="335450.93"/>
    <n v="37072.489999999991"/>
    <n v="0.12424654408676442"/>
  </r>
  <r>
    <x v="2"/>
    <d v="2010-03-07T00:00:00"/>
    <x v="3"/>
    <x v="1"/>
    <x v="0"/>
    <x v="18"/>
    <x v="5"/>
    <n v="27581.53"/>
    <n v="31090.7"/>
    <n v="3509.1700000000019"/>
    <n v="0.12722898258363485"/>
  </r>
  <r>
    <x v="2"/>
    <d v="2010-03-07T00:00:00"/>
    <x v="3"/>
    <x v="1"/>
    <x v="0"/>
    <x v="19"/>
    <x v="5"/>
    <n v="67646.16"/>
    <n v="77784.5"/>
    <n v="10138.339999999997"/>
    <n v="0.14987310440090015"/>
  </r>
  <r>
    <x v="2"/>
    <d v="2010-03-07T00:00:00"/>
    <x v="3"/>
    <x v="1"/>
    <x v="0"/>
    <x v="20"/>
    <x v="5"/>
    <n v="374286.02"/>
    <n v="496558.26"/>
    <n v="122272.23999999999"/>
    <n v="0.32668129042062533"/>
  </r>
  <r>
    <x v="2"/>
    <d v="2010-03-07T00:00:00"/>
    <x v="3"/>
    <x v="1"/>
    <x v="0"/>
    <x v="21"/>
    <x v="5"/>
    <n v="2164.81"/>
    <n v="2495.09"/>
    <n v="330.2800000000002"/>
    <n v="0.15256766182713505"/>
  </r>
  <r>
    <x v="2"/>
    <d v="2010-03-07T00:00:00"/>
    <x v="3"/>
    <x v="1"/>
    <x v="0"/>
    <x v="22"/>
    <x v="6"/>
    <n v="4183.8"/>
    <n v="5438.1"/>
    <n v="1254.3000000000002"/>
    <n v="0.29979922558439698"/>
  </r>
  <r>
    <x v="2"/>
    <d v="2010-03-07T00:00:00"/>
    <x v="3"/>
    <x v="1"/>
    <x v="0"/>
    <x v="23"/>
    <x v="6"/>
    <n v="439558.6"/>
    <n v="478943.86"/>
    <n v="39385.260000000009"/>
    <n v="8.9601841483706632E-2"/>
  </r>
  <r>
    <x v="2"/>
    <d v="2010-03-07T00:00:00"/>
    <x v="3"/>
    <x v="1"/>
    <x v="0"/>
    <x v="24"/>
    <x v="6"/>
    <n v="504708.83"/>
    <n v="540859.23"/>
    <n v="36150.399999999965"/>
    <n v="7.1626248346001717E-2"/>
  </r>
  <r>
    <x v="2"/>
    <d v="2010-03-07T00:00:00"/>
    <x v="3"/>
    <x v="1"/>
    <x v="0"/>
    <x v="25"/>
    <x v="6"/>
    <n v="426482.16"/>
    <n v="445013.07"/>
    <n v="18530.910000000033"/>
    <n v="4.3450609985655753E-2"/>
  </r>
  <r>
    <x v="2"/>
    <d v="2010-03-08T00:00:00"/>
    <x v="3"/>
    <x v="1"/>
    <x v="0"/>
    <x v="0"/>
    <x v="0"/>
    <n v="7062"/>
    <n v="8723.27"/>
    <n v="1661.2700000000004"/>
    <n v="0.23524072500708021"/>
  </r>
  <r>
    <x v="2"/>
    <d v="2010-03-08T00:00:00"/>
    <x v="3"/>
    <x v="1"/>
    <x v="0"/>
    <x v="1"/>
    <x v="0"/>
    <n v="355379.59"/>
    <n v="538235.23"/>
    <n v="182855.63999999996"/>
    <n v="0.51453613304016688"/>
  </r>
  <r>
    <x v="2"/>
    <d v="2010-03-08T00:00:00"/>
    <x v="3"/>
    <x v="1"/>
    <x v="0"/>
    <x v="2"/>
    <x v="0"/>
    <n v="42754.98"/>
    <n v="47206.98"/>
    <n v="4452"/>
    <n v="0.10412822085286906"/>
  </r>
  <r>
    <x v="2"/>
    <d v="2010-03-08T00:00:00"/>
    <x v="3"/>
    <x v="1"/>
    <x v="0"/>
    <x v="3"/>
    <x v="0"/>
    <n v="574"/>
    <n v="659.72"/>
    <n v="85.720000000000027"/>
    <n v="0.1493379790940767"/>
  </r>
  <r>
    <x v="2"/>
    <d v="2010-03-08T00:00:00"/>
    <x v="3"/>
    <x v="1"/>
    <x v="0"/>
    <x v="4"/>
    <x v="0"/>
    <n v="1470"/>
    <n v="1613.44"/>
    <n v="143.44000000000005"/>
    <n v="9.757823129251704E-2"/>
  </r>
  <r>
    <x v="2"/>
    <d v="2010-03-08T00:00:00"/>
    <x v="3"/>
    <x v="1"/>
    <x v="0"/>
    <x v="5"/>
    <x v="1"/>
    <n v="77325.789999999994"/>
    <n v="88012.05"/>
    <n v="10686.260000000009"/>
    <n v="0.13819787680151746"/>
  </r>
  <r>
    <x v="2"/>
    <d v="2010-03-08T00:00:00"/>
    <x v="3"/>
    <x v="1"/>
    <x v="0"/>
    <x v="6"/>
    <x v="1"/>
    <n v="275701.57"/>
    <n v="295173.23"/>
    <n v="19471.659999999974"/>
    <n v="7.062585824230154E-2"/>
  </r>
  <r>
    <x v="2"/>
    <d v="2010-03-08T00:00:00"/>
    <x v="3"/>
    <x v="1"/>
    <x v="0"/>
    <x v="7"/>
    <x v="1"/>
    <n v="78287.820000000007"/>
    <n v="85422.15"/>
    <n v="7134.3299999999872"/>
    <n v="9.112950137071113E-2"/>
  </r>
  <r>
    <x v="2"/>
    <d v="2010-03-08T00:00:00"/>
    <x v="3"/>
    <x v="1"/>
    <x v="0"/>
    <x v="8"/>
    <x v="1"/>
    <n v="107987"/>
    <n v="120171.87"/>
    <n v="12184.869999999995"/>
    <n v="0.11283645253595335"/>
  </r>
  <r>
    <x v="2"/>
    <d v="2010-03-08T00:00:00"/>
    <x v="3"/>
    <x v="1"/>
    <x v="0"/>
    <x v="9"/>
    <x v="2"/>
    <n v="482821.5"/>
    <n v="533142.37"/>
    <n v="50320.869999999995"/>
    <n v="0.1042225128748409"/>
  </r>
  <r>
    <x v="2"/>
    <d v="2010-03-08T00:00:00"/>
    <x v="3"/>
    <x v="1"/>
    <x v="0"/>
    <x v="10"/>
    <x v="2"/>
    <n v="215561.4"/>
    <n v="226804.54"/>
    <n v="11243.140000000014"/>
    <n v="5.2157482740416483E-2"/>
  </r>
  <r>
    <x v="2"/>
    <d v="2010-03-08T00:00:00"/>
    <x v="3"/>
    <x v="1"/>
    <x v="0"/>
    <x v="11"/>
    <x v="2"/>
    <n v="128585"/>
    <n v="140771.26"/>
    <n v="12186.260000000009"/>
    <n v="9.4772018509157438E-2"/>
  </r>
  <r>
    <x v="2"/>
    <d v="2010-03-08T00:00:00"/>
    <x v="3"/>
    <x v="1"/>
    <x v="0"/>
    <x v="12"/>
    <x v="2"/>
    <n v="21640.35"/>
    <n v="24130.21"/>
    <n v="2489.8600000000006"/>
    <n v="0.11505636461517493"/>
  </r>
  <r>
    <x v="2"/>
    <d v="2010-03-08T00:00:00"/>
    <x v="3"/>
    <x v="1"/>
    <x v="0"/>
    <x v="26"/>
    <x v="3"/>
    <n v="11703.52"/>
    <n v="13321.07"/>
    <n v="1617.5499999999993"/>
    <n v="0.13821055545681976"/>
  </r>
  <r>
    <x v="2"/>
    <d v="2010-03-08T00:00:00"/>
    <x v="3"/>
    <x v="1"/>
    <x v="0"/>
    <x v="13"/>
    <x v="3"/>
    <n v="82954.36"/>
    <n v="94419.05"/>
    <n v="11464.690000000002"/>
    <n v="0.13820479116468384"/>
  </r>
  <r>
    <x v="2"/>
    <d v="2010-03-08T00:00:00"/>
    <x v="3"/>
    <x v="1"/>
    <x v="0"/>
    <x v="14"/>
    <x v="3"/>
    <n v="61481.59"/>
    <n v="69394.89"/>
    <n v="7913.3000000000029"/>
    <n v="0.12871007402378506"/>
  </r>
  <r>
    <x v="2"/>
    <d v="2010-03-08T00:00:00"/>
    <x v="3"/>
    <x v="1"/>
    <x v="0"/>
    <x v="15"/>
    <x v="3"/>
    <n v="643337.29"/>
    <n v="704242.8"/>
    <n v="60905.510000000009"/>
    <n v="9.467119494969739E-2"/>
  </r>
  <r>
    <x v="2"/>
    <d v="2010-03-08T00:00:00"/>
    <x v="3"/>
    <x v="1"/>
    <x v="0"/>
    <x v="16"/>
    <x v="3"/>
    <n v="125403.46"/>
    <n v="141400.4"/>
    <n v="15996.939999999988"/>
    <n v="0.12756378492268067"/>
  </r>
  <r>
    <x v="2"/>
    <d v="2010-03-08T00:00:00"/>
    <x v="3"/>
    <x v="1"/>
    <x v="0"/>
    <x v="18"/>
    <x v="5"/>
    <n v="64652.4"/>
    <n v="71772.009999999995"/>
    <n v="7119.6099999999933"/>
    <n v="0.1101213566704406"/>
  </r>
  <r>
    <x v="2"/>
    <d v="2010-03-08T00:00:00"/>
    <x v="3"/>
    <x v="1"/>
    <x v="0"/>
    <x v="19"/>
    <x v="5"/>
    <n v="35554.269999999997"/>
    <n v="40881.360000000001"/>
    <n v="5327.0900000000038"/>
    <n v="0.14982982353455729"/>
  </r>
  <r>
    <x v="2"/>
    <d v="2010-03-08T00:00:00"/>
    <x v="3"/>
    <x v="1"/>
    <x v="0"/>
    <x v="20"/>
    <x v="5"/>
    <n v="308807.2"/>
    <n v="409457.16"/>
    <n v="100649.95999999996"/>
    <n v="0.32593139020074646"/>
  </r>
  <r>
    <x v="2"/>
    <d v="2010-03-08T00:00:00"/>
    <x v="3"/>
    <x v="1"/>
    <x v="0"/>
    <x v="22"/>
    <x v="6"/>
    <n v="1541"/>
    <n v="2002.21"/>
    <n v="461.21000000000004"/>
    <n v="0.2992926670992862"/>
  </r>
  <r>
    <x v="2"/>
    <d v="2010-03-08T00:00:00"/>
    <x v="3"/>
    <x v="1"/>
    <x v="0"/>
    <x v="23"/>
    <x v="6"/>
    <n v="255120.01"/>
    <n v="280902.40999999997"/>
    <n v="25782.399999999965"/>
    <n v="0.10105988942223687"/>
  </r>
  <r>
    <x v="2"/>
    <d v="2010-03-08T00:00:00"/>
    <x v="3"/>
    <x v="1"/>
    <x v="0"/>
    <x v="24"/>
    <x v="6"/>
    <n v="293768.99"/>
    <n v="314912.24"/>
    <n v="21143.25"/>
    <n v="7.1972368492671746E-2"/>
  </r>
  <r>
    <x v="2"/>
    <d v="2010-03-08T00:00:00"/>
    <x v="3"/>
    <x v="1"/>
    <x v="0"/>
    <x v="25"/>
    <x v="6"/>
    <n v="170993.97"/>
    <n v="179840.83"/>
    <n v="8846.859999999986"/>
    <n v="5.173784783171001E-2"/>
  </r>
  <r>
    <x v="2"/>
    <d v="2010-03-09T00:00:00"/>
    <x v="3"/>
    <x v="1"/>
    <x v="0"/>
    <x v="0"/>
    <x v="0"/>
    <n v="5128"/>
    <n v="6363.08"/>
    <n v="1235.08"/>
    <n v="0.24085023400936037"/>
  </r>
  <r>
    <x v="2"/>
    <d v="2010-03-09T00:00:00"/>
    <x v="3"/>
    <x v="1"/>
    <x v="0"/>
    <x v="1"/>
    <x v="0"/>
    <n v="68357.2"/>
    <n v="110620.05"/>
    <n v="42262.850000000006"/>
    <n v="0.61826479141919222"/>
  </r>
  <r>
    <x v="2"/>
    <d v="2010-03-09T00:00:00"/>
    <x v="3"/>
    <x v="1"/>
    <x v="0"/>
    <x v="2"/>
    <x v="0"/>
    <n v="25354.62"/>
    <n v="27967.77"/>
    <n v="2613.1500000000015"/>
    <n v="0.10306405696476624"/>
  </r>
  <r>
    <x v="2"/>
    <d v="2010-03-09T00:00:00"/>
    <x v="3"/>
    <x v="1"/>
    <x v="0"/>
    <x v="3"/>
    <x v="0"/>
    <n v="840"/>
    <n v="911.24"/>
    <n v="71.240000000000009"/>
    <n v="8.4809523809523821E-2"/>
  </r>
  <r>
    <x v="2"/>
    <d v="2010-03-09T00:00:00"/>
    <x v="3"/>
    <x v="1"/>
    <x v="0"/>
    <x v="4"/>
    <x v="0"/>
    <n v="1470"/>
    <n v="1575.34"/>
    <n v="105.33999999999992"/>
    <n v="7.1659863945578176E-2"/>
  </r>
  <r>
    <x v="2"/>
    <d v="2010-03-09T00:00:00"/>
    <x v="3"/>
    <x v="1"/>
    <x v="0"/>
    <x v="5"/>
    <x v="1"/>
    <n v="84720.02"/>
    <n v="94189.09"/>
    <n v="9469.0699999999924"/>
    <n v="0.1117689773916483"/>
  </r>
  <r>
    <x v="2"/>
    <d v="2010-03-09T00:00:00"/>
    <x v="3"/>
    <x v="1"/>
    <x v="0"/>
    <x v="6"/>
    <x v="1"/>
    <n v="222419.32"/>
    <n v="239071.31"/>
    <n v="16651.989999999991"/>
    <n v="7.4867551973452628E-2"/>
  </r>
  <r>
    <x v="2"/>
    <d v="2010-03-09T00:00:00"/>
    <x v="3"/>
    <x v="1"/>
    <x v="0"/>
    <x v="7"/>
    <x v="1"/>
    <n v="80362.070000000007"/>
    <n v="86459.95"/>
    <n v="6097.8799999999901"/>
    <n v="7.5880076259857293E-2"/>
  </r>
  <r>
    <x v="2"/>
    <d v="2010-03-09T00:00:00"/>
    <x v="3"/>
    <x v="1"/>
    <x v="0"/>
    <x v="8"/>
    <x v="1"/>
    <n v="91200"/>
    <n v="98564.57"/>
    <n v="7364.570000000007"/>
    <n v="8.07518640350878E-2"/>
  </r>
  <r>
    <x v="2"/>
    <d v="2010-03-09T00:00:00"/>
    <x v="3"/>
    <x v="1"/>
    <x v="0"/>
    <x v="9"/>
    <x v="2"/>
    <n v="164222"/>
    <n v="179530.38"/>
    <n v="15308.380000000005"/>
    <n v="9.3217595693634261E-2"/>
  </r>
  <r>
    <x v="2"/>
    <d v="2010-03-09T00:00:00"/>
    <x v="3"/>
    <x v="1"/>
    <x v="0"/>
    <x v="10"/>
    <x v="2"/>
    <n v="98825.3"/>
    <n v="104278.57"/>
    <n v="5453.2700000000041"/>
    <n v="5.51809101515503E-2"/>
  </r>
  <r>
    <x v="2"/>
    <d v="2010-03-09T00:00:00"/>
    <x v="3"/>
    <x v="1"/>
    <x v="0"/>
    <x v="11"/>
    <x v="2"/>
    <n v="58394"/>
    <n v="64277.13"/>
    <n v="5883.1299999999974"/>
    <n v="0.10074887830941531"/>
  </r>
  <r>
    <x v="2"/>
    <d v="2010-03-09T00:00:00"/>
    <x v="3"/>
    <x v="1"/>
    <x v="0"/>
    <x v="12"/>
    <x v="2"/>
    <n v="19746.55"/>
    <n v="21826.7"/>
    <n v="2080.1500000000015"/>
    <n v="0.10534245222583193"/>
  </r>
  <r>
    <x v="2"/>
    <d v="2010-03-09T00:00:00"/>
    <x v="3"/>
    <x v="1"/>
    <x v="0"/>
    <x v="26"/>
    <x v="3"/>
    <n v="5912.33"/>
    <n v="6661.11"/>
    <n v="748.77999999999975"/>
    <n v="0.12664719323853704"/>
  </r>
  <r>
    <x v="2"/>
    <d v="2010-03-09T00:00:00"/>
    <x v="3"/>
    <x v="1"/>
    <x v="0"/>
    <x v="13"/>
    <x v="3"/>
    <n v="72854.09"/>
    <n v="82614.66"/>
    <n v="9760.570000000007"/>
    <n v="0.13397422162571804"/>
  </r>
  <r>
    <x v="2"/>
    <d v="2010-03-09T00:00:00"/>
    <x v="3"/>
    <x v="1"/>
    <x v="0"/>
    <x v="14"/>
    <x v="3"/>
    <n v="48325.35"/>
    <n v="54738.49"/>
    <n v="6413.1399999999994"/>
    <n v="0.1327075748028726"/>
  </r>
  <r>
    <x v="2"/>
    <d v="2010-03-09T00:00:00"/>
    <x v="3"/>
    <x v="1"/>
    <x v="0"/>
    <x v="15"/>
    <x v="3"/>
    <n v="539734.59"/>
    <n v="586254.34"/>
    <n v="46519.75"/>
    <n v="8.6190047593577429E-2"/>
  </r>
  <r>
    <x v="2"/>
    <d v="2010-03-09T00:00:00"/>
    <x v="3"/>
    <x v="1"/>
    <x v="0"/>
    <x v="16"/>
    <x v="3"/>
    <n v="92599.86"/>
    <n v="104121.83"/>
    <n v="11521.970000000001"/>
    <n v="0.12442750993360034"/>
  </r>
  <r>
    <x v="2"/>
    <d v="2010-03-09T00:00:00"/>
    <x v="3"/>
    <x v="1"/>
    <x v="0"/>
    <x v="18"/>
    <x v="5"/>
    <n v="3653.14"/>
    <n v="4184.1400000000003"/>
    <n v="531.00000000000045"/>
    <n v="0.14535440744126985"/>
  </r>
  <r>
    <x v="2"/>
    <d v="2010-03-09T00:00:00"/>
    <x v="3"/>
    <x v="1"/>
    <x v="0"/>
    <x v="19"/>
    <x v="5"/>
    <n v="12474.29"/>
    <n v="14341.08"/>
    <n v="1866.7899999999991"/>
    <n v="0.14965100218128638"/>
  </r>
  <r>
    <x v="2"/>
    <d v="2010-03-09T00:00:00"/>
    <x v="3"/>
    <x v="1"/>
    <x v="0"/>
    <x v="20"/>
    <x v="5"/>
    <n v="192874.03"/>
    <n v="265810.62"/>
    <n v="72936.59"/>
    <n v="0.37815661341239148"/>
  </r>
  <r>
    <x v="2"/>
    <d v="2010-03-09T00:00:00"/>
    <x v="3"/>
    <x v="1"/>
    <x v="0"/>
    <x v="21"/>
    <x v="5"/>
    <n v="608"/>
    <n v="759.27"/>
    <n v="151.26999999999998"/>
    <n v="0.24879934210526314"/>
  </r>
  <r>
    <x v="2"/>
    <d v="2010-03-09T00:00:00"/>
    <x v="3"/>
    <x v="1"/>
    <x v="0"/>
    <x v="22"/>
    <x v="6"/>
    <n v="1382.52"/>
    <n v="1795.53"/>
    <n v="413.01"/>
    <n v="0.29873708879437549"/>
  </r>
  <r>
    <x v="2"/>
    <d v="2010-03-09T00:00:00"/>
    <x v="3"/>
    <x v="1"/>
    <x v="0"/>
    <x v="23"/>
    <x v="6"/>
    <n v="114067.32"/>
    <n v="124481.26"/>
    <n v="10413.939999999988"/>
    <n v="9.1296437928058513E-2"/>
  </r>
  <r>
    <x v="2"/>
    <d v="2010-03-09T00:00:00"/>
    <x v="3"/>
    <x v="1"/>
    <x v="0"/>
    <x v="24"/>
    <x v="6"/>
    <n v="250926.25"/>
    <n v="267112.01"/>
    <n v="16185.760000000009"/>
    <n v="6.4504052485541113E-2"/>
  </r>
  <r>
    <x v="2"/>
    <d v="2010-03-09T00:00:00"/>
    <x v="3"/>
    <x v="1"/>
    <x v="0"/>
    <x v="25"/>
    <x v="6"/>
    <n v="198108.9"/>
    <n v="205511.54"/>
    <n v="7402.640000000014"/>
    <n v="3.7366519121553927E-2"/>
  </r>
  <r>
    <x v="2"/>
    <d v="2010-03-10T00:00:00"/>
    <x v="3"/>
    <x v="1"/>
    <x v="0"/>
    <x v="0"/>
    <x v="0"/>
    <n v="7157"/>
    <n v="8845.68"/>
    <n v="1688.6800000000003"/>
    <n v="0.23594802291462907"/>
  </r>
  <r>
    <x v="2"/>
    <d v="2010-03-10T00:00:00"/>
    <x v="3"/>
    <x v="1"/>
    <x v="0"/>
    <x v="1"/>
    <x v="0"/>
    <n v="64351.73"/>
    <n v="111312.36"/>
    <n v="46960.63"/>
    <n v="0.72974930122313719"/>
  </r>
  <r>
    <x v="2"/>
    <d v="2010-03-10T00:00:00"/>
    <x v="3"/>
    <x v="1"/>
    <x v="0"/>
    <x v="2"/>
    <x v="0"/>
    <n v="24265.65"/>
    <n v="26529.25"/>
    <n v="2263.5999999999985"/>
    <n v="9.3284127975141753E-2"/>
  </r>
  <r>
    <x v="2"/>
    <d v="2010-03-10T00:00:00"/>
    <x v="3"/>
    <x v="1"/>
    <x v="0"/>
    <x v="3"/>
    <x v="0"/>
    <n v="574"/>
    <n v="585.4"/>
    <n v="11.399999999999977"/>
    <n v="1.9860627177700308E-2"/>
  </r>
  <r>
    <x v="2"/>
    <d v="2010-03-10T00:00:00"/>
    <x v="3"/>
    <x v="1"/>
    <x v="0"/>
    <x v="4"/>
    <x v="0"/>
    <n v="1452"/>
    <n v="1668.96"/>
    <n v="216.96000000000004"/>
    <n v="0.14942148760330581"/>
  </r>
  <r>
    <x v="2"/>
    <d v="2010-03-10T00:00:00"/>
    <x v="3"/>
    <x v="1"/>
    <x v="0"/>
    <x v="5"/>
    <x v="1"/>
    <n v="88756.02"/>
    <n v="97979.58"/>
    <n v="9223.5599999999977"/>
    <n v="0.10392038759737082"/>
  </r>
  <r>
    <x v="2"/>
    <d v="2010-03-10T00:00:00"/>
    <x v="3"/>
    <x v="1"/>
    <x v="0"/>
    <x v="6"/>
    <x v="1"/>
    <n v="321355.17"/>
    <n v="346593.88"/>
    <n v="25238.710000000021"/>
    <n v="7.8538366132401172E-2"/>
  </r>
  <r>
    <x v="2"/>
    <d v="2010-03-10T00:00:00"/>
    <x v="3"/>
    <x v="1"/>
    <x v="0"/>
    <x v="7"/>
    <x v="1"/>
    <n v="96686.16"/>
    <n v="104861.2"/>
    <n v="8175.0399999999936"/>
    <n v="8.4552328895883266E-2"/>
  </r>
  <r>
    <x v="2"/>
    <d v="2010-03-10T00:00:00"/>
    <x v="3"/>
    <x v="1"/>
    <x v="0"/>
    <x v="8"/>
    <x v="1"/>
    <n v="117490.61"/>
    <n v="128424"/>
    <n v="10933.39"/>
    <n v="9.3057564344929344E-2"/>
  </r>
  <r>
    <x v="2"/>
    <d v="2010-03-10T00:00:00"/>
    <x v="3"/>
    <x v="1"/>
    <x v="0"/>
    <x v="9"/>
    <x v="2"/>
    <n v="185926"/>
    <n v="201132.71"/>
    <n v="15206.709999999992"/>
    <n v="8.1789045103966049E-2"/>
  </r>
  <r>
    <x v="2"/>
    <d v="2010-03-10T00:00:00"/>
    <x v="3"/>
    <x v="1"/>
    <x v="0"/>
    <x v="10"/>
    <x v="2"/>
    <n v="128489.9"/>
    <n v="134276.56"/>
    <n v="5786.6600000000035"/>
    <n v="4.5035913328596286E-2"/>
  </r>
  <r>
    <x v="2"/>
    <d v="2010-03-10T00:00:00"/>
    <x v="3"/>
    <x v="1"/>
    <x v="0"/>
    <x v="11"/>
    <x v="2"/>
    <n v="77604.789999999994"/>
    <n v="83153.88"/>
    <n v="5549.0900000000111"/>
    <n v="7.15044780096694E-2"/>
  </r>
  <r>
    <x v="2"/>
    <d v="2010-03-10T00:00:00"/>
    <x v="3"/>
    <x v="1"/>
    <x v="0"/>
    <x v="12"/>
    <x v="2"/>
    <n v="16349.65"/>
    <n v="18921.13"/>
    <n v="2571.4800000000014"/>
    <n v="0.15728043107956449"/>
  </r>
  <r>
    <x v="2"/>
    <d v="2010-03-10T00:00:00"/>
    <x v="3"/>
    <x v="1"/>
    <x v="0"/>
    <x v="26"/>
    <x v="3"/>
    <n v="14803.48"/>
    <n v="16565.38"/>
    <n v="1761.9000000000015"/>
    <n v="0.11901931167536292"/>
  </r>
  <r>
    <x v="2"/>
    <d v="2010-03-10T00:00:00"/>
    <x v="3"/>
    <x v="1"/>
    <x v="0"/>
    <x v="13"/>
    <x v="3"/>
    <n v="129285.88"/>
    <n v="145874.09"/>
    <n v="16588.209999999992"/>
    <n v="0.12830643222600946"/>
  </r>
  <r>
    <x v="2"/>
    <d v="2010-03-10T00:00:00"/>
    <x v="3"/>
    <x v="1"/>
    <x v="0"/>
    <x v="14"/>
    <x v="3"/>
    <n v="103851.41"/>
    <n v="115922.07"/>
    <n v="12070.660000000003"/>
    <n v="0.11623010222008544"/>
  </r>
  <r>
    <x v="2"/>
    <d v="2010-03-10T00:00:00"/>
    <x v="3"/>
    <x v="1"/>
    <x v="0"/>
    <x v="15"/>
    <x v="3"/>
    <n v="720918.08"/>
    <n v="783470.15"/>
    <n v="62552.070000000065"/>
    <n v="8.6767237131852859E-2"/>
  </r>
  <r>
    <x v="2"/>
    <d v="2010-03-10T00:00:00"/>
    <x v="3"/>
    <x v="1"/>
    <x v="0"/>
    <x v="16"/>
    <x v="3"/>
    <n v="140399.4"/>
    <n v="158233.14000000001"/>
    <n v="17833.74000000002"/>
    <n v="0.12702148299779073"/>
  </r>
  <r>
    <x v="2"/>
    <d v="2010-03-10T00:00:00"/>
    <x v="3"/>
    <x v="1"/>
    <x v="0"/>
    <x v="18"/>
    <x v="5"/>
    <n v="7481.46"/>
    <n v="8228.08"/>
    <n v="746.61999999999989"/>
    <n v="9.9796029117311308E-2"/>
  </r>
  <r>
    <x v="2"/>
    <d v="2010-03-10T00:00:00"/>
    <x v="3"/>
    <x v="1"/>
    <x v="0"/>
    <x v="19"/>
    <x v="5"/>
    <n v="13808.82"/>
    <n v="15877.01"/>
    <n v="2068.1900000000005"/>
    <n v="0.14977311602294768"/>
  </r>
  <r>
    <x v="2"/>
    <d v="2010-03-10T00:00:00"/>
    <x v="3"/>
    <x v="1"/>
    <x v="0"/>
    <x v="20"/>
    <x v="5"/>
    <n v="184506.76"/>
    <n v="259584.13"/>
    <n v="75077.37"/>
    <n v="0.40690850568293535"/>
  </r>
  <r>
    <x v="2"/>
    <d v="2010-03-10T00:00:00"/>
    <x v="3"/>
    <x v="1"/>
    <x v="0"/>
    <x v="21"/>
    <x v="5"/>
    <n v="76"/>
    <n v="94.89"/>
    <n v="18.89"/>
    <n v="0.24855263157894739"/>
  </r>
  <r>
    <x v="2"/>
    <d v="2010-03-10T00:00:00"/>
    <x v="3"/>
    <x v="1"/>
    <x v="0"/>
    <x v="22"/>
    <x v="6"/>
    <n v="2212.36"/>
    <n v="2874.73"/>
    <n v="662.36999999999989"/>
    <n v="0.29939521596846802"/>
  </r>
  <r>
    <x v="2"/>
    <d v="2010-03-10T00:00:00"/>
    <x v="3"/>
    <x v="1"/>
    <x v="0"/>
    <x v="23"/>
    <x v="6"/>
    <n v="147198.65"/>
    <n v="157787.72"/>
    <n v="10589.070000000007"/>
    <n v="7.1937276598664501E-2"/>
  </r>
  <r>
    <x v="2"/>
    <d v="2010-03-10T00:00:00"/>
    <x v="3"/>
    <x v="1"/>
    <x v="0"/>
    <x v="24"/>
    <x v="6"/>
    <n v="352661.23"/>
    <n v="376547.42"/>
    <n v="23886.190000000002"/>
    <n v="6.7731261528237746E-2"/>
  </r>
  <r>
    <x v="2"/>
    <d v="2010-03-10T00:00:00"/>
    <x v="3"/>
    <x v="1"/>
    <x v="0"/>
    <x v="25"/>
    <x v="6"/>
    <n v="217267.46"/>
    <n v="226754.56"/>
    <n v="9487.1000000000058"/>
    <n v="4.3665535556958256E-2"/>
  </r>
  <r>
    <x v="2"/>
    <d v="2010-03-11T00:00:00"/>
    <x v="3"/>
    <x v="1"/>
    <x v="0"/>
    <x v="0"/>
    <x v="0"/>
    <n v="11353"/>
    <n v="13861.53"/>
    <n v="2508.5300000000007"/>
    <n v="0.22095745617898357"/>
  </r>
  <r>
    <x v="2"/>
    <d v="2010-03-11T00:00:00"/>
    <x v="3"/>
    <x v="1"/>
    <x v="0"/>
    <x v="1"/>
    <x v="0"/>
    <n v="112840.07"/>
    <n v="156799.56"/>
    <n v="43959.489999999991"/>
    <n v="0.38957340242699234"/>
  </r>
  <r>
    <x v="2"/>
    <d v="2010-03-11T00:00:00"/>
    <x v="3"/>
    <x v="1"/>
    <x v="0"/>
    <x v="2"/>
    <x v="0"/>
    <n v="67695.960000000006"/>
    <n v="71569.37"/>
    <n v="3873.4099999999889"/>
    <n v="5.7217742388171886E-2"/>
  </r>
  <r>
    <x v="2"/>
    <d v="2010-03-11T00:00:00"/>
    <x v="3"/>
    <x v="1"/>
    <x v="0"/>
    <x v="3"/>
    <x v="0"/>
    <n v="1148"/>
    <n v="1245.3499999999999"/>
    <n v="97.349999999999909"/>
    <n v="8.4799651567944168E-2"/>
  </r>
  <r>
    <x v="2"/>
    <d v="2010-03-11T00:00:00"/>
    <x v="3"/>
    <x v="1"/>
    <x v="0"/>
    <x v="4"/>
    <x v="0"/>
    <n v="588"/>
    <n v="675.85"/>
    <n v="87.850000000000023"/>
    <n v="0.14940476190476196"/>
  </r>
  <r>
    <x v="2"/>
    <d v="2010-03-11T00:00:00"/>
    <x v="3"/>
    <x v="1"/>
    <x v="0"/>
    <x v="5"/>
    <x v="1"/>
    <n v="91378.44"/>
    <n v="100725.5"/>
    <n v="9347.0599999999977"/>
    <n v="0.10228955539184076"/>
  </r>
  <r>
    <x v="2"/>
    <d v="2010-03-11T00:00:00"/>
    <x v="3"/>
    <x v="1"/>
    <x v="0"/>
    <x v="6"/>
    <x v="1"/>
    <n v="296888.81"/>
    <n v="321701.32"/>
    <n v="24812.510000000009"/>
    <n v="8.3575093315238144E-2"/>
  </r>
  <r>
    <x v="2"/>
    <d v="2010-03-11T00:00:00"/>
    <x v="3"/>
    <x v="1"/>
    <x v="0"/>
    <x v="7"/>
    <x v="1"/>
    <n v="89734.17"/>
    <n v="99327.79"/>
    <n v="9593.6199999999953"/>
    <n v="0.10691155888553931"/>
  </r>
  <r>
    <x v="2"/>
    <d v="2010-03-11T00:00:00"/>
    <x v="3"/>
    <x v="1"/>
    <x v="0"/>
    <x v="8"/>
    <x v="1"/>
    <n v="135395.1"/>
    <n v="149637.44"/>
    <n v="14242.339999999997"/>
    <n v="0.10519095595039994"/>
  </r>
  <r>
    <x v="2"/>
    <d v="2010-03-11T00:00:00"/>
    <x v="3"/>
    <x v="1"/>
    <x v="0"/>
    <x v="9"/>
    <x v="2"/>
    <n v="245236"/>
    <n v="270308.13"/>
    <n v="25072.130000000005"/>
    <n v="0.10223674338188522"/>
  </r>
  <r>
    <x v="2"/>
    <d v="2010-03-11T00:00:00"/>
    <x v="3"/>
    <x v="1"/>
    <x v="0"/>
    <x v="10"/>
    <x v="2"/>
    <n v="132816.5"/>
    <n v="139562.99"/>
    <n v="6746.4899999999907"/>
    <n v="5.0795571333380946E-2"/>
  </r>
  <r>
    <x v="2"/>
    <d v="2010-03-11T00:00:00"/>
    <x v="3"/>
    <x v="1"/>
    <x v="0"/>
    <x v="11"/>
    <x v="2"/>
    <n v="93506"/>
    <n v="100245.27"/>
    <n v="6739.2700000000041"/>
    <n v="7.2073128997069746E-2"/>
  </r>
  <r>
    <x v="2"/>
    <d v="2010-03-11T00:00:00"/>
    <x v="3"/>
    <x v="1"/>
    <x v="0"/>
    <x v="12"/>
    <x v="2"/>
    <n v="19784.099999999999"/>
    <n v="22084.34"/>
    <n v="2300.2400000000016"/>
    <n v="0.11626710338099797"/>
  </r>
  <r>
    <x v="2"/>
    <d v="2010-03-11T00:00:00"/>
    <x v="3"/>
    <x v="1"/>
    <x v="0"/>
    <x v="26"/>
    <x v="3"/>
    <n v="13247.47"/>
    <n v="14731.7"/>
    <n v="1484.2300000000014"/>
    <n v="0.11203875155029613"/>
  </r>
  <r>
    <x v="2"/>
    <d v="2010-03-11T00:00:00"/>
    <x v="3"/>
    <x v="1"/>
    <x v="0"/>
    <x v="13"/>
    <x v="3"/>
    <n v="127454.97"/>
    <n v="143530.04"/>
    <n v="16075.070000000007"/>
    <n v="0.12612352425331086"/>
  </r>
  <r>
    <x v="2"/>
    <d v="2010-03-11T00:00:00"/>
    <x v="3"/>
    <x v="1"/>
    <x v="0"/>
    <x v="14"/>
    <x v="3"/>
    <n v="141713.29"/>
    <n v="158675.29"/>
    <n v="16962"/>
    <n v="0.11969237324177569"/>
  </r>
  <r>
    <x v="2"/>
    <d v="2010-03-11T00:00:00"/>
    <x v="3"/>
    <x v="1"/>
    <x v="0"/>
    <x v="15"/>
    <x v="3"/>
    <n v="742420.95"/>
    <n v="812411.67"/>
    <n v="69990.720000000088"/>
    <n v="9.4273632768579724E-2"/>
  </r>
  <r>
    <x v="2"/>
    <d v="2010-03-11T00:00:00"/>
    <x v="3"/>
    <x v="1"/>
    <x v="0"/>
    <x v="16"/>
    <x v="3"/>
    <n v="137849.48000000001"/>
    <n v="154879.91"/>
    <n v="17030.429999999993"/>
    <n v="0.12354366516290081"/>
  </r>
  <r>
    <x v="2"/>
    <d v="2010-03-11T00:00:00"/>
    <x v="3"/>
    <x v="1"/>
    <x v="0"/>
    <x v="18"/>
    <x v="5"/>
    <n v="17311.75"/>
    <n v="19182.75"/>
    <n v="1871"/>
    <n v="0.10807688419714934"/>
  </r>
  <r>
    <x v="2"/>
    <d v="2010-03-11T00:00:00"/>
    <x v="3"/>
    <x v="1"/>
    <x v="0"/>
    <x v="19"/>
    <x v="5"/>
    <n v="7723.45"/>
    <n v="8880.91"/>
    <n v="1157.46"/>
    <n v="0.14986307932335938"/>
  </r>
  <r>
    <x v="2"/>
    <d v="2010-03-11T00:00:00"/>
    <x v="3"/>
    <x v="1"/>
    <x v="0"/>
    <x v="20"/>
    <x v="5"/>
    <n v="165017.94"/>
    <n v="233672.81"/>
    <n v="68654.87"/>
    <n v="0.41604488578635751"/>
  </r>
  <r>
    <x v="2"/>
    <d v="2010-03-11T00:00:00"/>
    <x v="3"/>
    <x v="1"/>
    <x v="0"/>
    <x v="21"/>
    <x v="5"/>
    <n v="1140"/>
    <n v="1424.9"/>
    <n v="284.90000000000009"/>
    <n v="0.24991228070175447"/>
  </r>
  <r>
    <x v="2"/>
    <d v="2010-03-11T00:00:00"/>
    <x v="3"/>
    <x v="1"/>
    <x v="0"/>
    <x v="22"/>
    <x v="6"/>
    <n v="3006.16"/>
    <n v="3907.1"/>
    <n v="900.94"/>
    <n v="0.29969795353540735"/>
  </r>
  <r>
    <x v="2"/>
    <d v="2010-03-11T00:00:00"/>
    <x v="3"/>
    <x v="1"/>
    <x v="0"/>
    <x v="23"/>
    <x v="6"/>
    <n v="139685.07"/>
    <n v="144834.29"/>
    <n v="5149.2200000000012"/>
    <n v="3.6863066324840592E-2"/>
  </r>
  <r>
    <x v="2"/>
    <d v="2010-03-11T00:00:00"/>
    <x v="3"/>
    <x v="1"/>
    <x v="0"/>
    <x v="24"/>
    <x v="6"/>
    <n v="350497.06"/>
    <n v="374234.97"/>
    <n v="23737.909999999974"/>
    <n v="6.7726416877790574E-2"/>
  </r>
  <r>
    <x v="2"/>
    <d v="2010-03-11T00:00:00"/>
    <x v="3"/>
    <x v="1"/>
    <x v="0"/>
    <x v="25"/>
    <x v="6"/>
    <n v="283843.65999999997"/>
    <n v="287202.84999999998"/>
    <n v="3359.1900000000023"/>
    <n v="1.1834648693580131E-2"/>
  </r>
  <r>
    <x v="2"/>
    <d v="2010-03-12T00:00:00"/>
    <x v="3"/>
    <x v="1"/>
    <x v="0"/>
    <x v="0"/>
    <x v="0"/>
    <n v="6444"/>
    <n v="7843.95"/>
    <n v="1399.9499999999998"/>
    <n v="0.21724860335195528"/>
  </r>
  <r>
    <x v="2"/>
    <d v="2010-03-12T00:00:00"/>
    <x v="3"/>
    <x v="1"/>
    <x v="0"/>
    <x v="1"/>
    <x v="0"/>
    <n v="122229.61"/>
    <n v="177529.22"/>
    <n v="55299.61"/>
    <n v="0.45242400757066964"/>
  </r>
  <r>
    <x v="2"/>
    <d v="2010-03-12T00:00:00"/>
    <x v="3"/>
    <x v="1"/>
    <x v="0"/>
    <x v="2"/>
    <x v="0"/>
    <n v="17250.66"/>
    <n v="19199.650000000001"/>
    <n v="1948.9900000000016"/>
    <n v="0.11298060480004832"/>
  </r>
  <r>
    <x v="2"/>
    <d v="2010-03-12T00:00:00"/>
    <x v="3"/>
    <x v="1"/>
    <x v="0"/>
    <x v="3"/>
    <x v="0"/>
    <n v="2142"/>
    <n v="2184.2800000000002"/>
    <n v="42.2800000000002"/>
    <n v="1.9738562091503362E-2"/>
  </r>
  <r>
    <x v="2"/>
    <d v="2010-03-12T00:00:00"/>
    <x v="3"/>
    <x v="1"/>
    <x v="0"/>
    <x v="4"/>
    <x v="0"/>
    <n v="588"/>
    <n v="637.63"/>
    <n v="49.629999999999995"/>
    <n v="8.4404761904761899E-2"/>
  </r>
  <r>
    <x v="2"/>
    <d v="2010-03-12T00:00:00"/>
    <x v="3"/>
    <x v="1"/>
    <x v="0"/>
    <x v="5"/>
    <x v="1"/>
    <n v="86540.31"/>
    <n v="97556.01"/>
    <n v="11015.699999999997"/>
    <n v="0.12728981442289722"/>
  </r>
  <r>
    <x v="2"/>
    <d v="2010-03-12T00:00:00"/>
    <x v="3"/>
    <x v="1"/>
    <x v="0"/>
    <x v="6"/>
    <x v="1"/>
    <n v="298692.81"/>
    <n v="323806.71000000002"/>
    <n v="25113.900000000023"/>
    <n v="8.4079358990931261E-2"/>
  </r>
  <r>
    <x v="2"/>
    <d v="2010-03-12T00:00:00"/>
    <x v="3"/>
    <x v="1"/>
    <x v="0"/>
    <x v="7"/>
    <x v="1"/>
    <n v="96525.26"/>
    <n v="105714.19"/>
    <n v="9188.9300000000076"/>
    <n v="9.5197153574100787E-2"/>
  </r>
  <r>
    <x v="2"/>
    <d v="2010-03-12T00:00:00"/>
    <x v="3"/>
    <x v="1"/>
    <x v="0"/>
    <x v="8"/>
    <x v="1"/>
    <n v="145185.82"/>
    <n v="159068.91"/>
    <n v="13883.089999999997"/>
    <n v="9.5622905873314595E-2"/>
  </r>
  <r>
    <x v="2"/>
    <d v="2010-03-12T00:00:00"/>
    <x v="3"/>
    <x v="1"/>
    <x v="0"/>
    <x v="9"/>
    <x v="2"/>
    <n v="325088"/>
    <n v="354546.62"/>
    <n v="29458.619999999995"/>
    <n v="9.0617371296387431E-2"/>
  </r>
  <r>
    <x v="2"/>
    <d v="2010-03-12T00:00:00"/>
    <x v="3"/>
    <x v="1"/>
    <x v="0"/>
    <x v="10"/>
    <x v="2"/>
    <n v="181522.3"/>
    <n v="188693.76000000001"/>
    <n v="7171.460000000021"/>
    <n v="3.9507322240848762E-2"/>
  </r>
  <r>
    <x v="2"/>
    <d v="2010-03-12T00:00:00"/>
    <x v="3"/>
    <x v="1"/>
    <x v="0"/>
    <x v="11"/>
    <x v="2"/>
    <n v="101940"/>
    <n v="108424.01"/>
    <n v="6484.0099999999948"/>
    <n v="6.3606140867176725E-2"/>
  </r>
  <r>
    <x v="2"/>
    <d v="2010-03-12T00:00:00"/>
    <x v="3"/>
    <x v="1"/>
    <x v="0"/>
    <x v="12"/>
    <x v="2"/>
    <n v="13703.35"/>
    <n v="15991.57"/>
    <n v="2288.2199999999993"/>
    <n v="0.16698252617060785"/>
  </r>
  <r>
    <x v="2"/>
    <d v="2010-03-12T00:00:00"/>
    <x v="3"/>
    <x v="1"/>
    <x v="0"/>
    <x v="26"/>
    <x v="3"/>
    <n v="22688.19"/>
    <n v="25103.37"/>
    <n v="2415.1800000000003"/>
    <n v="0.10645097735870514"/>
  </r>
  <r>
    <x v="2"/>
    <d v="2010-03-12T00:00:00"/>
    <x v="3"/>
    <x v="1"/>
    <x v="0"/>
    <x v="13"/>
    <x v="3"/>
    <n v="132975.64000000001"/>
    <n v="149963.37"/>
    <n v="16987.729999999981"/>
    <n v="0.12775069178084031"/>
  </r>
  <r>
    <x v="2"/>
    <d v="2010-03-12T00:00:00"/>
    <x v="3"/>
    <x v="1"/>
    <x v="0"/>
    <x v="14"/>
    <x v="3"/>
    <n v="167673.45000000001"/>
    <n v="186726.51"/>
    <n v="19053.059999999998"/>
    <n v="0.11363194351878604"/>
  </r>
  <r>
    <x v="2"/>
    <d v="2010-03-12T00:00:00"/>
    <x v="3"/>
    <x v="1"/>
    <x v="0"/>
    <x v="15"/>
    <x v="3"/>
    <n v="744959.97"/>
    <n v="812233.34"/>
    <n v="67273.37"/>
    <n v="9.0304677713085701E-2"/>
  </r>
  <r>
    <x v="2"/>
    <d v="2010-03-12T00:00:00"/>
    <x v="3"/>
    <x v="1"/>
    <x v="0"/>
    <x v="16"/>
    <x v="3"/>
    <n v="148790.20000000001"/>
    <n v="167001.19"/>
    <n v="18210.989999999991"/>
    <n v="0.12239374636232755"/>
  </r>
  <r>
    <x v="2"/>
    <d v="2010-03-12T00:00:00"/>
    <x v="3"/>
    <x v="1"/>
    <x v="0"/>
    <x v="18"/>
    <x v="5"/>
    <n v="32683.16"/>
    <n v="41312.839999999997"/>
    <n v="8629.6799999999967"/>
    <n v="0.26404056400911041"/>
  </r>
  <r>
    <x v="2"/>
    <d v="2010-03-12T00:00:00"/>
    <x v="3"/>
    <x v="1"/>
    <x v="0"/>
    <x v="19"/>
    <x v="5"/>
    <n v="20215.86"/>
    <n v="23245.57"/>
    <n v="3029.7099999999991"/>
    <n v="0.14986797494640341"/>
  </r>
  <r>
    <x v="2"/>
    <d v="2010-03-12T00:00:00"/>
    <x v="3"/>
    <x v="1"/>
    <x v="0"/>
    <x v="20"/>
    <x v="5"/>
    <n v="201719.34"/>
    <n v="282069.23"/>
    <n v="80349.889999999985"/>
    <n v="0.39832516802801349"/>
  </r>
  <r>
    <x v="2"/>
    <d v="2010-03-12T00:00:00"/>
    <x v="3"/>
    <x v="1"/>
    <x v="0"/>
    <x v="21"/>
    <x v="5"/>
    <n v="76"/>
    <n v="95"/>
    <n v="19"/>
    <n v="0.25"/>
  </r>
  <r>
    <x v="2"/>
    <d v="2010-03-12T00:00:00"/>
    <x v="3"/>
    <x v="1"/>
    <x v="0"/>
    <x v="22"/>
    <x v="6"/>
    <n v="4659.84"/>
    <n v="6056.29"/>
    <n v="1396.4499999999998"/>
    <n v="0.29967767133635487"/>
  </r>
  <r>
    <x v="2"/>
    <d v="2010-03-12T00:00:00"/>
    <x v="3"/>
    <x v="1"/>
    <x v="0"/>
    <x v="23"/>
    <x v="6"/>
    <n v="124007.87"/>
    <n v="132248.18"/>
    <n v="8240.3099999999977"/>
    <n v="6.6449895478407933E-2"/>
  </r>
  <r>
    <x v="2"/>
    <d v="2010-03-12T00:00:00"/>
    <x v="3"/>
    <x v="1"/>
    <x v="0"/>
    <x v="24"/>
    <x v="6"/>
    <n v="365309.95"/>
    <n v="394544.55"/>
    <n v="29234.599999999977"/>
    <n v="8.0026837484169194E-2"/>
  </r>
  <r>
    <x v="2"/>
    <d v="2010-03-12T00:00:00"/>
    <x v="3"/>
    <x v="1"/>
    <x v="0"/>
    <x v="25"/>
    <x v="6"/>
    <n v="283796.40999999997"/>
    <n v="291313.21000000002"/>
    <n v="7516.8000000000466"/>
    <n v="2.6486592976986731E-2"/>
  </r>
  <r>
    <x v="2"/>
    <d v="2010-03-13T00:00:00"/>
    <x v="3"/>
    <x v="1"/>
    <x v="0"/>
    <x v="0"/>
    <x v="0"/>
    <n v="17504"/>
    <n v="20633.29"/>
    <n v="3129.2900000000009"/>
    <n v="0.17877570840950646"/>
  </r>
  <r>
    <x v="2"/>
    <d v="2010-03-13T00:00:00"/>
    <x v="3"/>
    <x v="1"/>
    <x v="0"/>
    <x v="1"/>
    <x v="0"/>
    <n v="217059.66"/>
    <n v="287162.08"/>
    <n v="70102.420000000013"/>
    <n v="0.32296383399845008"/>
  </r>
  <r>
    <x v="2"/>
    <d v="2010-03-13T00:00:00"/>
    <x v="3"/>
    <x v="1"/>
    <x v="0"/>
    <x v="2"/>
    <x v="0"/>
    <n v="19621.91"/>
    <n v="22021.82"/>
    <n v="2399.91"/>
    <n v="0.12230766525786735"/>
  </r>
  <r>
    <x v="2"/>
    <d v="2010-03-13T00:00:00"/>
    <x v="3"/>
    <x v="1"/>
    <x v="0"/>
    <x v="3"/>
    <x v="0"/>
    <n v="2296"/>
    <n v="2565.36"/>
    <n v="269.36000000000013"/>
    <n v="0.11731707317073176"/>
  </r>
  <r>
    <x v="2"/>
    <d v="2010-03-13T00:00:00"/>
    <x v="3"/>
    <x v="1"/>
    <x v="0"/>
    <x v="4"/>
    <x v="0"/>
    <n v="2492.87"/>
    <n v="2574.14"/>
    <n v="81.269999999999982"/>
    <n v="3.2600977989225267E-2"/>
  </r>
  <r>
    <x v="2"/>
    <d v="2010-03-13T00:00:00"/>
    <x v="3"/>
    <x v="1"/>
    <x v="0"/>
    <x v="5"/>
    <x v="1"/>
    <n v="156678.97"/>
    <n v="176285"/>
    <n v="19606.03"/>
    <n v="0.12513504524570207"/>
  </r>
  <r>
    <x v="2"/>
    <d v="2010-03-13T00:00:00"/>
    <x v="3"/>
    <x v="1"/>
    <x v="0"/>
    <x v="6"/>
    <x v="1"/>
    <n v="552219.79"/>
    <n v="596487.99"/>
    <n v="44268.199999999953"/>
    <n v="8.0164095531599741E-2"/>
  </r>
  <r>
    <x v="2"/>
    <d v="2010-03-13T00:00:00"/>
    <x v="3"/>
    <x v="1"/>
    <x v="0"/>
    <x v="7"/>
    <x v="1"/>
    <n v="165823.35999999999"/>
    <n v="182440.69"/>
    <n v="16617.330000000016"/>
    <n v="0.10021103178707763"/>
  </r>
  <r>
    <x v="2"/>
    <d v="2010-03-13T00:00:00"/>
    <x v="3"/>
    <x v="1"/>
    <x v="0"/>
    <x v="8"/>
    <x v="1"/>
    <n v="231639.62"/>
    <n v="254883.02"/>
    <n v="23243.399999999994"/>
    <n v="0.10034293787910718"/>
  </r>
  <r>
    <x v="2"/>
    <d v="2010-03-13T00:00:00"/>
    <x v="3"/>
    <x v="1"/>
    <x v="0"/>
    <x v="9"/>
    <x v="2"/>
    <n v="606630.48"/>
    <n v="650741.51"/>
    <n v="44111.030000000028"/>
    <n v="7.2714826330520066E-2"/>
  </r>
  <r>
    <x v="2"/>
    <d v="2010-03-13T00:00:00"/>
    <x v="3"/>
    <x v="1"/>
    <x v="0"/>
    <x v="10"/>
    <x v="2"/>
    <n v="288077.5"/>
    <n v="300829.42"/>
    <n v="12751.919999999984"/>
    <n v="4.4265588253160987E-2"/>
  </r>
  <r>
    <x v="2"/>
    <d v="2010-03-13T00:00:00"/>
    <x v="3"/>
    <x v="1"/>
    <x v="0"/>
    <x v="11"/>
    <x v="2"/>
    <n v="162362"/>
    <n v="172416.31"/>
    <n v="10054.309999999998"/>
    <n v="6.192526576415662E-2"/>
  </r>
  <r>
    <x v="2"/>
    <d v="2010-03-13T00:00:00"/>
    <x v="3"/>
    <x v="1"/>
    <x v="0"/>
    <x v="12"/>
    <x v="2"/>
    <n v="19225.150000000001"/>
    <n v="22019.14"/>
    <n v="2793.989999999998"/>
    <n v="0.14532994541004871"/>
  </r>
  <r>
    <x v="2"/>
    <d v="2010-03-13T00:00:00"/>
    <x v="3"/>
    <x v="1"/>
    <x v="0"/>
    <x v="26"/>
    <x v="3"/>
    <n v="34946.15"/>
    <n v="38430.53"/>
    <n v="3484.3799999999974"/>
    <n v="9.9707120813022243E-2"/>
  </r>
  <r>
    <x v="2"/>
    <d v="2010-03-13T00:00:00"/>
    <x v="3"/>
    <x v="1"/>
    <x v="0"/>
    <x v="13"/>
    <x v="3"/>
    <n v="211737.72"/>
    <n v="239141.65"/>
    <n v="27403.929999999993"/>
    <n v="0.12942394014632816"/>
  </r>
  <r>
    <x v="2"/>
    <d v="2010-03-13T00:00:00"/>
    <x v="3"/>
    <x v="1"/>
    <x v="0"/>
    <x v="14"/>
    <x v="3"/>
    <n v="193435.41"/>
    <n v="219739.21"/>
    <n v="26303.799999999988"/>
    <n v="0.13598234159919317"/>
  </r>
  <r>
    <x v="2"/>
    <d v="2010-03-13T00:00:00"/>
    <x v="3"/>
    <x v="1"/>
    <x v="0"/>
    <x v="15"/>
    <x v="3"/>
    <n v="1240990.81"/>
    <n v="1351528.41"/>
    <n v="110537.59999999986"/>
    <n v="8.9072053643974899E-2"/>
  </r>
  <r>
    <x v="2"/>
    <d v="2010-03-13T00:00:00"/>
    <x v="3"/>
    <x v="1"/>
    <x v="0"/>
    <x v="16"/>
    <x v="3"/>
    <n v="252153.96"/>
    <n v="283217.77"/>
    <n v="31063.810000000027"/>
    <n v="0.12319382174287498"/>
  </r>
  <r>
    <x v="2"/>
    <d v="2010-03-13T00:00:00"/>
    <x v="3"/>
    <x v="1"/>
    <x v="0"/>
    <x v="18"/>
    <x v="5"/>
    <n v="57065.24"/>
    <n v="72880.850000000006"/>
    <n v="15815.610000000008"/>
    <n v="0.27714962733881449"/>
  </r>
  <r>
    <x v="2"/>
    <d v="2010-03-13T00:00:00"/>
    <x v="3"/>
    <x v="1"/>
    <x v="0"/>
    <x v="19"/>
    <x v="5"/>
    <n v="28468.25"/>
    <n v="32734.06"/>
    <n v="4265.8100000000013"/>
    <n v="0.14984447586346197"/>
  </r>
  <r>
    <x v="2"/>
    <d v="2010-03-13T00:00:00"/>
    <x v="3"/>
    <x v="1"/>
    <x v="0"/>
    <x v="20"/>
    <x v="5"/>
    <n v="285047.96999999997"/>
    <n v="389423.49"/>
    <n v="104375.52000000002"/>
    <n v="0.36616826283660264"/>
  </r>
  <r>
    <x v="2"/>
    <d v="2010-03-13T00:00:00"/>
    <x v="3"/>
    <x v="1"/>
    <x v="0"/>
    <x v="21"/>
    <x v="5"/>
    <n v="1140"/>
    <n v="1424.81"/>
    <n v="284.80999999999995"/>
    <n v="0.2498333333333333"/>
  </r>
  <r>
    <x v="2"/>
    <d v="2010-03-13T00:00:00"/>
    <x v="3"/>
    <x v="1"/>
    <x v="0"/>
    <x v="22"/>
    <x v="6"/>
    <n v="4929.92"/>
    <n v="6406.93"/>
    <n v="1477.0100000000002"/>
    <n v="0.29960121056731148"/>
  </r>
  <r>
    <x v="2"/>
    <d v="2010-03-13T00:00:00"/>
    <x v="3"/>
    <x v="1"/>
    <x v="0"/>
    <x v="23"/>
    <x v="6"/>
    <n v="251981.55"/>
    <n v="261328.87"/>
    <n v="9347.320000000007"/>
    <n v="3.7095255585180772E-2"/>
  </r>
  <r>
    <x v="2"/>
    <d v="2010-03-13T00:00:00"/>
    <x v="3"/>
    <x v="1"/>
    <x v="0"/>
    <x v="24"/>
    <x v="6"/>
    <n v="541621.68000000005"/>
    <n v="581731.48"/>
    <n v="40109.79999999993"/>
    <n v="7.4055011978102367E-2"/>
  </r>
  <r>
    <x v="2"/>
    <d v="2010-03-13T00:00:00"/>
    <x v="3"/>
    <x v="1"/>
    <x v="0"/>
    <x v="25"/>
    <x v="6"/>
    <n v="556190.87"/>
    <n v="555369.47"/>
    <n v="-821.40000000002328"/>
    <n v="-1.4768311461136054E-3"/>
  </r>
  <r>
    <x v="2"/>
    <d v="2010-03-14T00:00:00"/>
    <x v="4"/>
    <x v="1"/>
    <x v="0"/>
    <x v="0"/>
    <x v="0"/>
    <n v="6222"/>
    <n v="7136.08"/>
    <n v="914.07999999999993"/>
    <n v="0.14691096110575377"/>
  </r>
  <r>
    <x v="2"/>
    <d v="2010-03-14T00:00:00"/>
    <x v="4"/>
    <x v="1"/>
    <x v="0"/>
    <x v="1"/>
    <x v="0"/>
    <n v="129680.11"/>
    <n v="175143.92"/>
    <n v="45463.810000000012"/>
    <n v="0.35058429546366066"/>
  </r>
  <r>
    <x v="2"/>
    <d v="2010-03-14T00:00:00"/>
    <x v="4"/>
    <x v="1"/>
    <x v="0"/>
    <x v="2"/>
    <x v="0"/>
    <n v="17058.439999999999"/>
    <n v="19110.23"/>
    <n v="2051.7900000000009"/>
    <n v="0.12028004905489606"/>
  </r>
  <r>
    <x v="2"/>
    <d v="2010-03-14T00:00:00"/>
    <x v="4"/>
    <x v="1"/>
    <x v="0"/>
    <x v="3"/>
    <x v="0"/>
    <n v="2296"/>
    <n v="2416.11"/>
    <n v="120.11000000000013"/>
    <n v="5.2312717770034899E-2"/>
  </r>
  <r>
    <x v="2"/>
    <d v="2010-03-14T00:00:00"/>
    <x v="4"/>
    <x v="1"/>
    <x v="0"/>
    <x v="4"/>
    <x v="0"/>
    <n v="2585"/>
    <n v="2936.03"/>
    <n v="351.0300000000002"/>
    <n v="0.13579497098646043"/>
  </r>
  <r>
    <x v="2"/>
    <d v="2010-03-14T00:00:00"/>
    <x v="4"/>
    <x v="1"/>
    <x v="0"/>
    <x v="5"/>
    <x v="1"/>
    <n v="122286.01"/>
    <n v="138351.28"/>
    <n v="16065.270000000004"/>
    <n v="0.13137455380218885"/>
  </r>
  <r>
    <x v="2"/>
    <d v="2010-03-14T00:00:00"/>
    <x v="4"/>
    <x v="1"/>
    <x v="0"/>
    <x v="6"/>
    <x v="1"/>
    <n v="477166.15"/>
    <n v="515912.75"/>
    <n v="38746.599999999977"/>
    <n v="8.1201485059239797E-2"/>
  </r>
  <r>
    <x v="2"/>
    <d v="2010-03-14T00:00:00"/>
    <x v="4"/>
    <x v="1"/>
    <x v="0"/>
    <x v="7"/>
    <x v="1"/>
    <n v="114416.83"/>
    <n v="127148.79"/>
    <n v="12731.959999999992"/>
    <n v="0.11127698608674957"/>
  </r>
  <r>
    <x v="2"/>
    <d v="2010-03-14T00:00:00"/>
    <x v="4"/>
    <x v="1"/>
    <x v="0"/>
    <x v="8"/>
    <x v="1"/>
    <n v="192399.14"/>
    <n v="211903.08"/>
    <n v="19503.939999999973"/>
    <n v="0.10137228264118006"/>
  </r>
  <r>
    <x v="2"/>
    <d v="2010-03-14T00:00:00"/>
    <x v="4"/>
    <x v="1"/>
    <x v="0"/>
    <x v="9"/>
    <x v="2"/>
    <n v="285736.99"/>
    <n v="306206.63"/>
    <n v="20469.640000000014"/>
    <n v="7.1638047282572739E-2"/>
  </r>
  <r>
    <x v="2"/>
    <d v="2010-03-14T00:00:00"/>
    <x v="4"/>
    <x v="1"/>
    <x v="0"/>
    <x v="10"/>
    <x v="2"/>
    <n v="199465.1"/>
    <n v="207528.7"/>
    <n v="8063.6000000000058"/>
    <n v="4.0426119657022738E-2"/>
  </r>
  <r>
    <x v="2"/>
    <d v="2010-03-14T00:00:00"/>
    <x v="4"/>
    <x v="1"/>
    <x v="0"/>
    <x v="11"/>
    <x v="2"/>
    <n v="103743"/>
    <n v="110428.43"/>
    <n v="6685.429999999993"/>
    <n v="6.4442227427392626E-2"/>
  </r>
  <r>
    <x v="2"/>
    <d v="2010-03-14T00:00:00"/>
    <x v="4"/>
    <x v="1"/>
    <x v="0"/>
    <x v="12"/>
    <x v="2"/>
    <n v="30991.5"/>
    <n v="33602.75"/>
    <n v="2611.25"/>
    <n v="8.425697368633335E-2"/>
  </r>
  <r>
    <x v="2"/>
    <d v="2010-03-14T00:00:00"/>
    <x v="4"/>
    <x v="1"/>
    <x v="0"/>
    <x v="26"/>
    <x v="3"/>
    <n v="16836.05"/>
    <n v="18796.88"/>
    <n v="1960.8300000000017"/>
    <n v="0.11646615447210015"/>
  </r>
  <r>
    <x v="2"/>
    <d v="2010-03-14T00:00:00"/>
    <x v="4"/>
    <x v="1"/>
    <x v="0"/>
    <x v="13"/>
    <x v="3"/>
    <n v="177634.91"/>
    <n v="200650.18"/>
    <n v="23015.26999999999"/>
    <n v="0.12956501624596195"/>
  </r>
  <r>
    <x v="2"/>
    <d v="2010-03-14T00:00:00"/>
    <x v="4"/>
    <x v="1"/>
    <x v="0"/>
    <x v="14"/>
    <x v="3"/>
    <n v="88679.65"/>
    <n v="98880.97"/>
    <n v="10201.320000000007"/>
    <n v="0.11503563669906239"/>
  </r>
  <r>
    <x v="2"/>
    <d v="2010-03-14T00:00:00"/>
    <x v="4"/>
    <x v="1"/>
    <x v="0"/>
    <x v="15"/>
    <x v="3"/>
    <n v="858942.07"/>
    <n v="941454.54"/>
    <n v="82512.470000000088"/>
    <n v="9.6062904451752015E-2"/>
  </r>
  <r>
    <x v="2"/>
    <d v="2010-03-14T00:00:00"/>
    <x v="4"/>
    <x v="1"/>
    <x v="0"/>
    <x v="16"/>
    <x v="3"/>
    <n v="179139.98"/>
    <n v="202025.36"/>
    <n v="22885.379999999976"/>
    <n v="0.12775138190815905"/>
  </r>
  <r>
    <x v="2"/>
    <d v="2010-03-14T00:00:00"/>
    <x v="4"/>
    <x v="1"/>
    <x v="0"/>
    <x v="18"/>
    <x v="5"/>
    <n v="45670.559999999998"/>
    <n v="53340.160000000003"/>
    <n v="7669.6000000000058"/>
    <n v="0.1679331280369675"/>
  </r>
  <r>
    <x v="2"/>
    <d v="2010-03-14T00:00:00"/>
    <x v="4"/>
    <x v="1"/>
    <x v="0"/>
    <x v="19"/>
    <x v="5"/>
    <n v="47618.400000000001"/>
    <n v="54753.96"/>
    <n v="7135.5599999999977"/>
    <n v="0.14984879794365197"/>
  </r>
  <r>
    <x v="2"/>
    <d v="2010-03-14T00:00:00"/>
    <x v="4"/>
    <x v="1"/>
    <x v="0"/>
    <x v="20"/>
    <x v="5"/>
    <n v="229190.31"/>
    <n v="320647.25"/>
    <n v="91456.94"/>
    <n v="0.39904365939380249"/>
  </r>
  <r>
    <x v="2"/>
    <d v="2010-03-14T00:00:00"/>
    <x v="4"/>
    <x v="1"/>
    <x v="0"/>
    <x v="21"/>
    <x v="5"/>
    <n v="684"/>
    <n v="854.86"/>
    <n v="170.86"/>
    <n v="0.24979532163742693"/>
  </r>
  <r>
    <x v="2"/>
    <d v="2010-03-14T00:00:00"/>
    <x v="4"/>
    <x v="1"/>
    <x v="0"/>
    <x v="22"/>
    <x v="6"/>
    <n v="3200.88"/>
    <n v="4159.43"/>
    <n v="958.55000000000018"/>
    <n v="0.29946452225637954"/>
  </r>
  <r>
    <x v="2"/>
    <d v="2010-03-14T00:00:00"/>
    <x v="4"/>
    <x v="1"/>
    <x v="0"/>
    <x v="23"/>
    <x v="6"/>
    <n v="192404.24"/>
    <n v="196698.8"/>
    <n v="4294.5599999999977"/>
    <n v="2.2320506034586338E-2"/>
  </r>
  <r>
    <x v="2"/>
    <d v="2010-03-14T00:00:00"/>
    <x v="4"/>
    <x v="1"/>
    <x v="0"/>
    <x v="24"/>
    <x v="6"/>
    <n v="475876.68"/>
    <n v="512228.04"/>
    <n v="36351.359999999986"/>
    <n v="7.6388193680766173E-2"/>
  </r>
  <r>
    <x v="2"/>
    <d v="2010-03-14T00:00:00"/>
    <x v="4"/>
    <x v="1"/>
    <x v="0"/>
    <x v="25"/>
    <x v="6"/>
    <n v="475655.77"/>
    <n v="473001.58"/>
    <n v="-2654.1900000000023"/>
    <n v="-5.5800647598577479E-3"/>
  </r>
  <r>
    <x v="2"/>
    <d v="2010-03-15T00:00:00"/>
    <x v="4"/>
    <x v="1"/>
    <x v="0"/>
    <x v="0"/>
    <x v="0"/>
    <n v="3927"/>
    <n v="4803.8900000000003"/>
    <n v="876.89000000000033"/>
    <n v="0.2232976827094475"/>
  </r>
  <r>
    <x v="2"/>
    <d v="2010-03-15T00:00:00"/>
    <x v="4"/>
    <x v="1"/>
    <x v="0"/>
    <x v="1"/>
    <x v="0"/>
    <n v="66238.600000000006"/>
    <n v="92849.600000000006"/>
    <n v="26611"/>
    <n v="0.40174460209002"/>
  </r>
  <r>
    <x v="2"/>
    <d v="2010-03-15T00:00:00"/>
    <x v="4"/>
    <x v="1"/>
    <x v="0"/>
    <x v="2"/>
    <x v="0"/>
    <n v="14917.76"/>
    <n v="16822.84"/>
    <n v="1905.08"/>
    <n v="0.12770550002145092"/>
  </r>
  <r>
    <x v="2"/>
    <d v="2010-03-15T00:00:00"/>
    <x v="4"/>
    <x v="1"/>
    <x v="0"/>
    <x v="5"/>
    <x v="1"/>
    <n v="91187.49"/>
    <n v="100206.99"/>
    <n v="9019.5"/>
    <n v="9.8911594123272828E-2"/>
  </r>
  <r>
    <x v="2"/>
    <d v="2010-03-15T00:00:00"/>
    <x v="4"/>
    <x v="1"/>
    <x v="0"/>
    <x v="6"/>
    <x v="1"/>
    <n v="299204.81"/>
    <n v="322727.46999999997"/>
    <n v="23522.659999999974"/>
    <n v="7.8617252175858993E-2"/>
  </r>
  <r>
    <x v="2"/>
    <d v="2010-03-15T00:00:00"/>
    <x v="4"/>
    <x v="1"/>
    <x v="0"/>
    <x v="7"/>
    <x v="1"/>
    <n v="93558.37"/>
    <n v="104247"/>
    <n v="10688.630000000005"/>
    <n v="0.11424557738660908"/>
  </r>
  <r>
    <x v="2"/>
    <d v="2010-03-15T00:00:00"/>
    <x v="4"/>
    <x v="1"/>
    <x v="0"/>
    <x v="8"/>
    <x v="1"/>
    <n v="141308.07"/>
    <n v="155746.87"/>
    <n v="14438.799999999988"/>
    <n v="0.10217958535559921"/>
  </r>
  <r>
    <x v="2"/>
    <d v="2010-03-15T00:00:00"/>
    <x v="4"/>
    <x v="1"/>
    <x v="0"/>
    <x v="9"/>
    <x v="2"/>
    <n v="204402.99"/>
    <n v="220094.55"/>
    <n v="15691.559999999998"/>
    <n v="7.6767761567479997E-2"/>
  </r>
  <r>
    <x v="2"/>
    <d v="2010-03-15T00:00:00"/>
    <x v="4"/>
    <x v="1"/>
    <x v="0"/>
    <x v="10"/>
    <x v="2"/>
    <n v="112010.7"/>
    <n v="117485.6"/>
    <n v="5474.9000000000087"/>
    <n v="4.8878366084668778E-2"/>
  </r>
  <r>
    <x v="2"/>
    <d v="2010-03-15T00:00:00"/>
    <x v="4"/>
    <x v="1"/>
    <x v="0"/>
    <x v="11"/>
    <x v="2"/>
    <n v="67516"/>
    <n v="72205.3"/>
    <n v="4689.3000000000029"/>
    <n v="6.9454647787191223E-2"/>
  </r>
  <r>
    <x v="2"/>
    <d v="2010-03-15T00:00:00"/>
    <x v="4"/>
    <x v="1"/>
    <x v="0"/>
    <x v="12"/>
    <x v="2"/>
    <n v="27651.599999999999"/>
    <n v="29924.57"/>
    <n v="2272.9700000000012"/>
    <n v="8.2200306673031631E-2"/>
  </r>
  <r>
    <x v="2"/>
    <d v="2010-03-15T00:00:00"/>
    <x v="4"/>
    <x v="1"/>
    <x v="0"/>
    <x v="26"/>
    <x v="3"/>
    <n v="6668.96"/>
    <n v="7365.85"/>
    <n v="696.89000000000033"/>
    <n v="0.10449755284182247"/>
  </r>
  <r>
    <x v="2"/>
    <d v="2010-03-15T00:00:00"/>
    <x v="4"/>
    <x v="1"/>
    <x v="0"/>
    <x v="13"/>
    <x v="3"/>
    <n v="119243.79"/>
    <n v="134267.43"/>
    <n v="15023.64"/>
    <n v="0.12599096355458009"/>
  </r>
  <r>
    <x v="2"/>
    <d v="2010-03-15T00:00:00"/>
    <x v="4"/>
    <x v="1"/>
    <x v="0"/>
    <x v="14"/>
    <x v="3"/>
    <n v="72060.070000000007"/>
    <n v="79441.37"/>
    <n v="7381.2999999999884"/>
    <n v="0.10243259547208305"/>
  </r>
  <r>
    <x v="2"/>
    <d v="2010-03-15T00:00:00"/>
    <x v="4"/>
    <x v="1"/>
    <x v="0"/>
    <x v="15"/>
    <x v="3"/>
    <n v="527186.63"/>
    <n v="576635.22"/>
    <n v="49448.589999999967"/>
    <n v="9.3797124559095835E-2"/>
  </r>
  <r>
    <x v="2"/>
    <d v="2010-03-15T00:00:00"/>
    <x v="4"/>
    <x v="1"/>
    <x v="0"/>
    <x v="16"/>
    <x v="3"/>
    <n v="101802.3"/>
    <n v="114698.24000000001"/>
    <n v="12895.940000000002"/>
    <n v="0.12667631281415059"/>
  </r>
  <r>
    <x v="2"/>
    <d v="2010-03-15T00:00:00"/>
    <x v="4"/>
    <x v="1"/>
    <x v="0"/>
    <x v="18"/>
    <x v="5"/>
    <n v="29248.44"/>
    <n v="34766.5"/>
    <n v="5518.0600000000013"/>
    <n v="0.1886616858882047"/>
  </r>
  <r>
    <x v="2"/>
    <d v="2010-03-15T00:00:00"/>
    <x v="4"/>
    <x v="1"/>
    <x v="0"/>
    <x v="19"/>
    <x v="5"/>
    <n v="13231.59"/>
    <n v="15213.78"/>
    <n v="1982.1900000000005"/>
    <n v="0.14980739276232111"/>
  </r>
  <r>
    <x v="2"/>
    <d v="2010-03-15T00:00:00"/>
    <x v="4"/>
    <x v="1"/>
    <x v="0"/>
    <x v="20"/>
    <x v="5"/>
    <n v="165344.51"/>
    <n v="233775.81"/>
    <n v="68431.299999999988"/>
    <n v="0.41387101392117576"/>
  </r>
  <r>
    <x v="2"/>
    <d v="2010-03-15T00:00:00"/>
    <x v="4"/>
    <x v="1"/>
    <x v="0"/>
    <x v="21"/>
    <x v="5"/>
    <n v="608"/>
    <n v="760"/>
    <n v="152"/>
    <n v="0.25"/>
  </r>
  <r>
    <x v="2"/>
    <d v="2010-03-15T00:00:00"/>
    <x v="4"/>
    <x v="1"/>
    <x v="0"/>
    <x v="22"/>
    <x v="6"/>
    <n v="2030.28"/>
    <n v="2637.27"/>
    <n v="606.99"/>
    <n v="0.29896861516638101"/>
  </r>
  <r>
    <x v="2"/>
    <d v="2010-03-15T00:00:00"/>
    <x v="4"/>
    <x v="1"/>
    <x v="0"/>
    <x v="23"/>
    <x v="6"/>
    <n v="123797.26"/>
    <n v="132175.54999999999"/>
    <n v="8378.2899999999936"/>
    <n v="6.7677507563576073E-2"/>
  </r>
  <r>
    <x v="2"/>
    <d v="2010-03-15T00:00:00"/>
    <x v="4"/>
    <x v="1"/>
    <x v="0"/>
    <x v="24"/>
    <x v="6"/>
    <n v="271247.24"/>
    <n v="291395.67"/>
    <n v="20148.429999999993"/>
    <n v="7.4280682081778945E-2"/>
  </r>
  <r>
    <x v="2"/>
    <d v="2010-03-15T00:00:00"/>
    <x v="4"/>
    <x v="1"/>
    <x v="0"/>
    <x v="25"/>
    <x v="6"/>
    <n v="234118.37"/>
    <n v="226140.65"/>
    <n v="-7977.7200000000012"/>
    <n v="-3.4075583218864891E-2"/>
  </r>
  <r>
    <x v="2"/>
    <d v="2010-03-16T00:00:00"/>
    <x v="4"/>
    <x v="1"/>
    <x v="0"/>
    <x v="0"/>
    <x v="0"/>
    <n v="3536"/>
    <n v="4418.74"/>
    <n v="882.73999999999978"/>
    <n v="0.24964366515837097"/>
  </r>
  <r>
    <x v="2"/>
    <d v="2010-03-16T00:00:00"/>
    <x v="4"/>
    <x v="1"/>
    <x v="0"/>
    <x v="1"/>
    <x v="0"/>
    <n v="117850.49"/>
    <n v="155989.06"/>
    <n v="38138.569999999992"/>
    <n v="0.32361825563898794"/>
  </r>
  <r>
    <x v="2"/>
    <d v="2010-03-16T00:00:00"/>
    <x v="4"/>
    <x v="1"/>
    <x v="0"/>
    <x v="2"/>
    <x v="0"/>
    <n v="27616.54"/>
    <n v="31219.43"/>
    <n v="3602.8899999999994"/>
    <n v="0.13046131050450199"/>
  </r>
  <r>
    <x v="2"/>
    <d v="2010-03-16T00:00:00"/>
    <x v="4"/>
    <x v="1"/>
    <x v="0"/>
    <x v="3"/>
    <x v="0"/>
    <n v="1722"/>
    <n v="1905.23"/>
    <n v="183.23000000000002"/>
    <n v="0.10640534262485483"/>
  </r>
  <r>
    <x v="2"/>
    <d v="2010-03-16T00:00:00"/>
    <x v="4"/>
    <x v="1"/>
    <x v="0"/>
    <x v="4"/>
    <x v="0"/>
    <n v="1140"/>
    <n v="1237.8800000000001"/>
    <n v="97.880000000000109"/>
    <n v="8.5859649122807108E-2"/>
  </r>
  <r>
    <x v="2"/>
    <d v="2010-03-16T00:00:00"/>
    <x v="4"/>
    <x v="1"/>
    <x v="0"/>
    <x v="5"/>
    <x v="1"/>
    <n v="82732.37"/>
    <n v="90658.43"/>
    <n v="7926.0599999999977"/>
    <n v="9.5803613507022684E-2"/>
  </r>
  <r>
    <x v="2"/>
    <d v="2010-03-16T00:00:00"/>
    <x v="4"/>
    <x v="1"/>
    <x v="0"/>
    <x v="6"/>
    <x v="1"/>
    <n v="427857.33"/>
    <n v="449226.08"/>
    <n v="21368.75"/>
    <n v="4.9943634248360312E-2"/>
  </r>
  <r>
    <x v="2"/>
    <d v="2010-03-16T00:00:00"/>
    <x v="4"/>
    <x v="1"/>
    <x v="0"/>
    <x v="7"/>
    <x v="1"/>
    <n v="76870.080000000002"/>
    <n v="84094"/>
    <n v="7223.9199999999983"/>
    <n v="9.3975705502062676E-2"/>
  </r>
  <r>
    <x v="2"/>
    <d v="2010-03-16T00:00:00"/>
    <x v="4"/>
    <x v="1"/>
    <x v="0"/>
    <x v="8"/>
    <x v="1"/>
    <n v="155743.01999999999"/>
    <n v="167514.99"/>
    <n v="11771.970000000001"/>
    <n v="7.5585859321335894E-2"/>
  </r>
  <r>
    <x v="2"/>
    <d v="2010-03-16T00:00:00"/>
    <x v="4"/>
    <x v="1"/>
    <x v="0"/>
    <x v="9"/>
    <x v="2"/>
    <n v="205967.48"/>
    <n v="224377.62"/>
    <n v="18410.139999999985"/>
    <n v="8.9383722129338011E-2"/>
  </r>
  <r>
    <x v="2"/>
    <d v="2010-03-16T00:00:00"/>
    <x v="4"/>
    <x v="1"/>
    <x v="0"/>
    <x v="10"/>
    <x v="2"/>
    <n v="101368.8"/>
    <n v="106586.96"/>
    <n v="5218.1600000000035"/>
    <n v="5.1476983055930459E-2"/>
  </r>
  <r>
    <x v="2"/>
    <d v="2010-03-16T00:00:00"/>
    <x v="4"/>
    <x v="1"/>
    <x v="0"/>
    <x v="11"/>
    <x v="2"/>
    <n v="53754"/>
    <n v="57326.37"/>
    <n v="3572.3700000000026"/>
    <n v="6.6457751981247953E-2"/>
  </r>
  <r>
    <x v="2"/>
    <d v="2010-03-16T00:00:00"/>
    <x v="4"/>
    <x v="1"/>
    <x v="0"/>
    <x v="12"/>
    <x v="2"/>
    <n v="12282.55"/>
    <n v="13971.93"/>
    <n v="1689.380000000001"/>
    <n v="0.13754309976348569"/>
  </r>
  <r>
    <x v="2"/>
    <d v="2010-03-16T00:00:00"/>
    <x v="4"/>
    <x v="1"/>
    <x v="0"/>
    <x v="26"/>
    <x v="3"/>
    <n v="7347.69"/>
    <n v="8168.92"/>
    <n v="821.23000000000047"/>
    <n v="0.11176709959184458"/>
  </r>
  <r>
    <x v="2"/>
    <d v="2010-03-16T00:00:00"/>
    <x v="4"/>
    <x v="1"/>
    <x v="0"/>
    <x v="13"/>
    <x v="3"/>
    <n v="89322.21"/>
    <n v="100778.52"/>
    <n v="11456.309999999998"/>
    <n v="0.1282582461853552"/>
  </r>
  <r>
    <x v="2"/>
    <d v="2010-03-16T00:00:00"/>
    <x v="4"/>
    <x v="1"/>
    <x v="0"/>
    <x v="14"/>
    <x v="3"/>
    <n v="50058.04"/>
    <n v="56576.66"/>
    <n v="6518.6200000000026"/>
    <n v="0.13022123918555345"/>
  </r>
  <r>
    <x v="2"/>
    <d v="2010-03-16T00:00:00"/>
    <x v="4"/>
    <x v="1"/>
    <x v="0"/>
    <x v="15"/>
    <x v="3"/>
    <n v="460201.77"/>
    <n v="501496.68"/>
    <n v="41294.909999999974"/>
    <n v="8.9732184211286217E-2"/>
  </r>
  <r>
    <x v="2"/>
    <d v="2010-03-16T00:00:00"/>
    <x v="4"/>
    <x v="1"/>
    <x v="0"/>
    <x v="16"/>
    <x v="3"/>
    <n v="92350.96"/>
    <n v="103618.82"/>
    <n v="11267.86"/>
    <n v="0.12201129257346106"/>
  </r>
  <r>
    <x v="2"/>
    <d v="2010-03-16T00:00:00"/>
    <x v="4"/>
    <x v="1"/>
    <x v="0"/>
    <x v="18"/>
    <x v="5"/>
    <n v="17725.09"/>
    <n v="22420.85"/>
    <n v="4695.7599999999984"/>
    <n v="0.26492164496767001"/>
  </r>
  <r>
    <x v="2"/>
    <d v="2010-03-16T00:00:00"/>
    <x v="4"/>
    <x v="1"/>
    <x v="0"/>
    <x v="19"/>
    <x v="5"/>
    <n v="19596.55"/>
    <n v="22531.040000000001"/>
    <n v="2934.4900000000016"/>
    <n v="0.14974523576854099"/>
  </r>
  <r>
    <x v="2"/>
    <d v="2010-03-16T00:00:00"/>
    <x v="4"/>
    <x v="1"/>
    <x v="0"/>
    <x v="20"/>
    <x v="5"/>
    <n v="188473.51"/>
    <n v="262804.55"/>
    <n v="74331.039999999979"/>
    <n v="0.39438454772768849"/>
  </r>
  <r>
    <x v="2"/>
    <d v="2010-03-16T00:00:00"/>
    <x v="4"/>
    <x v="1"/>
    <x v="0"/>
    <x v="22"/>
    <x v="6"/>
    <n v="2155.92"/>
    <n v="2802.31"/>
    <n v="646.38999999999987"/>
    <n v="0.29982095810605208"/>
  </r>
  <r>
    <x v="2"/>
    <d v="2010-03-16T00:00:00"/>
    <x v="4"/>
    <x v="1"/>
    <x v="0"/>
    <x v="23"/>
    <x v="6"/>
    <n v="69393.66"/>
    <n v="74289.22"/>
    <n v="4895.5599999999977"/>
    <n v="7.0547655218070313E-2"/>
  </r>
  <r>
    <x v="2"/>
    <d v="2010-03-16T00:00:00"/>
    <x v="4"/>
    <x v="1"/>
    <x v="0"/>
    <x v="24"/>
    <x v="6"/>
    <n v="223816.03"/>
    <n v="241688.39"/>
    <n v="17872.360000000015"/>
    <n v="7.9852904191000149E-2"/>
  </r>
  <r>
    <x v="2"/>
    <d v="2010-03-16T00:00:00"/>
    <x v="4"/>
    <x v="1"/>
    <x v="0"/>
    <x v="25"/>
    <x v="6"/>
    <n v="173759"/>
    <n v="173342.19"/>
    <n v="-416.80999999999767"/>
    <n v="-2.3987822213525495E-3"/>
  </r>
  <r>
    <x v="2"/>
    <d v="2010-03-17T00:00:00"/>
    <x v="4"/>
    <x v="1"/>
    <x v="0"/>
    <x v="0"/>
    <x v="0"/>
    <n v="11087"/>
    <n v="13147.04"/>
    <n v="2060.0400000000009"/>
    <n v="0.18580680075764416"/>
  </r>
  <r>
    <x v="2"/>
    <d v="2010-03-17T00:00:00"/>
    <x v="4"/>
    <x v="1"/>
    <x v="0"/>
    <x v="1"/>
    <x v="0"/>
    <n v="170314.03"/>
    <n v="217582.78"/>
    <n v="47268.75"/>
    <n v="0.27753879113775887"/>
  </r>
  <r>
    <x v="2"/>
    <d v="2010-03-17T00:00:00"/>
    <x v="4"/>
    <x v="1"/>
    <x v="0"/>
    <x v="2"/>
    <x v="0"/>
    <n v="15738.45"/>
    <n v="17716.96"/>
    <n v="1978.5099999999984"/>
    <n v="0.12571187124526229"/>
  </r>
  <r>
    <x v="2"/>
    <d v="2010-03-17T00:00:00"/>
    <x v="4"/>
    <x v="1"/>
    <x v="0"/>
    <x v="4"/>
    <x v="0"/>
    <n v="3524"/>
    <n v="3937.35"/>
    <n v="413.34999999999991"/>
    <n v="0.11729568671963675"/>
  </r>
  <r>
    <x v="2"/>
    <d v="2010-03-17T00:00:00"/>
    <x v="4"/>
    <x v="1"/>
    <x v="0"/>
    <x v="5"/>
    <x v="1"/>
    <n v="101833.89"/>
    <n v="111695.82"/>
    <n v="9861.9300000000076"/>
    <n v="9.6843300398325227E-2"/>
  </r>
  <r>
    <x v="2"/>
    <d v="2010-03-17T00:00:00"/>
    <x v="4"/>
    <x v="1"/>
    <x v="0"/>
    <x v="6"/>
    <x v="1"/>
    <n v="451102.25"/>
    <n v="473325.05"/>
    <n v="22222.799999999988"/>
    <n v="4.9263332204616553E-2"/>
  </r>
  <r>
    <x v="2"/>
    <d v="2010-03-17T00:00:00"/>
    <x v="4"/>
    <x v="1"/>
    <x v="0"/>
    <x v="7"/>
    <x v="1"/>
    <n v="110808.98"/>
    <n v="122721.25"/>
    <n v="11912.270000000004"/>
    <n v="0.10750274932591207"/>
  </r>
  <r>
    <x v="2"/>
    <d v="2010-03-17T00:00:00"/>
    <x v="4"/>
    <x v="1"/>
    <x v="0"/>
    <x v="8"/>
    <x v="1"/>
    <n v="167001"/>
    <n v="179274.36"/>
    <n v="12273.359999999986"/>
    <n v="7.3492733576445562E-2"/>
  </r>
  <r>
    <x v="2"/>
    <d v="2010-03-17T00:00:00"/>
    <x v="4"/>
    <x v="1"/>
    <x v="0"/>
    <x v="9"/>
    <x v="2"/>
    <n v="338873.48"/>
    <n v="360581.74"/>
    <n v="21708.260000000009"/>
    <n v="6.4060073393763392E-2"/>
  </r>
  <r>
    <x v="2"/>
    <d v="2010-03-17T00:00:00"/>
    <x v="4"/>
    <x v="1"/>
    <x v="0"/>
    <x v="10"/>
    <x v="2"/>
    <n v="183395.16"/>
    <n v="191981.42"/>
    <n v="8586.2600000000093"/>
    <n v="4.6818356602213541E-2"/>
  </r>
  <r>
    <x v="2"/>
    <d v="2010-03-17T00:00:00"/>
    <x v="4"/>
    <x v="1"/>
    <x v="0"/>
    <x v="11"/>
    <x v="2"/>
    <n v="76501"/>
    <n v="81299.44"/>
    <n v="4798.4400000000023"/>
    <n v="6.2723885962275031E-2"/>
  </r>
  <r>
    <x v="2"/>
    <d v="2010-03-17T00:00:00"/>
    <x v="4"/>
    <x v="1"/>
    <x v="0"/>
    <x v="12"/>
    <x v="2"/>
    <n v="13646.3"/>
    <n v="15612.05"/>
    <n v="1965.75"/>
    <n v="0.14405003554076931"/>
  </r>
  <r>
    <x v="2"/>
    <d v="2010-03-17T00:00:00"/>
    <x v="4"/>
    <x v="1"/>
    <x v="0"/>
    <x v="26"/>
    <x v="3"/>
    <n v="10575.53"/>
    <n v="11958.65"/>
    <n v="1383.119999999999"/>
    <n v="0.13078493465575711"/>
  </r>
  <r>
    <x v="2"/>
    <d v="2010-03-17T00:00:00"/>
    <x v="4"/>
    <x v="1"/>
    <x v="0"/>
    <x v="13"/>
    <x v="3"/>
    <n v="104591.83"/>
    <n v="118648.71"/>
    <n v="14056.880000000005"/>
    <n v="0.13439749548315585"/>
  </r>
  <r>
    <x v="2"/>
    <d v="2010-03-17T00:00:00"/>
    <x v="4"/>
    <x v="1"/>
    <x v="0"/>
    <x v="14"/>
    <x v="3"/>
    <n v="66699.87"/>
    <n v="75106.3"/>
    <n v="8406.4300000000076"/>
    <n v="0.12603367892621092"/>
  </r>
  <r>
    <x v="2"/>
    <d v="2010-03-17T00:00:00"/>
    <x v="4"/>
    <x v="1"/>
    <x v="0"/>
    <x v="15"/>
    <x v="3"/>
    <n v="539223.98"/>
    <n v="584815.35"/>
    <n v="45591.369999999995"/>
    <n v="8.4549967529263068E-2"/>
  </r>
  <r>
    <x v="2"/>
    <d v="2010-03-17T00:00:00"/>
    <x v="4"/>
    <x v="1"/>
    <x v="0"/>
    <x v="16"/>
    <x v="3"/>
    <n v="64967.98"/>
    <n v="73374.17"/>
    <n v="8406.1899999999951"/>
    <n v="0.12938973937622802"/>
  </r>
  <r>
    <x v="2"/>
    <d v="2010-03-17T00:00:00"/>
    <x v="4"/>
    <x v="1"/>
    <x v="0"/>
    <x v="18"/>
    <x v="5"/>
    <n v="23011.42"/>
    <n v="30443.48"/>
    <n v="7432.0600000000013"/>
    <n v="0.32297268052123695"/>
  </r>
  <r>
    <x v="2"/>
    <d v="2010-03-17T00:00:00"/>
    <x v="4"/>
    <x v="1"/>
    <x v="0"/>
    <x v="19"/>
    <x v="5"/>
    <n v="19902.349999999999"/>
    <n v="22884.02"/>
    <n v="2981.6700000000019"/>
    <n v="0.14981497159883139"/>
  </r>
  <r>
    <x v="2"/>
    <d v="2010-03-17T00:00:00"/>
    <x v="4"/>
    <x v="1"/>
    <x v="0"/>
    <x v="20"/>
    <x v="5"/>
    <n v="160798.01999999999"/>
    <n v="225363.35"/>
    <n v="64565.330000000016"/>
    <n v="0.40153062830002523"/>
  </r>
  <r>
    <x v="2"/>
    <d v="2010-03-17T00:00:00"/>
    <x v="4"/>
    <x v="1"/>
    <x v="0"/>
    <x v="21"/>
    <x v="5"/>
    <n v="760"/>
    <n v="949.97"/>
    <n v="189.97000000000003"/>
    <n v="0.24996052631578952"/>
  </r>
  <r>
    <x v="2"/>
    <d v="2010-03-17T00:00:00"/>
    <x v="4"/>
    <x v="1"/>
    <x v="0"/>
    <x v="22"/>
    <x v="6"/>
    <n v="371.6"/>
    <n v="483.07"/>
    <n v="111.46999999999997"/>
    <n v="0.29997308934337991"/>
  </r>
  <r>
    <x v="2"/>
    <d v="2010-03-17T00:00:00"/>
    <x v="4"/>
    <x v="1"/>
    <x v="0"/>
    <x v="23"/>
    <x v="6"/>
    <n v="105836.29"/>
    <n v="109633.53"/>
    <n v="3797.2400000000052"/>
    <n v="3.5878430734864249E-2"/>
  </r>
  <r>
    <x v="2"/>
    <d v="2010-03-17T00:00:00"/>
    <x v="4"/>
    <x v="1"/>
    <x v="0"/>
    <x v="24"/>
    <x v="6"/>
    <n v="370788.52"/>
    <n v="394415.78"/>
    <n v="23627.260000000009"/>
    <n v="6.3721659990983559E-2"/>
  </r>
  <r>
    <x v="2"/>
    <d v="2010-03-17T00:00:00"/>
    <x v="4"/>
    <x v="1"/>
    <x v="0"/>
    <x v="25"/>
    <x v="6"/>
    <n v="276273.24"/>
    <n v="284734.27"/>
    <n v="8461.0300000000279"/>
    <n v="3.0625586466499717E-2"/>
  </r>
  <r>
    <x v="2"/>
    <d v="2010-03-18T00:00:00"/>
    <x v="4"/>
    <x v="1"/>
    <x v="0"/>
    <x v="0"/>
    <x v="0"/>
    <n v="12698"/>
    <n v="15072.16"/>
    <n v="2374.16"/>
    <n v="0.18697117656323831"/>
  </r>
  <r>
    <x v="2"/>
    <d v="2010-03-18T00:00:00"/>
    <x v="4"/>
    <x v="1"/>
    <x v="0"/>
    <x v="1"/>
    <x v="0"/>
    <n v="193073.35"/>
    <n v="251895.25"/>
    <n v="58821.899999999994"/>
    <n v="0.30466089701142074"/>
  </r>
  <r>
    <x v="2"/>
    <d v="2010-03-18T00:00:00"/>
    <x v="4"/>
    <x v="1"/>
    <x v="0"/>
    <x v="2"/>
    <x v="0"/>
    <n v="27638.34"/>
    <n v="31016.14"/>
    <n v="3377.7999999999993"/>
    <n v="0.12221428638623011"/>
  </r>
  <r>
    <x v="2"/>
    <d v="2010-03-18T00:00:00"/>
    <x v="4"/>
    <x v="1"/>
    <x v="0"/>
    <x v="3"/>
    <x v="0"/>
    <n v="574"/>
    <n v="585.39"/>
    <n v="11.389999999999986"/>
    <n v="1.9843205574912866E-2"/>
  </r>
  <r>
    <x v="2"/>
    <d v="2010-03-18T00:00:00"/>
    <x v="4"/>
    <x v="1"/>
    <x v="0"/>
    <x v="4"/>
    <x v="0"/>
    <n v="2642"/>
    <n v="2961.38"/>
    <n v="319.38000000000011"/>
    <n v="0.12088569265707801"/>
  </r>
  <r>
    <x v="2"/>
    <d v="2010-03-18T00:00:00"/>
    <x v="4"/>
    <x v="1"/>
    <x v="0"/>
    <x v="5"/>
    <x v="1"/>
    <n v="76875.92"/>
    <n v="84328.69"/>
    <n v="7452.7700000000041"/>
    <n v="9.6945441433416393E-2"/>
  </r>
  <r>
    <x v="2"/>
    <d v="2010-03-18T00:00:00"/>
    <x v="4"/>
    <x v="1"/>
    <x v="0"/>
    <x v="6"/>
    <x v="1"/>
    <n v="457472.92"/>
    <n v="481147.07"/>
    <n v="23674.150000000023"/>
    <n v="5.1749839094300976E-2"/>
  </r>
  <r>
    <x v="2"/>
    <d v="2010-03-18T00:00:00"/>
    <x v="4"/>
    <x v="1"/>
    <x v="0"/>
    <x v="7"/>
    <x v="1"/>
    <n v="101059.64"/>
    <n v="112645.68"/>
    <n v="11586.039999999994"/>
    <n v="0.11464556968538571"/>
  </r>
  <r>
    <x v="2"/>
    <d v="2010-03-18T00:00:00"/>
    <x v="4"/>
    <x v="1"/>
    <x v="0"/>
    <x v="8"/>
    <x v="1"/>
    <n v="150001.95000000001"/>
    <n v="159816.25"/>
    <n v="9814.2999999999884"/>
    <n v="6.5427816105057213E-2"/>
  </r>
  <r>
    <x v="2"/>
    <d v="2010-03-18T00:00:00"/>
    <x v="4"/>
    <x v="1"/>
    <x v="0"/>
    <x v="9"/>
    <x v="2"/>
    <n v="236735"/>
    <n v="266147.67"/>
    <n v="29412.669999999984"/>
    <n v="0.12424301434092966"/>
  </r>
  <r>
    <x v="2"/>
    <d v="2010-03-18T00:00:00"/>
    <x v="4"/>
    <x v="1"/>
    <x v="0"/>
    <x v="10"/>
    <x v="2"/>
    <n v="136533.9"/>
    <n v="142253.78"/>
    <n v="5719.8800000000047"/>
    <n v="4.1893478469449748E-2"/>
  </r>
  <r>
    <x v="2"/>
    <d v="2010-03-18T00:00:00"/>
    <x v="4"/>
    <x v="1"/>
    <x v="0"/>
    <x v="11"/>
    <x v="2"/>
    <n v="47949"/>
    <n v="51778.3"/>
    <n v="3829.3000000000029"/>
    <n v="7.9861936641014472E-2"/>
  </r>
  <r>
    <x v="2"/>
    <d v="2010-03-18T00:00:00"/>
    <x v="4"/>
    <x v="1"/>
    <x v="0"/>
    <x v="12"/>
    <x v="2"/>
    <n v="28042.15"/>
    <n v="30289.119999999999"/>
    <n v="2246.9699999999975"/>
    <n v="8.0128306852363232E-2"/>
  </r>
  <r>
    <x v="2"/>
    <d v="2010-03-18T00:00:00"/>
    <x v="4"/>
    <x v="1"/>
    <x v="0"/>
    <x v="26"/>
    <x v="3"/>
    <n v="16664.71"/>
    <n v="18948.740000000002"/>
    <n v="2284.0300000000025"/>
    <n v="0.13705789059635617"/>
  </r>
  <r>
    <x v="2"/>
    <d v="2010-03-18T00:00:00"/>
    <x v="4"/>
    <x v="1"/>
    <x v="0"/>
    <x v="13"/>
    <x v="3"/>
    <n v="141250.1"/>
    <n v="159444.32999999999"/>
    <n v="18194.229999999981"/>
    <n v="0.12880861677266056"/>
  </r>
  <r>
    <x v="2"/>
    <d v="2010-03-18T00:00:00"/>
    <x v="4"/>
    <x v="1"/>
    <x v="0"/>
    <x v="14"/>
    <x v="3"/>
    <n v="93380.14"/>
    <n v="105708.53"/>
    <n v="12328.39"/>
    <n v="0.13202368298012832"/>
  </r>
  <r>
    <x v="2"/>
    <d v="2010-03-18T00:00:00"/>
    <x v="4"/>
    <x v="1"/>
    <x v="0"/>
    <x v="15"/>
    <x v="3"/>
    <n v="582822.62"/>
    <n v="631645.56999999995"/>
    <n v="48822.949999999953"/>
    <n v="8.3769826915777487E-2"/>
  </r>
  <r>
    <x v="2"/>
    <d v="2010-03-18T00:00:00"/>
    <x v="4"/>
    <x v="1"/>
    <x v="0"/>
    <x v="16"/>
    <x v="3"/>
    <n v="121897.42"/>
    <n v="137125.6"/>
    <n v="15228.180000000008"/>
    <n v="0.12492618793736576"/>
  </r>
  <r>
    <x v="2"/>
    <d v="2010-03-18T00:00:00"/>
    <x v="4"/>
    <x v="1"/>
    <x v="0"/>
    <x v="18"/>
    <x v="5"/>
    <n v="13116.42"/>
    <n v="16750.71"/>
    <n v="3634.2899999999991"/>
    <n v="0.27707941648712064"/>
  </r>
  <r>
    <x v="2"/>
    <d v="2010-03-18T00:00:00"/>
    <x v="4"/>
    <x v="1"/>
    <x v="0"/>
    <x v="19"/>
    <x v="5"/>
    <n v="19492.12"/>
    <n v="22412.42"/>
    <n v="2920.2999999999993"/>
    <n v="0.1498195168098698"/>
  </r>
  <r>
    <x v="2"/>
    <d v="2010-03-18T00:00:00"/>
    <x v="4"/>
    <x v="1"/>
    <x v="0"/>
    <x v="20"/>
    <x v="5"/>
    <n v="196754.29"/>
    <n v="275084.52"/>
    <n v="78330.23000000001"/>
    <n v="0.39811192935107037"/>
  </r>
  <r>
    <x v="2"/>
    <d v="2010-03-18T00:00:00"/>
    <x v="4"/>
    <x v="1"/>
    <x v="0"/>
    <x v="21"/>
    <x v="5"/>
    <n v="684"/>
    <n v="854.77"/>
    <n v="170.76999999999998"/>
    <n v="0.24966374269005845"/>
  </r>
  <r>
    <x v="2"/>
    <d v="2010-03-18T00:00:00"/>
    <x v="4"/>
    <x v="1"/>
    <x v="0"/>
    <x v="22"/>
    <x v="6"/>
    <n v="2135.3200000000002"/>
    <n v="2774.22"/>
    <n v="638.89999999999964"/>
    <n v="0.29920573965494612"/>
  </r>
  <r>
    <x v="2"/>
    <d v="2010-03-18T00:00:00"/>
    <x v="4"/>
    <x v="1"/>
    <x v="0"/>
    <x v="23"/>
    <x v="6"/>
    <n v="99581.45"/>
    <n v="105682.67"/>
    <n v="6101.2200000000012"/>
    <n v="6.1268639892269106E-2"/>
  </r>
  <r>
    <x v="2"/>
    <d v="2010-03-18T00:00:00"/>
    <x v="4"/>
    <x v="1"/>
    <x v="0"/>
    <x v="24"/>
    <x v="6"/>
    <n v="276162.46000000002"/>
    <n v="296669.67"/>
    <n v="20507.209999999963"/>
    <n v="7.4257775658574166E-2"/>
  </r>
  <r>
    <x v="2"/>
    <d v="2010-03-18T00:00:00"/>
    <x v="4"/>
    <x v="1"/>
    <x v="0"/>
    <x v="25"/>
    <x v="6"/>
    <n v="225711"/>
    <n v="228473.12"/>
    <n v="2762.1199999999953"/>
    <n v="1.2237418645967611E-2"/>
  </r>
  <r>
    <x v="2"/>
    <d v="2010-03-19T00:00:00"/>
    <x v="4"/>
    <x v="1"/>
    <x v="0"/>
    <x v="0"/>
    <x v="0"/>
    <n v="10121"/>
    <n v="12235.14"/>
    <n v="2114.1399999999994"/>
    <n v="0.20888647366860977"/>
  </r>
  <r>
    <x v="2"/>
    <d v="2010-03-19T00:00:00"/>
    <x v="4"/>
    <x v="1"/>
    <x v="0"/>
    <x v="1"/>
    <x v="0"/>
    <n v="213630.96"/>
    <n v="305110.84999999998"/>
    <n v="91479.889999999985"/>
    <n v="0.42821457152090686"/>
  </r>
  <r>
    <x v="2"/>
    <d v="2010-03-19T00:00:00"/>
    <x v="4"/>
    <x v="1"/>
    <x v="0"/>
    <x v="2"/>
    <x v="0"/>
    <n v="72934.39"/>
    <n v="80584.89"/>
    <n v="7650.5"/>
    <n v="0.10489564662157318"/>
  </r>
  <r>
    <x v="2"/>
    <d v="2010-03-19T00:00:00"/>
    <x v="4"/>
    <x v="1"/>
    <x v="0"/>
    <x v="3"/>
    <x v="0"/>
    <n v="1722"/>
    <n v="1905.31"/>
    <n v="183.30999999999995"/>
    <n v="0.10645180023228801"/>
  </r>
  <r>
    <x v="2"/>
    <d v="2010-03-19T00:00:00"/>
    <x v="4"/>
    <x v="1"/>
    <x v="0"/>
    <x v="4"/>
    <x v="0"/>
    <n v="588"/>
    <n v="675.95"/>
    <n v="87.950000000000045"/>
    <n v="0.14957482993197288"/>
  </r>
  <r>
    <x v="2"/>
    <d v="2010-03-19T00:00:00"/>
    <x v="4"/>
    <x v="1"/>
    <x v="0"/>
    <x v="5"/>
    <x v="1"/>
    <n v="123603.02"/>
    <n v="134443.65"/>
    <n v="10840.62999999999"/>
    <n v="8.7705219500300149E-2"/>
  </r>
  <r>
    <x v="2"/>
    <d v="2010-03-19T00:00:00"/>
    <x v="4"/>
    <x v="1"/>
    <x v="0"/>
    <x v="6"/>
    <x v="1"/>
    <n v="514287.65"/>
    <n v="545999.13"/>
    <n v="31711.479999999981"/>
    <n v="6.166097902603724E-2"/>
  </r>
  <r>
    <x v="2"/>
    <d v="2010-03-19T00:00:00"/>
    <x v="4"/>
    <x v="1"/>
    <x v="0"/>
    <x v="7"/>
    <x v="1"/>
    <n v="162658.87"/>
    <n v="180851.38"/>
    <n v="18192.510000000009"/>
    <n v="0.1118445615661784"/>
  </r>
  <r>
    <x v="2"/>
    <d v="2010-03-19T00:00:00"/>
    <x v="4"/>
    <x v="1"/>
    <x v="0"/>
    <x v="8"/>
    <x v="1"/>
    <n v="207036.35"/>
    <n v="221787.43"/>
    <n v="14751.079999999987"/>
    <n v="7.1248744483758467E-2"/>
  </r>
  <r>
    <x v="2"/>
    <d v="2010-03-19T00:00:00"/>
    <x v="4"/>
    <x v="1"/>
    <x v="0"/>
    <x v="9"/>
    <x v="2"/>
    <n v="440742.99"/>
    <n v="480873.95"/>
    <n v="40130.960000000021"/>
    <n v="9.1052973979234522E-2"/>
  </r>
  <r>
    <x v="2"/>
    <d v="2010-03-19T00:00:00"/>
    <x v="4"/>
    <x v="1"/>
    <x v="0"/>
    <x v="10"/>
    <x v="2"/>
    <n v="228882.1"/>
    <n v="237784.83"/>
    <n v="8902.7299999999814"/>
    <n v="3.8896576010094198E-2"/>
  </r>
  <r>
    <x v="2"/>
    <d v="2010-03-19T00:00:00"/>
    <x v="4"/>
    <x v="1"/>
    <x v="0"/>
    <x v="11"/>
    <x v="2"/>
    <n v="62686"/>
    <n v="66707.16"/>
    <n v="4021.1600000000035"/>
    <n v="6.4147656574035719E-2"/>
  </r>
  <r>
    <x v="2"/>
    <d v="2010-03-19T00:00:00"/>
    <x v="4"/>
    <x v="1"/>
    <x v="0"/>
    <x v="12"/>
    <x v="2"/>
    <n v="18599.599999999999"/>
    <n v="21239.93"/>
    <n v="2640.3300000000017"/>
    <n v="0.14195627862964805"/>
  </r>
  <r>
    <x v="2"/>
    <d v="2010-03-19T00:00:00"/>
    <x v="4"/>
    <x v="1"/>
    <x v="0"/>
    <x v="26"/>
    <x v="3"/>
    <n v="11113.37"/>
    <n v="12343.74"/>
    <n v="1230.369999999999"/>
    <n v="0.11071079249588549"/>
  </r>
  <r>
    <x v="2"/>
    <d v="2010-03-19T00:00:00"/>
    <x v="4"/>
    <x v="1"/>
    <x v="0"/>
    <x v="13"/>
    <x v="3"/>
    <n v="142717.26999999999"/>
    <n v="160608.4"/>
    <n v="17891.130000000005"/>
    <n v="0.12536065186785036"/>
  </r>
  <r>
    <x v="2"/>
    <d v="2010-03-19T00:00:00"/>
    <x v="4"/>
    <x v="1"/>
    <x v="0"/>
    <x v="14"/>
    <x v="3"/>
    <n v="114934.84"/>
    <n v="127901.89"/>
    <n v="12967.050000000003"/>
    <n v="0.11282088181442636"/>
  </r>
  <r>
    <x v="2"/>
    <d v="2010-03-19T00:00:00"/>
    <x v="4"/>
    <x v="1"/>
    <x v="0"/>
    <x v="15"/>
    <x v="3"/>
    <n v="666366.12"/>
    <n v="726673.14"/>
    <n v="60307.020000000019"/>
    <n v="9.0501329809504746E-2"/>
  </r>
  <r>
    <x v="2"/>
    <d v="2010-03-19T00:00:00"/>
    <x v="4"/>
    <x v="1"/>
    <x v="0"/>
    <x v="16"/>
    <x v="3"/>
    <n v="181392.96"/>
    <n v="204595.48"/>
    <n v="23202.520000000019"/>
    <n v="0.12791301272111122"/>
  </r>
  <r>
    <x v="2"/>
    <d v="2010-03-19T00:00:00"/>
    <x v="4"/>
    <x v="1"/>
    <x v="0"/>
    <x v="18"/>
    <x v="5"/>
    <n v="31369.41"/>
    <n v="36574.97"/>
    <n v="5205.5600000000013"/>
    <n v="0.16594382871721214"/>
  </r>
  <r>
    <x v="2"/>
    <d v="2010-03-19T00:00:00"/>
    <x v="4"/>
    <x v="1"/>
    <x v="0"/>
    <x v="19"/>
    <x v="5"/>
    <n v="16729.3"/>
    <n v="19236.91"/>
    <n v="2507.6100000000006"/>
    <n v="0.14989330097493622"/>
  </r>
  <r>
    <x v="2"/>
    <d v="2010-03-19T00:00:00"/>
    <x v="4"/>
    <x v="1"/>
    <x v="0"/>
    <x v="20"/>
    <x v="5"/>
    <n v="244027.67"/>
    <n v="333440.74"/>
    <n v="89413.069999999978"/>
    <n v="0.36640545721720807"/>
  </r>
  <r>
    <x v="2"/>
    <d v="2010-03-19T00:00:00"/>
    <x v="4"/>
    <x v="1"/>
    <x v="0"/>
    <x v="21"/>
    <x v="5"/>
    <n v="608"/>
    <n v="759.96"/>
    <n v="151.96000000000004"/>
    <n v="0.24993421052631584"/>
  </r>
  <r>
    <x v="2"/>
    <d v="2010-03-19T00:00:00"/>
    <x v="4"/>
    <x v="1"/>
    <x v="0"/>
    <x v="22"/>
    <x v="6"/>
    <n v="2251.7600000000002"/>
    <n v="2926.42"/>
    <n v="674.65999999999985"/>
    <n v="0.29961452375031078"/>
  </r>
  <r>
    <x v="2"/>
    <d v="2010-03-19T00:00:00"/>
    <x v="4"/>
    <x v="1"/>
    <x v="0"/>
    <x v="23"/>
    <x v="6"/>
    <n v="167933.77"/>
    <n v="181446.08"/>
    <n v="13512.309999999998"/>
    <n v="8.0462136948393395E-2"/>
  </r>
  <r>
    <x v="2"/>
    <d v="2010-03-19T00:00:00"/>
    <x v="4"/>
    <x v="1"/>
    <x v="0"/>
    <x v="24"/>
    <x v="6"/>
    <n v="408066.26"/>
    <n v="441556.16"/>
    <n v="33489.899999999965"/>
    <n v="8.2069759945357812E-2"/>
  </r>
  <r>
    <x v="2"/>
    <d v="2010-03-19T00:00:00"/>
    <x v="4"/>
    <x v="1"/>
    <x v="0"/>
    <x v="25"/>
    <x v="6"/>
    <n v="374226.47"/>
    <n v="378729.26"/>
    <n v="4502.7900000000373"/>
    <n v="1.2032259503182759E-2"/>
  </r>
  <r>
    <x v="2"/>
    <d v="2010-03-20T00:00:00"/>
    <x v="4"/>
    <x v="1"/>
    <x v="0"/>
    <x v="0"/>
    <x v="0"/>
    <n v="24897"/>
    <n v="29484.9"/>
    <n v="4587.9000000000015"/>
    <n v="0.18427521388119056"/>
  </r>
  <r>
    <x v="2"/>
    <d v="2010-03-20T00:00:00"/>
    <x v="4"/>
    <x v="1"/>
    <x v="0"/>
    <x v="1"/>
    <x v="0"/>
    <n v="389832.46"/>
    <n v="503169.37"/>
    <n v="113336.90999999997"/>
    <n v="0.29073235717723445"/>
  </r>
  <r>
    <x v="2"/>
    <d v="2010-03-20T00:00:00"/>
    <x v="4"/>
    <x v="1"/>
    <x v="0"/>
    <x v="2"/>
    <x v="0"/>
    <n v="154184.72"/>
    <n v="173416.3"/>
    <n v="19231.579999999987"/>
    <n v="0.12473077747263145"/>
  </r>
  <r>
    <x v="2"/>
    <d v="2010-03-20T00:00:00"/>
    <x v="4"/>
    <x v="1"/>
    <x v="0"/>
    <x v="3"/>
    <x v="0"/>
    <n v="574"/>
    <n v="659.95"/>
    <n v="85.950000000000045"/>
    <n v="0.14973867595818824"/>
  </r>
  <r>
    <x v="2"/>
    <d v="2010-03-20T00:00:00"/>
    <x v="4"/>
    <x v="1"/>
    <x v="0"/>
    <x v="4"/>
    <x v="0"/>
    <n v="882"/>
    <n v="975.38"/>
    <n v="93.38"/>
    <n v="0.10587301587301587"/>
  </r>
  <r>
    <x v="2"/>
    <d v="2010-03-20T00:00:00"/>
    <x v="4"/>
    <x v="1"/>
    <x v="0"/>
    <x v="5"/>
    <x v="1"/>
    <n v="214316.87"/>
    <n v="235713.18"/>
    <n v="21396.309999999998"/>
    <n v="9.9834931333217011E-2"/>
  </r>
  <r>
    <x v="2"/>
    <d v="2010-03-20T00:00:00"/>
    <x v="4"/>
    <x v="1"/>
    <x v="0"/>
    <x v="6"/>
    <x v="1"/>
    <n v="739419.85"/>
    <n v="782861.52"/>
    <n v="43441.670000000042"/>
    <n v="5.8751019464787217E-2"/>
  </r>
  <r>
    <x v="2"/>
    <d v="2010-03-20T00:00:00"/>
    <x v="4"/>
    <x v="1"/>
    <x v="0"/>
    <x v="7"/>
    <x v="1"/>
    <n v="229940.46"/>
    <n v="253621.02"/>
    <n v="23680.559999999998"/>
    <n v="0.10298561636347078"/>
  </r>
  <r>
    <x v="2"/>
    <d v="2010-03-20T00:00:00"/>
    <x v="4"/>
    <x v="1"/>
    <x v="0"/>
    <x v="8"/>
    <x v="1"/>
    <n v="327979.65000000002"/>
    <n v="350788.54"/>
    <n v="22808.889999999956"/>
    <n v="6.9543613452846709E-2"/>
  </r>
  <r>
    <x v="2"/>
    <d v="2010-03-20T00:00:00"/>
    <x v="4"/>
    <x v="1"/>
    <x v="0"/>
    <x v="9"/>
    <x v="2"/>
    <n v="692174.98"/>
    <n v="751237.13"/>
    <n v="59062.150000000023"/>
    <n v="8.5328351510191872E-2"/>
  </r>
  <r>
    <x v="2"/>
    <d v="2010-03-20T00:00:00"/>
    <x v="4"/>
    <x v="1"/>
    <x v="0"/>
    <x v="10"/>
    <x v="2"/>
    <n v="322383.5"/>
    <n v="334772.81"/>
    <n v="12389.309999999998"/>
    <n v="3.8430347707001128E-2"/>
  </r>
  <r>
    <x v="2"/>
    <d v="2010-03-20T00:00:00"/>
    <x v="4"/>
    <x v="1"/>
    <x v="0"/>
    <x v="11"/>
    <x v="2"/>
    <n v="199743"/>
    <n v="207142.13"/>
    <n v="7399.1300000000047"/>
    <n v="3.7043250576991454E-2"/>
  </r>
  <r>
    <x v="2"/>
    <d v="2010-03-20T00:00:00"/>
    <x v="4"/>
    <x v="1"/>
    <x v="0"/>
    <x v="12"/>
    <x v="2"/>
    <n v="28518.95"/>
    <n v="31946.67"/>
    <n v="3427.7199999999975"/>
    <n v="0.12019096074715224"/>
  </r>
  <r>
    <x v="2"/>
    <d v="2010-03-20T00:00:00"/>
    <x v="4"/>
    <x v="1"/>
    <x v="0"/>
    <x v="26"/>
    <x v="3"/>
    <n v="12974.11"/>
    <n v="14537.51"/>
    <n v="1563.3999999999996"/>
    <n v="0.12050152187703045"/>
  </r>
  <r>
    <x v="2"/>
    <d v="2010-03-20T00:00:00"/>
    <x v="4"/>
    <x v="1"/>
    <x v="0"/>
    <x v="13"/>
    <x v="3"/>
    <n v="199740.11"/>
    <n v="226792.15"/>
    <n v="27052.040000000008"/>
    <n v="0.13543619256042269"/>
  </r>
  <r>
    <x v="2"/>
    <d v="2010-03-20T00:00:00"/>
    <x v="4"/>
    <x v="1"/>
    <x v="0"/>
    <x v="14"/>
    <x v="3"/>
    <n v="130792.8"/>
    <n v="149249.34"/>
    <n v="18456.539999999994"/>
    <n v="0.14111281354936964"/>
  </r>
  <r>
    <x v="2"/>
    <d v="2010-03-20T00:00:00"/>
    <x v="4"/>
    <x v="1"/>
    <x v="0"/>
    <x v="15"/>
    <x v="3"/>
    <n v="1096754.52"/>
    <n v="1189171.6100000001"/>
    <n v="92417.090000000084"/>
    <n v="8.4264152382978172E-2"/>
  </r>
  <r>
    <x v="2"/>
    <d v="2010-03-20T00:00:00"/>
    <x v="4"/>
    <x v="1"/>
    <x v="0"/>
    <x v="16"/>
    <x v="3"/>
    <n v="265962.78000000003"/>
    <n v="299466.08"/>
    <n v="33503.299999999988"/>
    <n v="0.12596988195115116"/>
  </r>
  <r>
    <x v="2"/>
    <d v="2010-03-20T00:00:00"/>
    <x v="4"/>
    <x v="1"/>
    <x v="0"/>
    <x v="18"/>
    <x v="5"/>
    <n v="52635.55"/>
    <n v="65593.13"/>
    <n v="12957.580000000002"/>
    <n v="0.24617544606259459"/>
  </r>
  <r>
    <x v="2"/>
    <d v="2010-03-20T00:00:00"/>
    <x v="4"/>
    <x v="1"/>
    <x v="0"/>
    <x v="19"/>
    <x v="5"/>
    <n v="48809.21"/>
    <n v="56122.76"/>
    <n v="7313.5500000000029"/>
    <n v="0.14983954872451333"/>
  </r>
  <r>
    <x v="2"/>
    <d v="2010-03-20T00:00:00"/>
    <x v="4"/>
    <x v="1"/>
    <x v="0"/>
    <x v="20"/>
    <x v="5"/>
    <n v="316717.17"/>
    <n v="426089.97"/>
    <n v="109372.79999999999"/>
    <n v="0.34533271435836582"/>
  </r>
  <r>
    <x v="2"/>
    <d v="2010-03-20T00:00:00"/>
    <x v="4"/>
    <x v="1"/>
    <x v="0"/>
    <x v="21"/>
    <x v="5"/>
    <n v="684"/>
    <n v="854.96"/>
    <n v="170.96000000000004"/>
    <n v="0.2499415204678363"/>
  </r>
  <r>
    <x v="2"/>
    <d v="2010-03-20T00:00:00"/>
    <x v="4"/>
    <x v="1"/>
    <x v="0"/>
    <x v="22"/>
    <x v="6"/>
    <n v="2317.88"/>
    <n v="3012.68"/>
    <n v="694.79999999999973"/>
    <n v="0.29975667420228819"/>
  </r>
  <r>
    <x v="2"/>
    <d v="2010-03-20T00:00:00"/>
    <x v="4"/>
    <x v="1"/>
    <x v="0"/>
    <x v="23"/>
    <x v="6"/>
    <n v="248612.95"/>
    <n v="265362.38"/>
    <n v="16749.429999999993"/>
    <n v="6.7371510615195196E-2"/>
  </r>
  <r>
    <x v="2"/>
    <d v="2010-03-20T00:00:00"/>
    <x v="4"/>
    <x v="1"/>
    <x v="0"/>
    <x v="24"/>
    <x v="6"/>
    <n v="927134.42"/>
    <n v="736898.92"/>
    <n v="-190235.5"/>
    <n v="-0.20518653595020234"/>
  </r>
  <r>
    <x v="2"/>
    <d v="2010-03-20T00:00:00"/>
    <x v="4"/>
    <x v="1"/>
    <x v="0"/>
    <x v="25"/>
    <x v="6"/>
    <n v="361287.12"/>
    <n v="374113.38"/>
    <n v="12826.260000000009"/>
    <n v="3.5501570053203139E-2"/>
  </r>
  <r>
    <x v="2"/>
    <d v="2010-03-21T00:00:00"/>
    <x v="5"/>
    <x v="1"/>
    <x v="0"/>
    <x v="0"/>
    <x v="0"/>
    <n v="10214.32"/>
    <n v="12239.92"/>
    <n v="2025.6000000000004"/>
    <n v="0.19830982385513676"/>
  </r>
  <r>
    <x v="2"/>
    <d v="2010-03-21T00:00:00"/>
    <x v="5"/>
    <x v="1"/>
    <x v="0"/>
    <x v="1"/>
    <x v="0"/>
    <n v="304899.40999999997"/>
    <n v="410559.75"/>
    <n v="105660.34000000003"/>
    <n v="0.3465416348296641"/>
  </r>
  <r>
    <x v="2"/>
    <d v="2010-03-21T00:00:00"/>
    <x v="5"/>
    <x v="1"/>
    <x v="0"/>
    <x v="2"/>
    <x v="0"/>
    <n v="111885.33"/>
    <n v="124729.3"/>
    <n v="12843.970000000001"/>
    <n v="0.1147958360582214"/>
  </r>
  <r>
    <x v="2"/>
    <d v="2010-03-21T00:00:00"/>
    <x v="5"/>
    <x v="1"/>
    <x v="0"/>
    <x v="3"/>
    <x v="0"/>
    <n v="574"/>
    <n v="585.33000000000004"/>
    <n v="11.330000000000041"/>
    <n v="1.9738675958188224E-2"/>
  </r>
  <r>
    <x v="2"/>
    <d v="2010-03-21T00:00:00"/>
    <x v="5"/>
    <x v="1"/>
    <x v="0"/>
    <x v="4"/>
    <x v="0"/>
    <n v="1360"/>
    <n v="1414.61"/>
    <n v="54.6099999999999"/>
    <n v="4.0154411764705807E-2"/>
  </r>
  <r>
    <x v="2"/>
    <d v="2010-03-21T00:00:00"/>
    <x v="5"/>
    <x v="1"/>
    <x v="0"/>
    <x v="5"/>
    <x v="1"/>
    <n v="215178.19"/>
    <n v="234541.13"/>
    <n v="19362.940000000002"/>
    <n v="8.9985606812660712E-2"/>
  </r>
  <r>
    <x v="2"/>
    <d v="2010-03-21T00:00:00"/>
    <x v="5"/>
    <x v="1"/>
    <x v="0"/>
    <x v="6"/>
    <x v="1"/>
    <n v="672596.78"/>
    <n v="712702.74"/>
    <n v="40105.959999999963"/>
    <n v="5.962853405274994E-2"/>
  </r>
  <r>
    <x v="2"/>
    <d v="2010-03-21T00:00:00"/>
    <x v="5"/>
    <x v="1"/>
    <x v="0"/>
    <x v="7"/>
    <x v="1"/>
    <n v="169210.64"/>
    <n v="187542.07"/>
    <n v="18331.429999999993"/>
    <n v="0.10833497231616163"/>
  </r>
  <r>
    <x v="2"/>
    <d v="2010-03-21T00:00:00"/>
    <x v="5"/>
    <x v="1"/>
    <x v="0"/>
    <x v="8"/>
    <x v="1"/>
    <n v="279622.64"/>
    <n v="302818.03999999998"/>
    <n v="23195.399999999965"/>
    <n v="8.2952510569244187E-2"/>
  </r>
  <r>
    <x v="2"/>
    <d v="2010-03-21T00:00:00"/>
    <x v="5"/>
    <x v="1"/>
    <x v="0"/>
    <x v="9"/>
    <x v="2"/>
    <n v="395763.93"/>
    <n v="428855.67"/>
    <n v="33091.739999999991"/>
    <n v="8.3614845850151095E-2"/>
  </r>
  <r>
    <x v="2"/>
    <d v="2010-03-21T00:00:00"/>
    <x v="5"/>
    <x v="1"/>
    <x v="0"/>
    <x v="10"/>
    <x v="2"/>
    <n v="236894.9"/>
    <n v="245963.47"/>
    <n v="9068.570000000007"/>
    <n v="3.8280984520983809E-2"/>
  </r>
  <r>
    <x v="2"/>
    <d v="2010-03-21T00:00:00"/>
    <x v="5"/>
    <x v="1"/>
    <x v="0"/>
    <x v="11"/>
    <x v="2"/>
    <n v="139069"/>
    <n v="145118.26999999999"/>
    <n v="6049.2699999999895"/>
    <n v="4.3498335358706751E-2"/>
  </r>
  <r>
    <x v="2"/>
    <d v="2010-03-21T00:00:00"/>
    <x v="5"/>
    <x v="1"/>
    <x v="0"/>
    <x v="12"/>
    <x v="2"/>
    <n v="18979.5"/>
    <n v="21199.4"/>
    <n v="2219.9000000000015"/>
    <n v="0.11696303906846869"/>
  </r>
  <r>
    <x v="2"/>
    <d v="2010-03-21T00:00:00"/>
    <x v="5"/>
    <x v="1"/>
    <x v="0"/>
    <x v="26"/>
    <x v="3"/>
    <n v="12540.29"/>
    <n v="14090.67"/>
    <n v="1550.3799999999992"/>
    <n v="0.12363190962888411"/>
  </r>
  <r>
    <x v="2"/>
    <d v="2010-03-21T00:00:00"/>
    <x v="5"/>
    <x v="1"/>
    <x v="0"/>
    <x v="13"/>
    <x v="3"/>
    <n v="144444.67000000001"/>
    <n v="163381.34"/>
    <n v="18936.669999999984"/>
    <n v="0.13109981835951429"/>
  </r>
  <r>
    <x v="2"/>
    <d v="2010-03-21T00:00:00"/>
    <x v="5"/>
    <x v="1"/>
    <x v="0"/>
    <x v="14"/>
    <x v="3"/>
    <n v="101094.96"/>
    <n v="117264.07"/>
    <n v="16169.11"/>
    <n v="0.1599398229150098"/>
  </r>
  <r>
    <x v="2"/>
    <d v="2010-03-21T00:00:00"/>
    <x v="5"/>
    <x v="1"/>
    <x v="0"/>
    <x v="15"/>
    <x v="3"/>
    <n v="782201.48"/>
    <n v="846275.24"/>
    <n v="64073.760000000009"/>
    <n v="8.1914649407209009E-2"/>
  </r>
  <r>
    <x v="2"/>
    <d v="2010-03-21T00:00:00"/>
    <x v="5"/>
    <x v="1"/>
    <x v="0"/>
    <x v="16"/>
    <x v="3"/>
    <n v="178153.96"/>
    <n v="202203.31"/>
    <n v="24049.350000000006"/>
    <n v="0.13499194741447232"/>
  </r>
  <r>
    <x v="2"/>
    <d v="2010-03-21T00:00:00"/>
    <x v="5"/>
    <x v="1"/>
    <x v="0"/>
    <x v="18"/>
    <x v="5"/>
    <n v="66224.160000000003"/>
    <n v="83001.47"/>
    <n v="16777.309999999998"/>
    <n v="0.25334122773320183"/>
  </r>
  <r>
    <x v="2"/>
    <d v="2010-03-21T00:00:00"/>
    <x v="5"/>
    <x v="1"/>
    <x v="0"/>
    <x v="19"/>
    <x v="5"/>
    <n v="34254.839999999997"/>
    <n v="39387.699999999997"/>
    <n v="5132.8600000000006"/>
    <n v="0.14984335060388551"/>
  </r>
  <r>
    <x v="2"/>
    <d v="2010-03-21T00:00:00"/>
    <x v="5"/>
    <x v="1"/>
    <x v="0"/>
    <x v="20"/>
    <x v="5"/>
    <n v="246525.62"/>
    <n v="341345.52"/>
    <n v="94819.900000000023"/>
    <n v="0.38462493269462228"/>
  </r>
  <r>
    <x v="2"/>
    <d v="2010-03-21T00:00:00"/>
    <x v="5"/>
    <x v="1"/>
    <x v="0"/>
    <x v="21"/>
    <x v="5"/>
    <n v="456"/>
    <n v="569.99"/>
    <n v="113.99000000000001"/>
    <n v="0.2499780701754386"/>
  </r>
  <r>
    <x v="2"/>
    <d v="2010-03-21T00:00:00"/>
    <x v="5"/>
    <x v="1"/>
    <x v="0"/>
    <x v="22"/>
    <x v="6"/>
    <n v="2130.44"/>
    <n v="2768.25"/>
    <n v="637.80999999999995"/>
    <n v="0.29937947090741818"/>
  </r>
  <r>
    <x v="2"/>
    <d v="2010-03-21T00:00:00"/>
    <x v="5"/>
    <x v="1"/>
    <x v="0"/>
    <x v="23"/>
    <x v="6"/>
    <n v="201296.48"/>
    <n v="214039.66"/>
    <n v="12743.179999999993"/>
    <n v="6.3305528243712911E-2"/>
  </r>
  <r>
    <x v="2"/>
    <d v="2010-03-21T00:00:00"/>
    <x v="5"/>
    <x v="1"/>
    <x v="0"/>
    <x v="24"/>
    <x v="6"/>
    <n v="460622.38"/>
    <n v="455391.23"/>
    <n v="-5231.1500000000233"/>
    <n v="-1.1356699602828728E-2"/>
  </r>
  <r>
    <x v="2"/>
    <d v="2010-03-21T00:00:00"/>
    <x v="5"/>
    <x v="1"/>
    <x v="0"/>
    <x v="25"/>
    <x v="6"/>
    <n v="307305.5"/>
    <n v="312517.71000000002"/>
    <n v="5212.210000000021"/>
    <n v="1.6961004602911504E-2"/>
  </r>
  <r>
    <x v="2"/>
    <d v="2010-03-22T00:00:00"/>
    <x v="5"/>
    <x v="1"/>
    <x v="0"/>
    <x v="0"/>
    <x v="0"/>
    <n v="15447.64"/>
    <n v="18117.32"/>
    <n v="2669.6800000000003"/>
    <n v="0.1728212205877403"/>
  </r>
  <r>
    <x v="2"/>
    <d v="2010-03-22T00:00:00"/>
    <x v="5"/>
    <x v="1"/>
    <x v="0"/>
    <x v="1"/>
    <x v="0"/>
    <n v="337064.5"/>
    <n v="461361.62"/>
    <n v="124297.12"/>
    <n v="0.36876360459199942"/>
  </r>
  <r>
    <x v="2"/>
    <d v="2010-03-22T00:00:00"/>
    <x v="5"/>
    <x v="1"/>
    <x v="0"/>
    <x v="2"/>
    <x v="0"/>
    <n v="95447.92"/>
    <n v="106588.32"/>
    <n v="11140.400000000009"/>
    <n v="0.11671705365606719"/>
  </r>
  <r>
    <x v="2"/>
    <d v="2010-03-22T00:00:00"/>
    <x v="5"/>
    <x v="1"/>
    <x v="0"/>
    <x v="3"/>
    <x v="0"/>
    <n v="1722"/>
    <n v="1979.82"/>
    <n v="257.81999999999994"/>
    <n v="0.14972125435540065"/>
  </r>
  <r>
    <x v="2"/>
    <d v="2010-03-22T00:00:00"/>
    <x v="5"/>
    <x v="1"/>
    <x v="0"/>
    <x v="4"/>
    <x v="0"/>
    <n v="294"/>
    <n v="299.83"/>
    <n v="5.8299999999999841"/>
    <n v="1.9829931972789063E-2"/>
  </r>
  <r>
    <x v="2"/>
    <d v="2010-03-22T00:00:00"/>
    <x v="5"/>
    <x v="1"/>
    <x v="0"/>
    <x v="5"/>
    <x v="1"/>
    <n v="155586.91"/>
    <n v="171843.41"/>
    <n v="16256.5"/>
    <n v="0.104485010981965"/>
  </r>
  <r>
    <x v="2"/>
    <d v="2010-03-22T00:00:00"/>
    <x v="5"/>
    <x v="1"/>
    <x v="0"/>
    <x v="6"/>
    <x v="1"/>
    <n v="473476.18"/>
    <n v="501156.97"/>
    <n v="27680.789999999979"/>
    <n v="5.8462898809397298E-2"/>
  </r>
  <r>
    <x v="2"/>
    <d v="2010-03-22T00:00:00"/>
    <x v="5"/>
    <x v="1"/>
    <x v="0"/>
    <x v="7"/>
    <x v="1"/>
    <n v="131265.31"/>
    <n v="144988.97"/>
    <n v="13723.660000000003"/>
    <n v="0.10454902365293621"/>
  </r>
  <r>
    <x v="2"/>
    <d v="2010-03-22T00:00:00"/>
    <x v="5"/>
    <x v="1"/>
    <x v="0"/>
    <x v="8"/>
    <x v="1"/>
    <n v="197925.54"/>
    <n v="211783.84"/>
    <n v="13858.299999999988"/>
    <n v="7.0017745057055228E-2"/>
  </r>
  <r>
    <x v="2"/>
    <d v="2010-03-22T00:00:00"/>
    <x v="5"/>
    <x v="1"/>
    <x v="0"/>
    <x v="9"/>
    <x v="2"/>
    <n v="341712.67"/>
    <n v="373084.23"/>
    <n v="31371.559999999998"/>
    <n v="9.1806838768957552E-2"/>
  </r>
  <r>
    <x v="2"/>
    <d v="2010-03-22T00:00:00"/>
    <x v="5"/>
    <x v="1"/>
    <x v="0"/>
    <x v="10"/>
    <x v="2"/>
    <n v="185177.60000000001"/>
    <n v="194584.83"/>
    <n v="9407.2299999999814"/>
    <n v="5.0801122813990358E-2"/>
  </r>
  <r>
    <x v="2"/>
    <d v="2010-03-22T00:00:00"/>
    <x v="5"/>
    <x v="1"/>
    <x v="0"/>
    <x v="11"/>
    <x v="2"/>
    <n v="60940"/>
    <n v="64744.23"/>
    <n v="3804.2300000000032"/>
    <n v="6.2425828683951481E-2"/>
  </r>
  <r>
    <x v="2"/>
    <d v="2010-03-22T00:00:00"/>
    <x v="5"/>
    <x v="1"/>
    <x v="0"/>
    <x v="12"/>
    <x v="2"/>
    <n v="22575.1"/>
    <n v="25298.01"/>
    <n v="2722.91"/>
    <n v="0.12061563403927336"/>
  </r>
  <r>
    <x v="2"/>
    <d v="2010-03-22T00:00:00"/>
    <x v="5"/>
    <x v="1"/>
    <x v="0"/>
    <x v="26"/>
    <x v="3"/>
    <n v="13706.26"/>
    <n v="15517.17"/>
    <n v="1810.9099999999999"/>
    <n v="0.13212284022045401"/>
  </r>
  <r>
    <x v="2"/>
    <d v="2010-03-22T00:00:00"/>
    <x v="5"/>
    <x v="1"/>
    <x v="0"/>
    <x v="13"/>
    <x v="3"/>
    <n v="101120.92"/>
    <n v="115788.72"/>
    <n v="14667.800000000003"/>
    <n v="0.14505208220020152"/>
  </r>
  <r>
    <x v="2"/>
    <d v="2010-03-22T00:00:00"/>
    <x v="5"/>
    <x v="1"/>
    <x v="0"/>
    <x v="14"/>
    <x v="3"/>
    <n v="71179.149999999994"/>
    <n v="80736.13"/>
    <n v="9556.9800000000105"/>
    <n v="0.13426656541978951"/>
  </r>
  <r>
    <x v="2"/>
    <d v="2010-03-22T00:00:00"/>
    <x v="5"/>
    <x v="1"/>
    <x v="0"/>
    <x v="15"/>
    <x v="3"/>
    <n v="398198"/>
    <n v="429950.77"/>
    <n v="31752.770000000019"/>
    <n v="7.9741158920938873E-2"/>
  </r>
  <r>
    <x v="2"/>
    <d v="2010-03-22T00:00:00"/>
    <x v="5"/>
    <x v="1"/>
    <x v="0"/>
    <x v="16"/>
    <x v="3"/>
    <n v="89060.04"/>
    <n v="102672.97"/>
    <n v="13612.930000000008"/>
    <n v="0.15285115524313719"/>
  </r>
  <r>
    <x v="2"/>
    <d v="2010-03-22T00:00:00"/>
    <x v="5"/>
    <x v="1"/>
    <x v="0"/>
    <x v="18"/>
    <x v="5"/>
    <n v="94779.85"/>
    <n v="111850.67"/>
    <n v="17070.819999999992"/>
    <n v="0.18011022385032252"/>
  </r>
  <r>
    <x v="2"/>
    <d v="2010-03-22T00:00:00"/>
    <x v="5"/>
    <x v="1"/>
    <x v="0"/>
    <x v="19"/>
    <x v="5"/>
    <n v="38681.1"/>
    <n v="44475.59"/>
    <n v="5794.489999999998"/>
    <n v="0.14980158268508389"/>
  </r>
  <r>
    <x v="2"/>
    <d v="2010-03-22T00:00:00"/>
    <x v="5"/>
    <x v="1"/>
    <x v="0"/>
    <x v="20"/>
    <x v="5"/>
    <n v="265252.11"/>
    <n v="357650.5"/>
    <n v="92398.390000000014"/>
    <n v="0.3483417719089964"/>
  </r>
  <r>
    <x v="2"/>
    <d v="2010-03-22T00:00:00"/>
    <x v="5"/>
    <x v="1"/>
    <x v="0"/>
    <x v="21"/>
    <x v="5"/>
    <n v="304"/>
    <n v="380"/>
    <n v="76"/>
    <n v="0.25"/>
  </r>
  <r>
    <x v="2"/>
    <d v="2010-03-22T00:00:00"/>
    <x v="5"/>
    <x v="1"/>
    <x v="0"/>
    <x v="22"/>
    <x v="6"/>
    <n v="1869.96"/>
    <n v="2430.19"/>
    <n v="560.23"/>
    <n v="0.29959464373569489"/>
  </r>
  <r>
    <x v="2"/>
    <d v="2010-03-22T00:00:00"/>
    <x v="5"/>
    <x v="1"/>
    <x v="0"/>
    <x v="23"/>
    <x v="6"/>
    <n v="146562.5"/>
    <n v="159552.4"/>
    <n v="12989.899999999994"/>
    <n v="8.8630447761193984E-2"/>
  </r>
  <r>
    <x v="2"/>
    <d v="2010-03-22T00:00:00"/>
    <x v="5"/>
    <x v="1"/>
    <x v="0"/>
    <x v="24"/>
    <x v="6"/>
    <n v="301991.65999999997"/>
    <n v="328664.95"/>
    <n v="26673.290000000037"/>
    <n v="8.8324591480440348E-2"/>
  </r>
  <r>
    <x v="2"/>
    <d v="2010-03-22T00:00:00"/>
    <x v="5"/>
    <x v="1"/>
    <x v="0"/>
    <x v="25"/>
    <x v="6"/>
    <n v="224952.91"/>
    <n v="225856.04"/>
    <n v="903.13000000000466"/>
    <n v="4.0147513539611672E-3"/>
  </r>
  <r>
    <x v="2"/>
    <d v="2010-03-23T00:00:00"/>
    <x v="5"/>
    <x v="1"/>
    <x v="0"/>
    <x v="0"/>
    <x v="0"/>
    <n v="9112.61"/>
    <n v="10679.7"/>
    <n v="1567.0900000000001"/>
    <n v="0.17196939186467983"/>
  </r>
  <r>
    <x v="2"/>
    <d v="2010-03-23T00:00:00"/>
    <x v="5"/>
    <x v="1"/>
    <x v="0"/>
    <x v="1"/>
    <x v="0"/>
    <n v="167762.04"/>
    <n v="217422.39"/>
    <n v="49660.350000000006"/>
    <n v="0.29601660780949018"/>
  </r>
  <r>
    <x v="2"/>
    <d v="2010-03-23T00:00:00"/>
    <x v="5"/>
    <x v="1"/>
    <x v="0"/>
    <x v="2"/>
    <x v="0"/>
    <n v="71428.070000000007"/>
    <n v="81338.649999999994"/>
    <n v="9910.5799999999872"/>
    <n v="0.13874909401863983"/>
  </r>
  <r>
    <x v="2"/>
    <d v="2010-03-23T00:00:00"/>
    <x v="5"/>
    <x v="1"/>
    <x v="0"/>
    <x v="4"/>
    <x v="0"/>
    <n v="1133"/>
    <n v="1193.75"/>
    <n v="60.75"/>
    <n v="5.3618711385701678E-2"/>
  </r>
  <r>
    <x v="2"/>
    <d v="2010-03-23T00:00:00"/>
    <x v="5"/>
    <x v="1"/>
    <x v="0"/>
    <x v="5"/>
    <x v="1"/>
    <n v="147971.71"/>
    <n v="161713.26999999999"/>
    <n v="13741.559999999998"/>
    <n v="9.2866129613559237E-2"/>
  </r>
  <r>
    <x v="2"/>
    <d v="2010-03-23T00:00:00"/>
    <x v="5"/>
    <x v="1"/>
    <x v="0"/>
    <x v="6"/>
    <x v="1"/>
    <n v="418794.03"/>
    <n v="442087.25"/>
    <n v="23293.219999999972"/>
    <n v="5.5619751790635531E-2"/>
  </r>
  <r>
    <x v="2"/>
    <d v="2010-03-23T00:00:00"/>
    <x v="5"/>
    <x v="1"/>
    <x v="0"/>
    <x v="7"/>
    <x v="1"/>
    <n v="100057.59"/>
    <n v="109765.93"/>
    <n v="9708.3399999999965"/>
    <n v="9.7027521850166457E-2"/>
  </r>
  <r>
    <x v="2"/>
    <d v="2010-03-23T00:00:00"/>
    <x v="5"/>
    <x v="1"/>
    <x v="0"/>
    <x v="8"/>
    <x v="1"/>
    <n v="128091.16"/>
    <n v="140509.17000000001"/>
    <n v="12418.010000000009"/>
    <n v="9.6946658926345963E-2"/>
  </r>
  <r>
    <x v="2"/>
    <d v="2010-03-23T00:00:00"/>
    <x v="5"/>
    <x v="1"/>
    <x v="0"/>
    <x v="9"/>
    <x v="2"/>
    <n v="194590.44"/>
    <n v="209747.87"/>
    <n v="15157.429999999993"/>
    <n v="7.7894011648259764E-2"/>
  </r>
  <r>
    <x v="2"/>
    <d v="2010-03-23T00:00:00"/>
    <x v="5"/>
    <x v="1"/>
    <x v="0"/>
    <x v="10"/>
    <x v="2"/>
    <n v="156488.20000000001"/>
    <n v="163418.18"/>
    <n v="6929.9799999999814"/>
    <n v="4.4284361376768222E-2"/>
  </r>
  <r>
    <x v="2"/>
    <d v="2010-03-23T00:00:00"/>
    <x v="5"/>
    <x v="1"/>
    <x v="0"/>
    <x v="11"/>
    <x v="2"/>
    <n v="44541"/>
    <n v="46794.91"/>
    <n v="2253.9100000000035"/>
    <n v="5.0603039895826395E-2"/>
  </r>
  <r>
    <x v="2"/>
    <d v="2010-03-23T00:00:00"/>
    <x v="5"/>
    <x v="1"/>
    <x v="0"/>
    <x v="12"/>
    <x v="2"/>
    <n v="15898.15"/>
    <n v="17697.46"/>
    <n v="1799.3099999999995"/>
    <n v="0.11317731937363779"/>
  </r>
  <r>
    <x v="2"/>
    <d v="2010-03-23T00:00:00"/>
    <x v="5"/>
    <x v="1"/>
    <x v="0"/>
    <x v="26"/>
    <x v="3"/>
    <n v="7195.59"/>
    <n v="8126.62"/>
    <n v="931.02999999999975"/>
    <n v="0.12938897296816518"/>
  </r>
  <r>
    <x v="2"/>
    <d v="2010-03-23T00:00:00"/>
    <x v="5"/>
    <x v="1"/>
    <x v="0"/>
    <x v="13"/>
    <x v="3"/>
    <n v="70089.78"/>
    <n v="79791.259999999995"/>
    <n v="9701.4799999999959"/>
    <n v="0.13841504424753504"/>
  </r>
  <r>
    <x v="2"/>
    <d v="2010-03-23T00:00:00"/>
    <x v="5"/>
    <x v="1"/>
    <x v="0"/>
    <x v="14"/>
    <x v="3"/>
    <n v="40096.94"/>
    <n v="47481.81"/>
    <n v="7384.8699999999953"/>
    <n v="0.18417540091588025"/>
  </r>
  <r>
    <x v="2"/>
    <d v="2010-03-23T00:00:00"/>
    <x v="5"/>
    <x v="1"/>
    <x v="0"/>
    <x v="15"/>
    <x v="3"/>
    <n v="297011"/>
    <n v="322183.34999999998"/>
    <n v="25172.349999999977"/>
    <n v="8.475224823323034E-2"/>
  </r>
  <r>
    <x v="2"/>
    <d v="2010-03-23T00:00:00"/>
    <x v="5"/>
    <x v="1"/>
    <x v="0"/>
    <x v="16"/>
    <x v="3"/>
    <n v="55841.94"/>
    <n v="64637.39"/>
    <n v="8795.4499999999971"/>
    <n v="0.15750616830289199"/>
  </r>
  <r>
    <x v="2"/>
    <d v="2010-03-23T00:00:00"/>
    <x v="5"/>
    <x v="1"/>
    <x v="0"/>
    <x v="18"/>
    <x v="5"/>
    <n v="59211.57"/>
    <n v="70963.320000000007"/>
    <n v="11751.750000000007"/>
    <n v="0.19847050162662477"/>
  </r>
  <r>
    <x v="2"/>
    <d v="2010-03-23T00:00:00"/>
    <x v="5"/>
    <x v="1"/>
    <x v="0"/>
    <x v="19"/>
    <x v="5"/>
    <n v="23950.21"/>
    <n v="27536.49"/>
    <n v="3586.2800000000025"/>
    <n v="0.14973897932418975"/>
  </r>
  <r>
    <x v="2"/>
    <d v="2010-03-23T00:00:00"/>
    <x v="5"/>
    <x v="1"/>
    <x v="0"/>
    <x v="20"/>
    <x v="5"/>
    <n v="160582.76"/>
    <n v="223660.7"/>
    <n v="63077.94"/>
    <n v="0.39280642579564579"/>
  </r>
  <r>
    <x v="2"/>
    <d v="2010-03-23T00:00:00"/>
    <x v="5"/>
    <x v="1"/>
    <x v="0"/>
    <x v="21"/>
    <x v="5"/>
    <n v="152"/>
    <n v="189.99"/>
    <n v="37.990000000000009"/>
    <n v="0.24993421052631584"/>
  </r>
  <r>
    <x v="2"/>
    <d v="2010-03-23T00:00:00"/>
    <x v="5"/>
    <x v="1"/>
    <x v="0"/>
    <x v="22"/>
    <x v="6"/>
    <n v="2746.36"/>
    <n v="3567.86"/>
    <n v="821.5"/>
    <n v="0.2991232030760716"/>
  </r>
  <r>
    <x v="2"/>
    <d v="2010-03-23T00:00:00"/>
    <x v="5"/>
    <x v="1"/>
    <x v="0"/>
    <x v="23"/>
    <x v="6"/>
    <n v="141605.51999999999"/>
    <n v="145152.25"/>
    <n v="3546.7300000000105"/>
    <n v="2.5046551857583029E-2"/>
  </r>
  <r>
    <x v="2"/>
    <d v="2010-03-23T00:00:00"/>
    <x v="5"/>
    <x v="1"/>
    <x v="0"/>
    <x v="24"/>
    <x v="6"/>
    <n v="264214.34000000003"/>
    <n v="286189.92"/>
    <n v="21975.579999999958"/>
    <n v="8.317330543073459E-2"/>
  </r>
  <r>
    <x v="2"/>
    <d v="2010-03-23T00:00:00"/>
    <x v="5"/>
    <x v="1"/>
    <x v="0"/>
    <x v="25"/>
    <x v="6"/>
    <n v="239639.71"/>
    <n v="244944.27"/>
    <n v="5304.5599999999977"/>
    <n v="2.213556342561088E-2"/>
  </r>
  <r>
    <x v="2"/>
    <d v="2010-03-24T00:00:00"/>
    <x v="5"/>
    <x v="1"/>
    <x v="0"/>
    <x v="0"/>
    <x v="0"/>
    <n v="5222.3900000000003"/>
    <n v="6119.1"/>
    <n v="896.71"/>
    <n v="0.17170490905504951"/>
  </r>
  <r>
    <x v="2"/>
    <d v="2010-03-24T00:00:00"/>
    <x v="5"/>
    <x v="1"/>
    <x v="0"/>
    <x v="1"/>
    <x v="0"/>
    <n v="117000.58"/>
    <n v="159079.24"/>
    <n v="42078.659999999989"/>
    <n v="0.35964488381168697"/>
  </r>
  <r>
    <x v="2"/>
    <d v="2010-03-24T00:00:00"/>
    <x v="5"/>
    <x v="1"/>
    <x v="0"/>
    <x v="2"/>
    <x v="0"/>
    <n v="42278.8"/>
    <n v="47267.21"/>
    <n v="4988.4099999999962"/>
    <n v="0.11798844811110996"/>
  </r>
  <r>
    <x v="2"/>
    <d v="2010-03-24T00:00:00"/>
    <x v="5"/>
    <x v="1"/>
    <x v="0"/>
    <x v="3"/>
    <x v="0"/>
    <n v="574"/>
    <n v="585.36"/>
    <n v="11.360000000000014"/>
    <n v="1.9790940766550545E-2"/>
  </r>
  <r>
    <x v="2"/>
    <d v="2010-03-24T00:00:00"/>
    <x v="5"/>
    <x v="1"/>
    <x v="0"/>
    <x v="4"/>
    <x v="0"/>
    <n v="294"/>
    <n v="337.98"/>
    <n v="43.980000000000018"/>
    <n v="0.14959183673469395"/>
  </r>
  <r>
    <x v="2"/>
    <d v="2010-03-24T00:00:00"/>
    <x v="5"/>
    <x v="1"/>
    <x v="0"/>
    <x v="5"/>
    <x v="1"/>
    <n v="106148.81"/>
    <n v="116434.45"/>
    <n v="10285.64"/>
    <n v="9.6898307197226224E-2"/>
  </r>
  <r>
    <x v="2"/>
    <d v="2010-03-24T00:00:00"/>
    <x v="5"/>
    <x v="1"/>
    <x v="0"/>
    <x v="6"/>
    <x v="1"/>
    <n v="284752.14"/>
    <n v="301191.65999999997"/>
    <n v="16439.51999999996"/>
    <n v="5.773273556434013E-2"/>
  </r>
  <r>
    <x v="2"/>
    <d v="2010-03-24T00:00:00"/>
    <x v="5"/>
    <x v="1"/>
    <x v="0"/>
    <x v="7"/>
    <x v="1"/>
    <n v="59390.51"/>
    <n v="65553.240000000005"/>
    <n v="6162.7300000000032"/>
    <n v="0.10376624144160411"/>
  </r>
  <r>
    <x v="2"/>
    <d v="2010-03-24T00:00:00"/>
    <x v="5"/>
    <x v="1"/>
    <x v="0"/>
    <x v="8"/>
    <x v="1"/>
    <n v="91749.57"/>
    <n v="101435.26"/>
    <n v="9685.6899999999878"/>
    <n v="0.10556659829577389"/>
  </r>
  <r>
    <x v="2"/>
    <d v="2010-03-24T00:00:00"/>
    <x v="5"/>
    <x v="1"/>
    <x v="0"/>
    <x v="9"/>
    <x v="2"/>
    <n v="99784.98"/>
    <n v="106556.49"/>
    <n v="6771.5100000000093"/>
    <n v="6.786101475392399E-2"/>
  </r>
  <r>
    <x v="2"/>
    <d v="2010-03-24T00:00:00"/>
    <x v="5"/>
    <x v="1"/>
    <x v="0"/>
    <x v="10"/>
    <x v="2"/>
    <n v="110261.3"/>
    <n v="114353.15"/>
    <n v="4091.8499999999913"/>
    <n v="3.7110482100247241E-2"/>
  </r>
  <r>
    <x v="2"/>
    <d v="2010-03-24T00:00:00"/>
    <x v="5"/>
    <x v="1"/>
    <x v="0"/>
    <x v="11"/>
    <x v="2"/>
    <n v="64107"/>
    <n v="66415.27"/>
    <n v="2308.2700000000041"/>
    <n v="3.6006520348791926E-2"/>
  </r>
  <r>
    <x v="2"/>
    <d v="2010-03-24T00:00:00"/>
    <x v="5"/>
    <x v="1"/>
    <x v="0"/>
    <x v="12"/>
    <x v="2"/>
    <n v="9937.2999999999993"/>
    <n v="10854.14"/>
    <n v="916.84000000000015"/>
    <n v="9.2262485785877479E-2"/>
  </r>
  <r>
    <x v="2"/>
    <d v="2010-03-24T00:00:00"/>
    <x v="5"/>
    <x v="1"/>
    <x v="0"/>
    <x v="26"/>
    <x v="3"/>
    <n v="3064.97"/>
    <n v="3414.08"/>
    <n v="349.11000000000013"/>
    <n v="0.11390323559447568"/>
  </r>
  <r>
    <x v="2"/>
    <d v="2010-03-24T00:00:00"/>
    <x v="5"/>
    <x v="1"/>
    <x v="0"/>
    <x v="13"/>
    <x v="3"/>
    <n v="63400.62"/>
    <n v="70939.27"/>
    <n v="7538.6500000000015"/>
    <n v="0.11890498862629421"/>
  </r>
  <r>
    <x v="2"/>
    <d v="2010-03-24T00:00:00"/>
    <x v="5"/>
    <x v="1"/>
    <x v="0"/>
    <x v="14"/>
    <x v="3"/>
    <n v="33682.019999999997"/>
    <n v="38912.32"/>
    <n v="5230.3000000000029"/>
    <n v="0.15528462960356901"/>
  </r>
  <r>
    <x v="2"/>
    <d v="2010-03-24T00:00:00"/>
    <x v="5"/>
    <x v="1"/>
    <x v="0"/>
    <x v="15"/>
    <x v="3"/>
    <n v="215152"/>
    <n v="234116.56"/>
    <n v="18964.559999999998"/>
    <n v="8.814493939168587E-2"/>
  </r>
  <r>
    <x v="2"/>
    <d v="2010-03-24T00:00:00"/>
    <x v="5"/>
    <x v="1"/>
    <x v="0"/>
    <x v="16"/>
    <x v="3"/>
    <n v="44241.54"/>
    <n v="50793.14"/>
    <n v="6551.5999999999985"/>
    <n v="0.1480870693018371"/>
  </r>
  <r>
    <x v="2"/>
    <d v="2010-03-24T00:00:00"/>
    <x v="5"/>
    <x v="1"/>
    <x v="0"/>
    <x v="18"/>
    <x v="5"/>
    <n v="25275.24"/>
    <n v="31215.56"/>
    <n v="5940.32"/>
    <n v="0.23502526583328187"/>
  </r>
  <r>
    <x v="2"/>
    <d v="2010-03-24T00:00:00"/>
    <x v="5"/>
    <x v="1"/>
    <x v="0"/>
    <x v="19"/>
    <x v="5"/>
    <n v="11922.72"/>
    <n v="13708.06"/>
    <n v="1785.3400000000001"/>
    <n v="0.14974267616785433"/>
  </r>
  <r>
    <x v="2"/>
    <d v="2010-03-24T00:00:00"/>
    <x v="5"/>
    <x v="1"/>
    <x v="0"/>
    <x v="20"/>
    <x v="5"/>
    <n v="114107.81"/>
    <n v="162787.93"/>
    <n v="48680.119999999995"/>
    <n v="0.42661514579939791"/>
  </r>
  <r>
    <x v="2"/>
    <d v="2010-03-24T00:00:00"/>
    <x v="5"/>
    <x v="1"/>
    <x v="0"/>
    <x v="21"/>
    <x v="5"/>
    <n v="684"/>
    <n v="854.96"/>
    <n v="170.96000000000004"/>
    <n v="0.2499415204678363"/>
  </r>
  <r>
    <x v="2"/>
    <d v="2010-03-24T00:00:00"/>
    <x v="5"/>
    <x v="1"/>
    <x v="0"/>
    <x v="22"/>
    <x v="6"/>
    <n v="592.44000000000005"/>
    <n v="769.11"/>
    <n v="176.66999999999996"/>
    <n v="0.29820741340895268"/>
  </r>
  <r>
    <x v="2"/>
    <d v="2010-03-24T00:00:00"/>
    <x v="5"/>
    <x v="1"/>
    <x v="0"/>
    <x v="23"/>
    <x v="6"/>
    <n v="166177.63"/>
    <n v="170468.87"/>
    <n v="4291.2399999999907"/>
    <n v="2.5823210982127923E-2"/>
  </r>
  <r>
    <x v="2"/>
    <d v="2010-03-24T00:00:00"/>
    <x v="5"/>
    <x v="1"/>
    <x v="0"/>
    <x v="24"/>
    <x v="6"/>
    <n v="178734.04"/>
    <n v="195734.03"/>
    <n v="16999.989999999991"/>
    <n v="9.5113331517600055E-2"/>
  </r>
  <r>
    <x v="2"/>
    <d v="2010-03-24T00:00:00"/>
    <x v="5"/>
    <x v="1"/>
    <x v="0"/>
    <x v="25"/>
    <x v="6"/>
    <n v="166528.69"/>
    <n v="169218.18"/>
    <n v="2689.4899999999907"/>
    <n v="1.6150310195798639E-2"/>
  </r>
  <r>
    <x v="2"/>
    <d v="2010-03-25T00:00:00"/>
    <x v="5"/>
    <x v="1"/>
    <x v="0"/>
    <x v="0"/>
    <x v="0"/>
    <n v="2928"/>
    <n v="3494.99"/>
    <n v="566.98999999999978"/>
    <n v="0.19364412568306003"/>
  </r>
  <r>
    <x v="2"/>
    <d v="2010-03-25T00:00:00"/>
    <x v="5"/>
    <x v="1"/>
    <x v="0"/>
    <x v="1"/>
    <x v="0"/>
    <n v="137716.23000000001"/>
    <n v="175233.7"/>
    <n v="37517.47"/>
    <n v="0.27242591523163245"/>
  </r>
  <r>
    <x v="2"/>
    <d v="2010-03-25T00:00:00"/>
    <x v="5"/>
    <x v="1"/>
    <x v="0"/>
    <x v="2"/>
    <x v="0"/>
    <n v="50651.15"/>
    <n v="56917.23"/>
    <n v="6266.0800000000017"/>
    <n v="0.12371051792506195"/>
  </r>
  <r>
    <x v="2"/>
    <d v="2010-03-25T00:00:00"/>
    <x v="5"/>
    <x v="1"/>
    <x v="0"/>
    <x v="3"/>
    <x v="0"/>
    <n v="574"/>
    <n v="659.88"/>
    <n v="85.88"/>
    <n v="0.14961672473867596"/>
  </r>
  <r>
    <x v="2"/>
    <d v="2010-03-25T00:00:00"/>
    <x v="5"/>
    <x v="1"/>
    <x v="0"/>
    <x v="4"/>
    <x v="0"/>
    <n v="477.87"/>
    <n v="550"/>
    <n v="72.13"/>
    <n v="0.15094063238956201"/>
  </r>
  <r>
    <x v="2"/>
    <d v="2010-03-25T00:00:00"/>
    <x v="5"/>
    <x v="1"/>
    <x v="0"/>
    <x v="5"/>
    <x v="1"/>
    <n v="119132.73"/>
    <n v="129388.96"/>
    <n v="10256.23000000001"/>
    <n v="8.6090782944368102E-2"/>
  </r>
  <r>
    <x v="2"/>
    <d v="2010-03-25T00:00:00"/>
    <x v="5"/>
    <x v="1"/>
    <x v="0"/>
    <x v="6"/>
    <x v="1"/>
    <n v="343285.08"/>
    <n v="363855.57"/>
    <n v="20570.489999999991"/>
    <n v="5.9922470268734047E-2"/>
  </r>
  <r>
    <x v="2"/>
    <d v="2010-03-25T00:00:00"/>
    <x v="5"/>
    <x v="1"/>
    <x v="0"/>
    <x v="7"/>
    <x v="1"/>
    <n v="65553.039999999994"/>
    <n v="73115.19"/>
    <n v="7562.1500000000087"/>
    <n v="0.11535925717556363"/>
  </r>
  <r>
    <x v="2"/>
    <d v="2010-03-25T00:00:00"/>
    <x v="5"/>
    <x v="1"/>
    <x v="0"/>
    <x v="8"/>
    <x v="1"/>
    <n v="104763.61"/>
    <n v="114502.56"/>
    <n v="9738.9499999999971"/>
    <n v="9.2961191390789191E-2"/>
  </r>
  <r>
    <x v="2"/>
    <d v="2010-03-25T00:00:00"/>
    <x v="5"/>
    <x v="1"/>
    <x v="0"/>
    <x v="9"/>
    <x v="2"/>
    <n v="124503.99"/>
    <n v="137447.24"/>
    <n v="12943.249999999985"/>
    <n v="0.10395851570700654"/>
  </r>
  <r>
    <x v="2"/>
    <d v="2010-03-25T00:00:00"/>
    <x v="5"/>
    <x v="1"/>
    <x v="0"/>
    <x v="10"/>
    <x v="2"/>
    <n v="129473.2"/>
    <n v="134755.06"/>
    <n v="5281.8600000000006"/>
    <n v="4.0795006225226541E-2"/>
  </r>
  <r>
    <x v="2"/>
    <d v="2010-03-25T00:00:00"/>
    <x v="5"/>
    <x v="1"/>
    <x v="0"/>
    <x v="11"/>
    <x v="2"/>
    <n v="65195"/>
    <n v="68019.360000000001"/>
    <n v="2824.3600000000006"/>
    <n v="4.3321727126313374E-2"/>
  </r>
  <r>
    <x v="2"/>
    <d v="2010-03-25T00:00:00"/>
    <x v="5"/>
    <x v="1"/>
    <x v="0"/>
    <x v="12"/>
    <x v="2"/>
    <n v="13276.8"/>
    <n v="14766.81"/>
    <n v="1490.0100000000002"/>
    <n v="0.1122265907447578"/>
  </r>
  <r>
    <x v="2"/>
    <d v="2010-03-25T00:00:00"/>
    <x v="5"/>
    <x v="1"/>
    <x v="0"/>
    <x v="26"/>
    <x v="3"/>
    <n v="4626.28"/>
    <n v="5299.62"/>
    <n v="673.34000000000015"/>
    <n v="0.14554674598165268"/>
  </r>
  <r>
    <x v="2"/>
    <d v="2010-03-25T00:00:00"/>
    <x v="5"/>
    <x v="1"/>
    <x v="0"/>
    <x v="13"/>
    <x v="3"/>
    <n v="81166.789999999994"/>
    <n v="91300.92"/>
    <n v="10134.130000000005"/>
    <n v="0.12485562136928176"/>
  </r>
  <r>
    <x v="2"/>
    <d v="2010-03-25T00:00:00"/>
    <x v="5"/>
    <x v="1"/>
    <x v="0"/>
    <x v="14"/>
    <x v="3"/>
    <n v="93758.22"/>
    <n v="106001.38"/>
    <n v="12243.160000000003"/>
    <n v="0.13058225721435415"/>
  </r>
  <r>
    <x v="2"/>
    <d v="2010-03-25T00:00:00"/>
    <x v="5"/>
    <x v="1"/>
    <x v="0"/>
    <x v="15"/>
    <x v="3"/>
    <n v="306728"/>
    <n v="332681.09999999998"/>
    <n v="25953.099999999977"/>
    <n v="8.4612751362770855E-2"/>
  </r>
  <r>
    <x v="2"/>
    <d v="2010-03-25T00:00:00"/>
    <x v="5"/>
    <x v="1"/>
    <x v="0"/>
    <x v="16"/>
    <x v="3"/>
    <n v="41119.040000000001"/>
    <n v="46114.83"/>
    <n v="4995.7900000000009"/>
    <n v="0.12149578394826341"/>
  </r>
  <r>
    <x v="2"/>
    <d v="2010-03-25T00:00:00"/>
    <x v="5"/>
    <x v="1"/>
    <x v="0"/>
    <x v="18"/>
    <x v="5"/>
    <n v="19074.63"/>
    <n v="24963.19"/>
    <n v="5888.5599999999977"/>
    <n v="0.30871162376413053"/>
  </r>
  <r>
    <x v="2"/>
    <d v="2010-03-25T00:00:00"/>
    <x v="5"/>
    <x v="1"/>
    <x v="0"/>
    <x v="19"/>
    <x v="5"/>
    <n v="11408.78"/>
    <n v="13117.87"/>
    <n v="1709.0900000000001"/>
    <n v="0.14980479946146741"/>
  </r>
  <r>
    <x v="2"/>
    <d v="2010-03-25T00:00:00"/>
    <x v="5"/>
    <x v="1"/>
    <x v="0"/>
    <x v="20"/>
    <x v="5"/>
    <n v="138794.01999999999"/>
    <n v="195821.67"/>
    <n v="57027.650000000023"/>
    <n v="0.41087973386749682"/>
  </r>
  <r>
    <x v="2"/>
    <d v="2010-03-25T00:00:00"/>
    <x v="5"/>
    <x v="1"/>
    <x v="0"/>
    <x v="21"/>
    <x v="5"/>
    <n v="228"/>
    <n v="284.95"/>
    <n v="56.949999999999989"/>
    <n v="0.24978070175438591"/>
  </r>
  <r>
    <x v="2"/>
    <d v="2010-03-25T00:00:00"/>
    <x v="5"/>
    <x v="1"/>
    <x v="0"/>
    <x v="22"/>
    <x v="6"/>
    <n v="911.52"/>
    <n v="1184.7"/>
    <n v="273.18000000000006"/>
    <n v="0.29969720905739872"/>
  </r>
  <r>
    <x v="2"/>
    <d v="2010-03-25T00:00:00"/>
    <x v="5"/>
    <x v="1"/>
    <x v="0"/>
    <x v="23"/>
    <x v="6"/>
    <n v="66046.39"/>
    <n v="71452.92"/>
    <n v="5406.5299999999988"/>
    <n v="8.1859583847050513E-2"/>
  </r>
  <r>
    <x v="2"/>
    <d v="2010-03-25T00:00:00"/>
    <x v="5"/>
    <x v="1"/>
    <x v="0"/>
    <x v="24"/>
    <x v="6"/>
    <n v="115470.76"/>
    <n v="125944.98"/>
    <n v="10474.220000000001"/>
    <n v="9.0708851314393366E-2"/>
  </r>
  <r>
    <x v="2"/>
    <d v="2010-03-25T00:00:00"/>
    <x v="5"/>
    <x v="1"/>
    <x v="0"/>
    <x v="25"/>
    <x v="6"/>
    <n v="88909.81"/>
    <n v="93534.92"/>
    <n v="4625.1100000000006"/>
    <n v="5.2020243885348545E-2"/>
  </r>
  <r>
    <x v="2"/>
    <d v="2010-03-26T00:00:00"/>
    <x v="5"/>
    <x v="1"/>
    <x v="0"/>
    <x v="0"/>
    <x v="0"/>
    <n v="4526.8100000000004"/>
    <n v="6099.33"/>
    <n v="1572.5199999999995"/>
    <n v="0.34737928033206594"/>
  </r>
  <r>
    <x v="2"/>
    <d v="2010-03-26T00:00:00"/>
    <x v="5"/>
    <x v="1"/>
    <x v="0"/>
    <x v="1"/>
    <x v="0"/>
    <n v="140070.71"/>
    <n v="194367.45"/>
    <n v="54296.74000000002"/>
    <n v="0.38763807222794844"/>
  </r>
  <r>
    <x v="2"/>
    <d v="2010-03-26T00:00:00"/>
    <x v="5"/>
    <x v="1"/>
    <x v="0"/>
    <x v="2"/>
    <x v="0"/>
    <n v="68876.210000000006"/>
    <n v="77587.7"/>
    <n v="8711.4899999999907"/>
    <n v="0.12648039141526501"/>
  </r>
  <r>
    <x v="2"/>
    <d v="2010-03-26T00:00:00"/>
    <x v="5"/>
    <x v="1"/>
    <x v="0"/>
    <x v="4"/>
    <x v="0"/>
    <n v="294"/>
    <n v="337.85"/>
    <n v="43.850000000000023"/>
    <n v="0.14914965986394566"/>
  </r>
  <r>
    <x v="2"/>
    <d v="2010-03-26T00:00:00"/>
    <x v="5"/>
    <x v="1"/>
    <x v="0"/>
    <x v="5"/>
    <x v="1"/>
    <n v="129697.15"/>
    <n v="141977.88"/>
    <n v="12280.73000000001"/>
    <n v="9.4687739861670131E-2"/>
  </r>
  <r>
    <x v="2"/>
    <d v="2010-03-26T00:00:00"/>
    <x v="5"/>
    <x v="1"/>
    <x v="0"/>
    <x v="6"/>
    <x v="1"/>
    <n v="350496.07"/>
    <n v="373699.3"/>
    <n v="23203.229999999981"/>
    <n v="6.6201113182239049E-2"/>
  </r>
  <r>
    <x v="2"/>
    <d v="2010-03-26T00:00:00"/>
    <x v="5"/>
    <x v="1"/>
    <x v="0"/>
    <x v="7"/>
    <x v="1"/>
    <n v="81288.97"/>
    <n v="89791.18"/>
    <n v="8502.2099999999919"/>
    <n v="0.10459241887306472"/>
  </r>
  <r>
    <x v="2"/>
    <d v="2010-03-26T00:00:00"/>
    <x v="5"/>
    <x v="1"/>
    <x v="0"/>
    <x v="8"/>
    <x v="1"/>
    <n v="130995.29"/>
    <n v="143357.10999999999"/>
    <n v="12361.819999999992"/>
    <n v="9.4368431109240591E-2"/>
  </r>
  <r>
    <x v="2"/>
    <d v="2010-03-26T00:00:00"/>
    <x v="5"/>
    <x v="1"/>
    <x v="0"/>
    <x v="9"/>
    <x v="2"/>
    <n v="250530.14"/>
    <n v="273973.98"/>
    <n v="23443.839999999967"/>
    <n v="9.3576924516946214E-2"/>
  </r>
  <r>
    <x v="2"/>
    <d v="2010-03-26T00:00:00"/>
    <x v="5"/>
    <x v="1"/>
    <x v="0"/>
    <x v="10"/>
    <x v="2"/>
    <n v="172090.9"/>
    <n v="177957.8"/>
    <n v="5866.8999999999942"/>
    <n v="3.4091866565867192E-2"/>
  </r>
  <r>
    <x v="2"/>
    <d v="2010-03-26T00:00:00"/>
    <x v="5"/>
    <x v="1"/>
    <x v="0"/>
    <x v="11"/>
    <x v="2"/>
    <n v="90523"/>
    <n v="93414.34"/>
    <n v="2891.3399999999965"/>
    <n v="3.1940390839897005E-2"/>
  </r>
  <r>
    <x v="2"/>
    <d v="2010-03-26T00:00:00"/>
    <x v="5"/>
    <x v="1"/>
    <x v="0"/>
    <x v="12"/>
    <x v="2"/>
    <n v="20202.25"/>
    <n v="21969.66"/>
    <n v="1767.4099999999999"/>
    <n v="8.7485799849026713E-2"/>
  </r>
  <r>
    <x v="2"/>
    <d v="2010-03-26T00:00:00"/>
    <x v="5"/>
    <x v="1"/>
    <x v="0"/>
    <x v="26"/>
    <x v="3"/>
    <n v="4704.3100000000004"/>
    <n v="5267.05"/>
    <n v="562.73999999999978"/>
    <n v="0.11962221877384775"/>
  </r>
  <r>
    <x v="2"/>
    <d v="2010-03-26T00:00:00"/>
    <x v="5"/>
    <x v="1"/>
    <x v="0"/>
    <x v="13"/>
    <x v="3"/>
    <n v="127603.89"/>
    <n v="145112.57999999999"/>
    <n v="17508.689999999988"/>
    <n v="0.13721125586375138"/>
  </r>
  <r>
    <x v="2"/>
    <d v="2010-03-26T00:00:00"/>
    <x v="5"/>
    <x v="1"/>
    <x v="0"/>
    <x v="14"/>
    <x v="3"/>
    <n v="77985.8"/>
    <n v="89034.97"/>
    <n v="11049.169999999998"/>
    <n v="0.14168181899781751"/>
  </r>
  <r>
    <x v="2"/>
    <d v="2010-03-26T00:00:00"/>
    <x v="5"/>
    <x v="1"/>
    <x v="0"/>
    <x v="15"/>
    <x v="3"/>
    <n v="425814.33"/>
    <n v="458315.41"/>
    <n v="32501.079999999958"/>
    <n v="7.6326881718611864E-2"/>
  </r>
  <r>
    <x v="2"/>
    <d v="2010-03-26T00:00:00"/>
    <x v="5"/>
    <x v="1"/>
    <x v="0"/>
    <x v="16"/>
    <x v="3"/>
    <n v="32772"/>
    <n v="36099.54"/>
    <n v="3327.5400000000009"/>
    <n v="0.10153606737458809"/>
  </r>
  <r>
    <x v="2"/>
    <d v="2010-03-26T00:00:00"/>
    <x v="5"/>
    <x v="1"/>
    <x v="0"/>
    <x v="18"/>
    <x v="5"/>
    <n v="18544.38"/>
    <n v="21684"/>
    <n v="3139.619999999999"/>
    <n v="0.16930304491171982"/>
  </r>
  <r>
    <x v="2"/>
    <d v="2010-03-26T00:00:00"/>
    <x v="5"/>
    <x v="1"/>
    <x v="0"/>
    <x v="19"/>
    <x v="5"/>
    <n v="17158.63"/>
    <n v="19728.259999999998"/>
    <n v="2569.6299999999974"/>
    <n v="0.14975729414294714"/>
  </r>
  <r>
    <x v="2"/>
    <d v="2010-03-26T00:00:00"/>
    <x v="5"/>
    <x v="1"/>
    <x v="0"/>
    <x v="20"/>
    <x v="5"/>
    <n v="170795.49"/>
    <n v="239645.55"/>
    <n v="68850.06"/>
    <n v="0.40311404007213542"/>
  </r>
  <r>
    <x v="2"/>
    <d v="2010-03-26T00:00:00"/>
    <x v="5"/>
    <x v="1"/>
    <x v="0"/>
    <x v="21"/>
    <x v="5"/>
    <n v="912"/>
    <n v="1139.98"/>
    <n v="227.98000000000002"/>
    <n v="0.2499780701754386"/>
  </r>
  <r>
    <x v="2"/>
    <d v="2010-03-26T00:00:00"/>
    <x v="5"/>
    <x v="1"/>
    <x v="0"/>
    <x v="22"/>
    <x v="6"/>
    <n v="3738.6"/>
    <n v="4859.72"/>
    <n v="1121.1200000000003"/>
    <n v="0.29987695928957375"/>
  </r>
  <r>
    <x v="2"/>
    <d v="2010-03-26T00:00:00"/>
    <x v="5"/>
    <x v="1"/>
    <x v="0"/>
    <x v="23"/>
    <x v="6"/>
    <n v="97172.35"/>
    <n v="103810.54"/>
    <n v="6638.1899999999878"/>
    <n v="6.8313568623173032E-2"/>
  </r>
  <r>
    <x v="2"/>
    <d v="2010-03-26T00:00:00"/>
    <x v="5"/>
    <x v="1"/>
    <x v="0"/>
    <x v="24"/>
    <x v="6"/>
    <n v="214333.51"/>
    <n v="229808.02"/>
    <n v="15474.50999999998"/>
    <n v="7.2198276415106441E-2"/>
  </r>
  <r>
    <x v="2"/>
    <d v="2010-03-26T00:00:00"/>
    <x v="5"/>
    <x v="1"/>
    <x v="0"/>
    <x v="25"/>
    <x v="6"/>
    <n v="160725.66"/>
    <n v="162658.95000000001"/>
    <n v="1933.2900000000081"/>
    <n v="1.2028508702344157E-2"/>
  </r>
  <r>
    <x v="2"/>
    <d v="2010-03-27T00:00:00"/>
    <x v="5"/>
    <x v="1"/>
    <x v="0"/>
    <x v="0"/>
    <x v="0"/>
    <n v="16224.33"/>
    <n v="21848.82"/>
    <n v="5624.49"/>
    <n v="0.34667009361865792"/>
  </r>
  <r>
    <x v="2"/>
    <d v="2010-03-27T00:00:00"/>
    <x v="5"/>
    <x v="1"/>
    <x v="0"/>
    <x v="1"/>
    <x v="0"/>
    <n v="208006.71"/>
    <n v="284714.36"/>
    <n v="76707.649999999994"/>
    <n v="0.36877488231028699"/>
  </r>
  <r>
    <x v="2"/>
    <d v="2010-03-27T00:00:00"/>
    <x v="5"/>
    <x v="1"/>
    <x v="0"/>
    <x v="2"/>
    <x v="0"/>
    <n v="74514.259999999995"/>
    <n v="83358.009999999995"/>
    <n v="8843.75"/>
    <n v="0.11868533620276174"/>
  </r>
  <r>
    <x v="2"/>
    <d v="2010-03-27T00:00:00"/>
    <x v="5"/>
    <x v="1"/>
    <x v="0"/>
    <x v="5"/>
    <x v="1"/>
    <n v="168504.7"/>
    <n v="185297.22"/>
    <n v="16792.51999999999"/>
    <n v="9.965609267872047E-2"/>
  </r>
  <r>
    <x v="2"/>
    <d v="2010-03-27T00:00:00"/>
    <x v="5"/>
    <x v="1"/>
    <x v="0"/>
    <x v="6"/>
    <x v="1"/>
    <n v="440986.97"/>
    <n v="472028.08"/>
    <n v="31041.110000000044"/>
    <n v="7.0390084314736201E-2"/>
  </r>
  <r>
    <x v="2"/>
    <d v="2010-03-27T00:00:00"/>
    <x v="5"/>
    <x v="1"/>
    <x v="0"/>
    <x v="7"/>
    <x v="1"/>
    <n v="114898.79"/>
    <n v="126015.48"/>
    <n v="11116.690000000002"/>
    <n v="9.675201975582165E-2"/>
  </r>
  <r>
    <x v="2"/>
    <d v="2010-03-27T00:00:00"/>
    <x v="5"/>
    <x v="1"/>
    <x v="0"/>
    <x v="8"/>
    <x v="1"/>
    <n v="169091.51"/>
    <n v="184383.52"/>
    <n v="15292.00999999998"/>
    <n v="9.0436296890364157E-2"/>
  </r>
  <r>
    <x v="2"/>
    <d v="2010-03-27T00:00:00"/>
    <x v="5"/>
    <x v="1"/>
    <x v="0"/>
    <x v="9"/>
    <x v="2"/>
    <n v="292527.27"/>
    <n v="315736.75"/>
    <n v="23209.479999999981"/>
    <n v="7.9341252526644715E-2"/>
  </r>
  <r>
    <x v="2"/>
    <d v="2010-03-27T00:00:00"/>
    <x v="5"/>
    <x v="1"/>
    <x v="0"/>
    <x v="10"/>
    <x v="2"/>
    <n v="156130"/>
    <n v="162198.43"/>
    <n v="6068.429999999993"/>
    <n v="3.8867802472298679E-2"/>
  </r>
  <r>
    <x v="2"/>
    <d v="2010-03-27T00:00:00"/>
    <x v="5"/>
    <x v="1"/>
    <x v="0"/>
    <x v="11"/>
    <x v="2"/>
    <n v="95905"/>
    <n v="99663.360000000001"/>
    <n v="3758.3600000000006"/>
    <n v="3.9188363484698403E-2"/>
  </r>
  <r>
    <x v="2"/>
    <d v="2010-03-27T00:00:00"/>
    <x v="5"/>
    <x v="1"/>
    <x v="0"/>
    <x v="12"/>
    <x v="2"/>
    <n v="14602.6"/>
    <n v="16582.04"/>
    <n v="1979.4400000000005"/>
    <n v="0.13555394244860508"/>
  </r>
  <r>
    <x v="2"/>
    <d v="2010-03-27T00:00:00"/>
    <x v="5"/>
    <x v="1"/>
    <x v="0"/>
    <x v="26"/>
    <x v="3"/>
    <n v="7520.42"/>
    <n v="8455.07"/>
    <n v="934.64999999999964"/>
    <n v="0.12428162256895221"/>
  </r>
  <r>
    <x v="2"/>
    <d v="2010-03-27T00:00:00"/>
    <x v="5"/>
    <x v="1"/>
    <x v="0"/>
    <x v="13"/>
    <x v="3"/>
    <n v="182190.47"/>
    <n v="207416.74"/>
    <n v="25226.26999999999"/>
    <n v="0.13846097438576227"/>
  </r>
  <r>
    <x v="2"/>
    <d v="2010-03-27T00:00:00"/>
    <x v="5"/>
    <x v="1"/>
    <x v="0"/>
    <x v="14"/>
    <x v="3"/>
    <n v="83061.3"/>
    <n v="92747.23"/>
    <n v="9685.929999999993"/>
    <n v="0.11661182765018116"/>
  </r>
  <r>
    <x v="2"/>
    <d v="2010-03-27T00:00:00"/>
    <x v="5"/>
    <x v="1"/>
    <x v="0"/>
    <x v="15"/>
    <x v="3"/>
    <n v="786333.33"/>
    <n v="850685.05"/>
    <n v="64351.720000000088"/>
    <n v="8.1837711241363881E-2"/>
  </r>
  <r>
    <x v="2"/>
    <d v="2010-03-27T00:00:00"/>
    <x v="5"/>
    <x v="1"/>
    <x v="0"/>
    <x v="16"/>
    <x v="3"/>
    <n v="150503.64000000001"/>
    <n v="169465.25"/>
    <n v="18961.609999999986"/>
    <n v="0.12598771697481859"/>
  </r>
  <r>
    <x v="2"/>
    <d v="2010-03-27T00:00:00"/>
    <x v="5"/>
    <x v="1"/>
    <x v="0"/>
    <x v="18"/>
    <x v="5"/>
    <n v="35801.870000000003"/>
    <n v="41522.120000000003"/>
    <n v="5720.25"/>
    <n v="0.15977517375489045"/>
  </r>
  <r>
    <x v="2"/>
    <d v="2010-03-27T00:00:00"/>
    <x v="5"/>
    <x v="1"/>
    <x v="0"/>
    <x v="19"/>
    <x v="5"/>
    <n v="27532.82"/>
    <n v="31656.27"/>
    <n v="4123.4500000000007"/>
    <n v="0.14976489876445642"/>
  </r>
  <r>
    <x v="2"/>
    <d v="2010-03-27T00:00:00"/>
    <x v="5"/>
    <x v="1"/>
    <x v="0"/>
    <x v="20"/>
    <x v="5"/>
    <n v="218498.71"/>
    <n v="306553.28999999998"/>
    <n v="88054.579999999987"/>
    <n v="0.40299816873060712"/>
  </r>
  <r>
    <x v="2"/>
    <d v="2010-03-27T00:00:00"/>
    <x v="5"/>
    <x v="1"/>
    <x v="0"/>
    <x v="21"/>
    <x v="5"/>
    <n v="1140"/>
    <n v="1424.91"/>
    <n v="284.91000000000008"/>
    <n v="0.24992105263157902"/>
  </r>
  <r>
    <x v="2"/>
    <d v="2010-03-27T00:00:00"/>
    <x v="5"/>
    <x v="1"/>
    <x v="0"/>
    <x v="22"/>
    <x v="6"/>
    <n v="3389.64"/>
    <n v="4405.25"/>
    <n v="1015.6100000000001"/>
    <n v="0.2996217887445275"/>
  </r>
  <r>
    <x v="2"/>
    <d v="2010-03-27T00:00:00"/>
    <x v="5"/>
    <x v="1"/>
    <x v="0"/>
    <x v="23"/>
    <x v="6"/>
    <n v="208337.41"/>
    <n v="211715.78"/>
    <n v="3378.3699999999953"/>
    <n v="1.6215858688077168E-2"/>
  </r>
  <r>
    <x v="2"/>
    <d v="2010-03-27T00:00:00"/>
    <x v="5"/>
    <x v="1"/>
    <x v="0"/>
    <x v="24"/>
    <x v="6"/>
    <n v="597412.34"/>
    <n v="498785.45"/>
    <n v="-98626.889999999956"/>
    <n v="-0.16509014527553945"/>
  </r>
  <r>
    <x v="2"/>
    <d v="2010-03-27T00:00:00"/>
    <x v="5"/>
    <x v="1"/>
    <x v="0"/>
    <x v="25"/>
    <x v="6"/>
    <n v="309462.15999999997"/>
    <n v="301087.03000000003"/>
    <n v="-8375.1299999999464"/>
    <n v="-2.7063502691249706E-2"/>
  </r>
  <r>
    <x v="2"/>
    <d v="2010-03-28T00:00:00"/>
    <x v="6"/>
    <x v="1"/>
    <x v="0"/>
    <x v="0"/>
    <x v="0"/>
    <n v="9646.76"/>
    <n v="12565.45"/>
    <n v="2918.6900000000005"/>
    <n v="0.30255650601860112"/>
  </r>
  <r>
    <x v="2"/>
    <d v="2010-03-28T00:00:00"/>
    <x v="6"/>
    <x v="1"/>
    <x v="0"/>
    <x v="1"/>
    <x v="0"/>
    <n v="145687.39000000001"/>
    <n v="188911.72"/>
    <n v="43224.329999999987"/>
    <n v="0.29669232182689237"/>
  </r>
  <r>
    <x v="2"/>
    <d v="2010-03-28T00:00:00"/>
    <x v="6"/>
    <x v="1"/>
    <x v="0"/>
    <x v="2"/>
    <x v="0"/>
    <n v="68075.740000000005"/>
    <n v="75990.320000000007"/>
    <n v="7914.5800000000017"/>
    <n v="0.11626138768377695"/>
  </r>
  <r>
    <x v="2"/>
    <d v="2010-03-28T00:00:00"/>
    <x v="6"/>
    <x v="1"/>
    <x v="0"/>
    <x v="3"/>
    <x v="0"/>
    <n v="574"/>
    <n v="585.38"/>
    <n v="11.379999999999995"/>
    <n v="1.9825783972125428E-2"/>
  </r>
  <r>
    <x v="2"/>
    <d v="2010-03-28T00:00:00"/>
    <x v="6"/>
    <x v="1"/>
    <x v="0"/>
    <x v="5"/>
    <x v="1"/>
    <n v="160876.79"/>
    <n v="175849.4"/>
    <n v="14972.609999999986"/>
    <n v="9.3068801285754052E-2"/>
  </r>
  <r>
    <x v="2"/>
    <d v="2010-03-28T00:00:00"/>
    <x v="6"/>
    <x v="1"/>
    <x v="0"/>
    <x v="6"/>
    <x v="1"/>
    <n v="455922.34"/>
    <n v="485863.38"/>
    <n v="29941.039999999979"/>
    <n v="6.5671359732010451E-2"/>
  </r>
  <r>
    <x v="2"/>
    <d v="2010-03-28T00:00:00"/>
    <x v="6"/>
    <x v="1"/>
    <x v="0"/>
    <x v="7"/>
    <x v="1"/>
    <n v="93573.19"/>
    <n v="102620.79"/>
    <n v="9047.5999999999913"/>
    <n v="9.6690088261391874E-2"/>
  </r>
  <r>
    <x v="2"/>
    <d v="2010-03-28T00:00:00"/>
    <x v="6"/>
    <x v="1"/>
    <x v="0"/>
    <x v="8"/>
    <x v="1"/>
    <n v="183156.69"/>
    <n v="200200.64"/>
    <n v="17043.950000000012"/>
    <n v="9.305666093878423E-2"/>
  </r>
  <r>
    <x v="2"/>
    <d v="2010-03-28T00:00:00"/>
    <x v="6"/>
    <x v="1"/>
    <x v="0"/>
    <x v="9"/>
    <x v="2"/>
    <n v="152786.32"/>
    <n v="168654.21"/>
    <n v="15867.889999999985"/>
    <n v="0.10385674581336853"/>
  </r>
  <r>
    <x v="2"/>
    <d v="2010-03-28T00:00:00"/>
    <x v="6"/>
    <x v="1"/>
    <x v="0"/>
    <x v="10"/>
    <x v="2"/>
    <n v="132399.70000000001"/>
    <n v="137966.53"/>
    <n v="5566.8299999999872"/>
    <n v="4.2045639076221372E-2"/>
  </r>
  <r>
    <x v="2"/>
    <d v="2010-03-28T00:00:00"/>
    <x v="6"/>
    <x v="1"/>
    <x v="0"/>
    <x v="11"/>
    <x v="2"/>
    <n v="84607"/>
    <n v="88628.27"/>
    <n v="4021.2700000000041"/>
    <n v="4.7528809672958548E-2"/>
  </r>
  <r>
    <x v="2"/>
    <d v="2010-03-28T00:00:00"/>
    <x v="6"/>
    <x v="1"/>
    <x v="0"/>
    <x v="12"/>
    <x v="2"/>
    <n v="14229.35"/>
    <n v="15726.26"/>
    <n v="1496.9099999999999"/>
    <n v="0.10519876171434393"/>
  </r>
  <r>
    <x v="2"/>
    <d v="2010-03-28T00:00:00"/>
    <x v="6"/>
    <x v="1"/>
    <x v="0"/>
    <x v="26"/>
    <x v="3"/>
    <n v="4289.3100000000004"/>
    <n v="4878.6899999999996"/>
    <n v="589.3799999999992"/>
    <n v="0.13740671576547256"/>
  </r>
  <r>
    <x v="2"/>
    <d v="2010-03-28T00:00:00"/>
    <x v="6"/>
    <x v="1"/>
    <x v="0"/>
    <x v="13"/>
    <x v="3"/>
    <n v="136164.48000000001"/>
    <n v="155324.5"/>
    <n v="19160.01999999999"/>
    <n v="0.14071232086370827"/>
  </r>
  <r>
    <x v="2"/>
    <d v="2010-03-28T00:00:00"/>
    <x v="6"/>
    <x v="1"/>
    <x v="0"/>
    <x v="14"/>
    <x v="3"/>
    <n v="58171.25"/>
    <n v="63015.43"/>
    <n v="4844.18"/>
    <n v="8.327446977673679E-2"/>
  </r>
  <r>
    <x v="2"/>
    <d v="2010-03-28T00:00:00"/>
    <x v="6"/>
    <x v="1"/>
    <x v="0"/>
    <x v="15"/>
    <x v="3"/>
    <n v="613454"/>
    <n v="660446.18999999994"/>
    <n v="46992.189999999944"/>
    <n v="7.6602630352071946E-2"/>
  </r>
  <r>
    <x v="2"/>
    <d v="2010-03-28T00:00:00"/>
    <x v="6"/>
    <x v="1"/>
    <x v="0"/>
    <x v="16"/>
    <x v="3"/>
    <n v="130564.16"/>
    <n v="147355.76"/>
    <n v="16791.600000000006"/>
    <n v="0.12860803454791886"/>
  </r>
  <r>
    <x v="2"/>
    <d v="2010-03-28T00:00:00"/>
    <x v="6"/>
    <x v="1"/>
    <x v="0"/>
    <x v="18"/>
    <x v="5"/>
    <n v="27264.880000000001"/>
    <n v="31402.99"/>
    <n v="4138.1100000000006"/>
    <n v="0.15177437054555165"/>
  </r>
  <r>
    <x v="2"/>
    <d v="2010-03-28T00:00:00"/>
    <x v="6"/>
    <x v="1"/>
    <x v="0"/>
    <x v="19"/>
    <x v="5"/>
    <n v="17352.62"/>
    <n v="19953.259999999998"/>
    <n v="2600.6399999999994"/>
    <n v="0.14987016369862302"/>
  </r>
  <r>
    <x v="2"/>
    <d v="2010-03-28T00:00:00"/>
    <x v="6"/>
    <x v="1"/>
    <x v="0"/>
    <x v="20"/>
    <x v="5"/>
    <n v="190074.26"/>
    <n v="272288.75"/>
    <n v="82214.489999999991"/>
    <n v="0.43253878773485682"/>
  </r>
  <r>
    <x v="2"/>
    <d v="2010-03-28T00:00:00"/>
    <x v="6"/>
    <x v="1"/>
    <x v="0"/>
    <x v="21"/>
    <x v="5"/>
    <n v="532"/>
    <n v="665"/>
    <n v="133"/>
    <n v="0.25"/>
  </r>
  <r>
    <x v="2"/>
    <d v="2010-03-28T00:00:00"/>
    <x v="6"/>
    <x v="1"/>
    <x v="0"/>
    <x v="22"/>
    <x v="6"/>
    <n v="3703.8"/>
    <n v="4813.96"/>
    <n v="1110.1599999999999"/>
    <n v="0.29973540687942107"/>
  </r>
  <r>
    <x v="2"/>
    <d v="2010-03-28T00:00:00"/>
    <x v="6"/>
    <x v="1"/>
    <x v="0"/>
    <x v="23"/>
    <x v="6"/>
    <n v="175415.59"/>
    <n v="184169.1"/>
    <n v="8753.5100000000093"/>
    <n v="4.9901550939685631E-2"/>
  </r>
  <r>
    <x v="2"/>
    <d v="2010-03-28T00:00:00"/>
    <x v="6"/>
    <x v="1"/>
    <x v="0"/>
    <x v="24"/>
    <x v="6"/>
    <n v="291568.51"/>
    <n v="317604.64"/>
    <n v="26036.130000000005"/>
    <n v="8.9296783112826572E-2"/>
  </r>
  <r>
    <x v="2"/>
    <d v="2010-03-28T00:00:00"/>
    <x v="6"/>
    <x v="1"/>
    <x v="0"/>
    <x v="25"/>
    <x v="6"/>
    <n v="190436.05"/>
    <n v="181964.3"/>
    <n v="-8471.75"/>
    <n v="-4.4486062381571136E-2"/>
  </r>
  <r>
    <x v="2"/>
    <d v="2010-03-29T00:00:00"/>
    <x v="6"/>
    <x v="1"/>
    <x v="0"/>
    <x v="0"/>
    <x v="0"/>
    <n v="7441.66"/>
    <n v="10125.209999999999"/>
    <n v="2683.5499999999993"/>
    <n v="0.360611745228887"/>
  </r>
  <r>
    <x v="2"/>
    <d v="2010-03-29T00:00:00"/>
    <x v="6"/>
    <x v="1"/>
    <x v="0"/>
    <x v="1"/>
    <x v="0"/>
    <n v="121902.42"/>
    <n v="166615.85999999999"/>
    <n v="44713.439999999988"/>
    <n v="0.36679698401393501"/>
  </r>
  <r>
    <x v="2"/>
    <d v="2010-03-29T00:00:00"/>
    <x v="6"/>
    <x v="1"/>
    <x v="0"/>
    <x v="2"/>
    <x v="0"/>
    <n v="53262.2"/>
    <n v="59618.13"/>
    <n v="6355.93"/>
    <n v="0.11933284768560068"/>
  </r>
  <r>
    <x v="2"/>
    <d v="2010-03-29T00:00:00"/>
    <x v="6"/>
    <x v="1"/>
    <x v="0"/>
    <x v="3"/>
    <x v="0"/>
    <n v="574"/>
    <n v="659.91"/>
    <n v="85.909999999999968"/>
    <n v="0.14966898954703828"/>
  </r>
  <r>
    <x v="2"/>
    <d v="2010-03-29T00:00:00"/>
    <x v="6"/>
    <x v="1"/>
    <x v="0"/>
    <x v="4"/>
    <x v="0"/>
    <n v="1022.87"/>
    <n v="1036.8"/>
    <n v="13.92999999999995"/>
    <n v="1.3618543900984437E-2"/>
  </r>
  <r>
    <x v="2"/>
    <d v="2010-03-29T00:00:00"/>
    <x v="6"/>
    <x v="1"/>
    <x v="0"/>
    <x v="5"/>
    <x v="1"/>
    <n v="101650.69"/>
    <n v="111017.25"/>
    <n v="9366.5599999999977"/>
    <n v="9.2144578654606249E-2"/>
  </r>
  <r>
    <x v="2"/>
    <d v="2010-03-29T00:00:00"/>
    <x v="6"/>
    <x v="1"/>
    <x v="0"/>
    <x v="6"/>
    <x v="1"/>
    <n v="354651.88"/>
    <n v="377072.46"/>
    <n v="22420.580000000016"/>
    <n v="6.3218556743587589E-2"/>
  </r>
  <r>
    <x v="2"/>
    <d v="2010-03-29T00:00:00"/>
    <x v="6"/>
    <x v="1"/>
    <x v="0"/>
    <x v="7"/>
    <x v="1"/>
    <n v="72168.53"/>
    <n v="79809.509999999995"/>
    <n v="7640.9799999999959"/>
    <n v="0.10587689675818526"/>
  </r>
  <r>
    <x v="2"/>
    <d v="2010-03-29T00:00:00"/>
    <x v="6"/>
    <x v="1"/>
    <x v="0"/>
    <x v="8"/>
    <x v="1"/>
    <n v="148478.66"/>
    <n v="160744.84"/>
    <n v="12266.179999999993"/>
    <n v="8.2612410429889344E-2"/>
  </r>
  <r>
    <x v="2"/>
    <d v="2010-03-29T00:00:00"/>
    <x v="6"/>
    <x v="1"/>
    <x v="0"/>
    <x v="9"/>
    <x v="2"/>
    <n v="138232.5"/>
    <n v="149300.51"/>
    <n v="11068.010000000009"/>
    <n v="8.0068073716383692E-2"/>
  </r>
  <r>
    <x v="2"/>
    <d v="2010-03-29T00:00:00"/>
    <x v="6"/>
    <x v="1"/>
    <x v="0"/>
    <x v="10"/>
    <x v="2"/>
    <n v="104956.5"/>
    <n v="109857.47"/>
    <n v="4900.9700000000012"/>
    <n v="4.6695249936878624E-2"/>
  </r>
  <r>
    <x v="2"/>
    <d v="2010-03-29T00:00:00"/>
    <x v="6"/>
    <x v="1"/>
    <x v="0"/>
    <x v="11"/>
    <x v="2"/>
    <n v="46461"/>
    <n v="49283.9"/>
    <n v="2822.9000000000015"/>
    <n v="6.0758485611588246E-2"/>
  </r>
  <r>
    <x v="2"/>
    <d v="2010-03-29T00:00:00"/>
    <x v="6"/>
    <x v="1"/>
    <x v="0"/>
    <x v="12"/>
    <x v="2"/>
    <n v="16105.05"/>
    <n v="18210.09"/>
    <n v="2105.0400000000009"/>
    <n v="0.13070682798252728"/>
  </r>
  <r>
    <x v="2"/>
    <d v="2010-03-29T00:00:00"/>
    <x v="6"/>
    <x v="1"/>
    <x v="0"/>
    <x v="26"/>
    <x v="3"/>
    <n v="963.7"/>
    <n v="1093.58"/>
    <n v="129.87999999999988"/>
    <n v="0.13477223202241348"/>
  </r>
  <r>
    <x v="2"/>
    <d v="2010-03-29T00:00:00"/>
    <x v="6"/>
    <x v="1"/>
    <x v="0"/>
    <x v="13"/>
    <x v="3"/>
    <n v="92362.77"/>
    <n v="105066.95"/>
    <n v="12704.179999999993"/>
    <n v="0.13754654608128353"/>
  </r>
  <r>
    <x v="2"/>
    <d v="2010-03-29T00:00:00"/>
    <x v="6"/>
    <x v="1"/>
    <x v="0"/>
    <x v="14"/>
    <x v="3"/>
    <n v="21260.43"/>
    <n v="25309.11"/>
    <n v="4048.6800000000003"/>
    <n v="0.19043264882224867"/>
  </r>
  <r>
    <x v="2"/>
    <d v="2010-03-29T00:00:00"/>
    <x v="6"/>
    <x v="1"/>
    <x v="0"/>
    <x v="15"/>
    <x v="3"/>
    <n v="305723.67"/>
    <n v="330919.78999999998"/>
    <n v="25196.119999999995"/>
    <n v="8.2414685130529797E-2"/>
  </r>
  <r>
    <x v="2"/>
    <d v="2010-03-29T00:00:00"/>
    <x v="6"/>
    <x v="1"/>
    <x v="0"/>
    <x v="16"/>
    <x v="3"/>
    <n v="86269.18"/>
    <n v="97468.95"/>
    <n v="11199.770000000004"/>
    <n v="0.12982353605308414"/>
  </r>
  <r>
    <x v="2"/>
    <d v="2010-03-29T00:00:00"/>
    <x v="6"/>
    <x v="1"/>
    <x v="0"/>
    <x v="18"/>
    <x v="5"/>
    <n v="15310.7"/>
    <n v="22091.89"/>
    <n v="6781.1899999999987"/>
    <n v="0.44290528845839827"/>
  </r>
  <r>
    <x v="2"/>
    <d v="2010-03-29T00:00:00"/>
    <x v="6"/>
    <x v="1"/>
    <x v="0"/>
    <x v="19"/>
    <x v="5"/>
    <n v="13742.93"/>
    <n v="15802.04"/>
    <n v="2059.1100000000006"/>
    <n v="0.14983049466161877"/>
  </r>
  <r>
    <x v="2"/>
    <d v="2010-03-29T00:00:00"/>
    <x v="6"/>
    <x v="1"/>
    <x v="0"/>
    <x v="20"/>
    <x v="5"/>
    <n v="149589.88"/>
    <n v="214583.83"/>
    <n v="64993.949999999983"/>
    <n v="0.43448092879010253"/>
  </r>
  <r>
    <x v="2"/>
    <d v="2010-03-29T00:00:00"/>
    <x v="6"/>
    <x v="1"/>
    <x v="0"/>
    <x v="21"/>
    <x v="5"/>
    <n v="228"/>
    <n v="284.36"/>
    <n v="56.360000000000014"/>
    <n v="0.24719298245614041"/>
  </r>
  <r>
    <x v="2"/>
    <d v="2010-03-29T00:00:00"/>
    <x v="6"/>
    <x v="1"/>
    <x v="0"/>
    <x v="22"/>
    <x v="6"/>
    <n v="972.24"/>
    <n v="1263.47"/>
    <n v="291.23"/>
    <n v="0.29954537974162759"/>
  </r>
  <r>
    <x v="2"/>
    <d v="2010-03-29T00:00:00"/>
    <x v="6"/>
    <x v="1"/>
    <x v="0"/>
    <x v="23"/>
    <x v="6"/>
    <n v="92201.91"/>
    <n v="94301.91"/>
    <n v="2100"/>
    <n v="2.2776100842162597E-2"/>
  </r>
  <r>
    <x v="2"/>
    <d v="2010-03-29T00:00:00"/>
    <x v="6"/>
    <x v="1"/>
    <x v="0"/>
    <x v="24"/>
    <x v="6"/>
    <n v="181419.78"/>
    <n v="194767.26"/>
    <n v="13347.48000000001"/>
    <n v="7.3572352474465627E-2"/>
  </r>
  <r>
    <x v="2"/>
    <d v="2010-03-29T00:00:00"/>
    <x v="6"/>
    <x v="1"/>
    <x v="0"/>
    <x v="25"/>
    <x v="6"/>
    <n v="105569.68"/>
    <n v="103764.61"/>
    <n v="-1805.0699999999924"/>
    <n v="-1.7098375215307961E-2"/>
  </r>
  <r>
    <x v="2"/>
    <d v="2010-03-30T00:00:00"/>
    <x v="6"/>
    <x v="1"/>
    <x v="0"/>
    <x v="0"/>
    <x v="0"/>
    <n v="6448.55"/>
    <n v="9296.33"/>
    <n v="2847.7799999999997"/>
    <n v="0.44161555698567889"/>
  </r>
  <r>
    <x v="2"/>
    <d v="2010-03-30T00:00:00"/>
    <x v="6"/>
    <x v="1"/>
    <x v="0"/>
    <x v="1"/>
    <x v="0"/>
    <n v="137371.38"/>
    <n v="184846.77"/>
    <n v="47475.389999999985"/>
    <n v="0.34559884307779382"/>
  </r>
  <r>
    <x v="2"/>
    <d v="2010-03-30T00:00:00"/>
    <x v="6"/>
    <x v="1"/>
    <x v="0"/>
    <x v="2"/>
    <x v="0"/>
    <n v="52893.5"/>
    <n v="59433.42"/>
    <n v="6539.9199999999983"/>
    <n v="0.12364316976566116"/>
  </r>
  <r>
    <x v="2"/>
    <d v="2010-03-30T00:00:00"/>
    <x v="6"/>
    <x v="1"/>
    <x v="0"/>
    <x v="5"/>
    <x v="1"/>
    <n v="109067.71"/>
    <n v="119059.95"/>
    <n v="9992.2399999999907"/>
    <n v="9.161501602995048E-2"/>
  </r>
  <r>
    <x v="2"/>
    <d v="2010-03-30T00:00:00"/>
    <x v="6"/>
    <x v="1"/>
    <x v="0"/>
    <x v="6"/>
    <x v="1"/>
    <n v="343374.17"/>
    <n v="368641.88"/>
    <n v="25267.710000000021"/>
    <n v="7.3586519335452696E-2"/>
  </r>
  <r>
    <x v="2"/>
    <d v="2010-03-30T00:00:00"/>
    <x v="6"/>
    <x v="1"/>
    <x v="0"/>
    <x v="7"/>
    <x v="1"/>
    <n v="72029.899999999994"/>
    <n v="79832.429999999993"/>
    <n v="7802.5299999999988"/>
    <n v="0.10832348788489224"/>
  </r>
  <r>
    <x v="2"/>
    <d v="2010-03-30T00:00:00"/>
    <x v="6"/>
    <x v="1"/>
    <x v="0"/>
    <x v="8"/>
    <x v="1"/>
    <n v="124509.98"/>
    <n v="135839.9"/>
    <n v="11329.919999999998"/>
    <n v="9.0996079189796658E-2"/>
  </r>
  <r>
    <x v="2"/>
    <d v="2010-03-30T00:00:00"/>
    <x v="6"/>
    <x v="1"/>
    <x v="0"/>
    <x v="9"/>
    <x v="2"/>
    <n v="126883"/>
    <n v="138105.95000000001"/>
    <n v="11222.950000000012"/>
    <n v="8.8451171551744617E-2"/>
  </r>
  <r>
    <x v="2"/>
    <d v="2010-03-30T00:00:00"/>
    <x v="6"/>
    <x v="1"/>
    <x v="0"/>
    <x v="10"/>
    <x v="2"/>
    <n v="112502"/>
    <n v="119319.98"/>
    <n v="6817.9799999999959"/>
    <n v="6.0603189276635043E-2"/>
  </r>
  <r>
    <x v="2"/>
    <d v="2010-03-30T00:00:00"/>
    <x v="6"/>
    <x v="1"/>
    <x v="0"/>
    <x v="11"/>
    <x v="2"/>
    <n v="81333"/>
    <n v="84419.85"/>
    <n v="3086.8500000000058"/>
    <n v="3.7953229316513661E-2"/>
  </r>
  <r>
    <x v="2"/>
    <d v="2010-03-30T00:00:00"/>
    <x v="6"/>
    <x v="1"/>
    <x v="0"/>
    <x v="12"/>
    <x v="2"/>
    <n v="18174.55"/>
    <n v="20527.189999999999"/>
    <n v="2352.6399999999994"/>
    <n v="0.12944694641683011"/>
  </r>
  <r>
    <x v="2"/>
    <d v="2010-03-30T00:00:00"/>
    <x v="6"/>
    <x v="1"/>
    <x v="0"/>
    <x v="26"/>
    <x v="3"/>
    <n v="4380.6099999999997"/>
    <n v="5029.43"/>
    <n v="648.82000000000062"/>
    <n v="0.14811179264988225"/>
  </r>
  <r>
    <x v="2"/>
    <d v="2010-03-30T00:00:00"/>
    <x v="6"/>
    <x v="1"/>
    <x v="0"/>
    <x v="13"/>
    <x v="3"/>
    <n v="84096.89"/>
    <n v="95960.48"/>
    <n v="11863.589999999997"/>
    <n v="0.14107049618600637"/>
  </r>
  <r>
    <x v="2"/>
    <d v="2010-03-30T00:00:00"/>
    <x v="6"/>
    <x v="1"/>
    <x v="0"/>
    <x v="14"/>
    <x v="3"/>
    <n v="64389.24"/>
    <n v="73570.740000000005"/>
    <n v="9181.5000000000073"/>
    <n v="0.14259370043814787"/>
  </r>
  <r>
    <x v="2"/>
    <d v="2010-03-30T00:00:00"/>
    <x v="6"/>
    <x v="1"/>
    <x v="0"/>
    <x v="15"/>
    <x v="3"/>
    <n v="544316.84"/>
    <n v="598769.17000000004"/>
    <n v="54452.330000000075"/>
    <n v="0.10003793011437985"/>
  </r>
  <r>
    <x v="2"/>
    <d v="2010-03-30T00:00:00"/>
    <x v="6"/>
    <x v="1"/>
    <x v="0"/>
    <x v="16"/>
    <x v="3"/>
    <n v="110989.08"/>
    <n v="125377.23"/>
    <n v="14388.149999999994"/>
    <n v="0.12963572632550874"/>
  </r>
  <r>
    <x v="2"/>
    <d v="2010-03-30T00:00:00"/>
    <x v="6"/>
    <x v="1"/>
    <x v="0"/>
    <x v="18"/>
    <x v="5"/>
    <n v="22063.53"/>
    <n v="34940.239999999998"/>
    <n v="12876.71"/>
    <n v="0.58361966557481959"/>
  </r>
  <r>
    <x v="2"/>
    <d v="2010-03-30T00:00:00"/>
    <x v="6"/>
    <x v="1"/>
    <x v="0"/>
    <x v="19"/>
    <x v="5"/>
    <n v="12114.34"/>
    <n v="13930.48"/>
    <n v="1816.1399999999994"/>
    <n v="0.14991654518529277"/>
  </r>
  <r>
    <x v="2"/>
    <d v="2010-03-30T00:00:00"/>
    <x v="6"/>
    <x v="1"/>
    <x v="0"/>
    <x v="20"/>
    <x v="5"/>
    <n v="168549.7"/>
    <n v="239718.59"/>
    <n v="71168.889999999985"/>
    <n v="0.42224275688417112"/>
  </r>
  <r>
    <x v="2"/>
    <d v="2010-03-30T00:00:00"/>
    <x v="6"/>
    <x v="1"/>
    <x v="0"/>
    <x v="22"/>
    <x v="6"/>
    <n v="3277.64"/>
    <n v="4258.91"/>
    <n v="981.27"/>
    <n v="0.29938309271304964"/>
  </r>
  <r>
    <x v="2"/>
    <d v="2010-03-30T00:00:00"/>
    <x v="6"/>
    <x v="1"/>
    <x v="0"/>
    <x v="23"/>
    <x v="6"/>
    <n v="115413.29"/>
    <n v="114255.05"/>
    <n v="-1158.2399999999907"/>
    <n v="-1.0035586023065375E-2"/>
  </r>
  <r>
    <x v="2"/>
    <d v="2010-03-30T00:00:00"/>
    <x v="6"/>
    <x v="1"/>
    <x v="0"/>
    <x v="24"/>
    <x v="6"/>
    <n v="221133.51"/>
    <n v="241442.39"/>
    <n v="20308.880000000005"/>
    <n v="9.1839902509574439E-2"/>
  </r>
  <r>
    <x v="2"/>
    <d v="2010-03-30T00:00:00"/>
    <x v="6"/>
    <x v="1"/>
    <x v="0"/>
    <x v="25"/>
    <x v="6"/>
    <n v="153078.17000000001"/>
    <n v="155770.72"/>
    <n v="2692.5499999999884"/>
    <n v="1.7589379334754185E-2"/>
  </r>
  <r>
    <x v="2"/>
    <d v="2010-03-31T00:00:00"/>
    <x v="6"/>
    <x v="1"/>
    <x v="0"/>
    <x v="0"/>
    <x v="0"/>
    <n v="6722.77"/>
    <n v="9004.92"/>
    <n v="2282.1499999999996"/>
    <n v="0.33946572618132104"/>
  </r>
  <r>
    <x v="2"/>
    <d v="2010-03-31T00:00:00"/>
    <x v="6"/>
    <x v="1"/>
    <x v="0"/>
    <x v="1"/>
    <x v="0"/>
    <n v="183118.66"/>
    <n v="246050.75"/>
    <n v="62932.09"/>
    <n v="0.34366836236132348"/>
  </r>
  <r>
    <x v="2"/>
    <d v="2010-03-31T00:00:00"/>
    <x v="6"/>
    <x v="1"/>
    <x v="0"/>
    <x v="2"/>
    <x v="0"/>
    <n v="54024.49"/>
    <n v="60186.26"/>
    <n v="6161.7700000000041"/>
    <n v="0.1140551257401968"/>
  </r>
  <r>
    <x v="2"/>
    <d v="2010-03-31T00:00:00"/>
    <x v="6"/>
    <x v="1"/>
    <x v="0"/>
    <x v="3"/>
    <x v="0"/>
    <n v="574"/>
    <n v="585.4"/>
    <n v="11.399999999999977"/>
    <n v="1.9860627177700308E-2"/>
  </r>
  <r>
    <x v="2"/>
    <d v="2010-03-31T00:00:00"/>
    <x v="6"/>
    <x v="1"/>
    <x v="0"/>
    <x v="5"/>
    <x v="1"/>
    <n v="118701.71"/>
    <n v="129463.05"/>
    <n v="10761.339999999997"/>
    <n v="9.0658677115940417E-2"/>
  </r>
  <r>
    <x v="2"/>
    <d v="2010-03-31T00:00:00"/>
    <x v="6"/>
    <x v="1"/>
    <x v="0"/>
    <x v="6"/>
    <x v="1"/>
    <n v="307054.33"/>
    <n v="329880.5"/>
    <n v="22826.169999999984"/>
    <n v="7.4339189419670396E-2"/>
  </r>
  <r>
    <x v="2"/>
    <d v="2010-03-31T00:00:00"/>
    <x v="6"/>
    <x v="1"/>
    <x v="0"/>
    <x v="7"/>
    <x v="1"/>
    <n v="95669.08"/>
    <n v="106286.72"/>
    <n v="10617.64"/>
    <n v="0.11098298426199979"/>
  </r>
  <r>
    <x v="2"/>
    <d v="2010-03-31T00:00:00"/>
    <x v="6"/>
    <x v="1"/>
    <x v="0"/>
    <x v="8"/>
    <x v="1"/>
    <n v="129484.42"/>
    <n v="142735.45000000001"/>
    <n v="13251.030000000013"/>
    <n v="0.10233686801856172"/>
  </r>
  <r>
    <x v="2"/>
    <d v="2010-03-31T00:00:00"/>
    <x v="6"/>
    <x v="1"/>
    <x v="0"/>
    <x v="9"/>
    <x v="2"/>
    <n v="178432.62"/>
    <n v="193050.39"/>
    <n v="14617.770000000019"/>
    <n v="8.1923193191917598E-2"/>
  </r>
  <r>
    <x v="2"/>
    <d v="2010-03-31T00:00:00"/>
    <x v="6"/>
    <x v="1"/>
    <x v="0"/>
    <x v="10"/>
    <x v="2"/>
    <n v="117621.7"/>
    <n v="123065.58"/>
    <n v="5443.8800000000047"/>
    <n v="4.6282956291228618E-2"/>
  </r>
  <r>
    <x v="2"/>
    <d v="2010-03-31T00:00:00"/>
    <x v="6"/>
    <x v="1"/>
    <x v="0"/>
    <x v="11"/>
    <x v="2"/>
    <n v="60029"/>
    <n v="62667.46"/>
    <n v="2638.4599999999991"/>
    <n v="4.3953089340152247E-2"/>
  </r>
  <r>
    <x v="2"/>
    <d v="2010-03-31T00:00:00"/>
    <x v="6"/>
    <x v="1"/>
    <x v="0"/>
    <x v="12"/>
    <x v="2"/>
    <n v="16419.75"/>
    <n v="18010.91"/>
    <n v="1591.1599999999999"/>
    <n v="9.6905251297979556E-2"/>
  </r>
  <r>
    <x v="2"/>
    <d v="2010-03-31T00:00:00"/>
    <x v="6"/>
    <x v="1"/>
    <x v="0"/>
    <x v="26"/>
    <x v="3"/>
    <n v="3275.07"/>
    <n v="3765.81"/>
    <n v="490.73999999999978"/>
    <n v="0.14984107209922223"/>
  </r>
  <r>
    <x v="2"/>
    <d v="2010-03-31T00:00:00"/>
    <x v="6"/>
    <x v="1"/>
    <x v="0"/>
    <x v="13"/>
    <x v="3"/>
    <n v="96080.46"/>
    <n v="109773.65"/>
    <n v="13693.189999999988"/>
    <n v="0.14251794797818398"/>
  </r>
  <r>
    <x v="2"/>
    <d v="2010-03-31T00:00:00"/>
    <x v="6"/>
    <x v="1"/>
    <x v="0"/>
    <x v="14"/>
    <x v="3"/>
    <n v="75947.95"/>
    <n v="85975.9"/>
    <n v="10027.949999999997"/>
    <n v="0.13203713859294422"/>
  </r>
  <r>
    <x v="2"/>
    <d v="2010-03-31T00:00:00"/>
    <x v="6"/>
    <x v="1"/>
    <x v="0"/>
    <x v="15"/>
    <x v="3"/>
    <n v="591464.65"/>
    <n v="644176.15"/>
    <n v="52711.5"/>
    <n v="8.9120288084841584E-2"/>
  </r>
  <r>
    <x v="2"/>
    <d v="2010-03-31T00:00:00"/>
    <x v="6"/>
    <x v="1"/>
    <x v="0"/>
    <x v="16"/>
    <x v="3"/>
    <n v="119008.66"/>
    <n v="133572.70000000001"/>
    <n v="14564.040000000008"/>
    <n v="0.12237798492983626"/>
  </r>
  <r>
    <x v="2"/>
    <d v="2010-03-31T00:00:00"/>
    <x v="6"/>
    <x v="1"/>
    <x v="0"/>
    <x v="18"/>
    <x v="5"/>
    <n v="23259.03"/>
    <n v="29882.71"/>
    <n v="6623.68"/>
    <n v="0.28477885793173663"/>
  </r>
  <r>
    <x v="2"/>
    <d v="2010-03-31T00:00:00"/>
    <x v="6"/>
    <x v="1"/>
    <x v="0"/>
    <x v="19"/>
    <x v="5"/>
    <n v="13856.71"/>
    <n v="15932.98"/>
    <n v="2076.2700000000004"/>
    <n v="0.14983859805105257"/>
  </r>
  <r>
    <x v="2"/>
    <d v="2010-03-31T00:00:00"/>
    <x v="6"/>
    <x v="1"/>
    <x v="0"/>
    <x v="20"/>
    <x v="5"/>
    <n v="175636.83"/>
    <n v="249332.47"/>
    <n v="73695.640000000014"/>
    <n v="0.41959103907762407"/>
  </r>
  <r>
    <x v="2"/>
    <d v="2010-03-31T00:00:00"/>
    <x v="6"/>
    <x v="1"/>
    <x v="0"/>
    <x v="21"/>
    <x v="5"/>
    <n v="1596"/>
    <n v="1994.35"/>
    <n v="398.34999999999991"/>
    <n v="0.24959273182957387"/>
  </r>
  <r>
    <x v="2"/>
    <d v="2010-03-31T00:00:00"/>
    <x v="6"/>
    <x v="1"/>
    <x v="0"/>
    <x v="22"/>
    <x v="6"/>
    <n v="1508"/>
    <n v="1959.93"/>
    <n v="451.93000000000006"/>
    <n v="0.29968832891246688"/>
  </r>
  <r>
    <x v="2"/>
    <d v="2010-03-31T00:00:00"/>
    <x v="6"/>
    <x v="1"/>
    <x v="0"/>
    <x v="23"/>
    <x v="6"/>
    <n v="108895.03"/>
    <n v="112888.5"/>
    <n v="3993.4700000000012"/>
    <n v="3.6672656226826889E-2"/>
  </r>
  <r>
    <x v="2"/>
    <d v="2010-03-31T00:00:00"/>
    <x v="6"/>
    <x v="1"/>
    <x v="0"/>
    <x v="24"/>
    <x v="6"/>
    <n v="216664.89"/>
    <n v="233807.45"/>
    <n v="17142.559999999998"/>
    <n v="7.9120156477590797E-2"/>
  </r>
  <r>
    <x v="2"/>
    <d v="2010-03-31T00:00:00"/>
    <x v="6"/>
    <x v="1"/>
    <x v="0"/>
    <x v="25"/>
    <x v="6"/>
    <n v="199711.9"/>
    <n v="205927.51"/>
    <n v="6215.6100000000151"/>
    <n v="3.1122882512258986E-2"/>
  </r>
  <r>
    <x v="2"/>
    <d v="2010-04-01T00:00:00"/>
    <x v="6"/>
    <x v="2"/>
    <x v="0"/>
    <x v="0"/>
    <x v="0"/>
    <n v="7080.82"/>
    <n v="8955.16"/>
    <n v="1874.3400000000001"/>
    <n v="0.26470663002307643"/>
  </r>
  <r>
    <x v="2"/>
    <d v="2010-04-01T00:00:00"/>
    <x v="6"/>
    <x v="2"/>
    <x v="0"/>
    <x v="1"/>
    <x v="0"/>
    <n v="162929.91"/>
    <n v="207271.08"/>
    <n v="44341.169999999984"/>
    <n v="0.27214874175036358"/>
  </r>
  <r>
    <x v="2"/>
    <d v="2010-04-01T00:00:00"/>
    <x v="6"/>
    <x v="2"/>
    <x v="0"/>
    <x v="2"/>
    <x v="0"/>
    <n v="69133.3"/>
    <n v="76876.37"/>
    <n v="7743.0699999999924"/>
    <n v="0.11200203085922403"/>
  </r>
  <r>
    <x v="2"/>
    <d v="2010-04-01T00:00:00"/>
    <x v="6"/>
    <x v="2"/>
    <x v="0"/>
    <x v="3"/>
    <x v="0"/>
    <n v="574"/>
    <n v="659.99"/>
    <n v="85.990000000000009"/>
    <n v="0.14980836236933801"/>
  </r>
  <r>
    <x v="2"/>
    <d v="2010-04-01T00:00:00"/>
    <x v="6"/>
    <x v="2"/>
    <x v="0"/>
    <x v="4"/>
    <x v="0"/>
    <n v="8495"/>
    <n v="9700.1299999999992"/>
    <n v="1205.1299999999992"/>
    <n v="0.14186344908769855"/>
  </r>
  <r>
    <x v="2"/>
    <d v="2010-04-01T00:00:00"/>
    <x v="6"/>
    <x v="2"/>
    <x v="0"/>
    <x v="5"/>
    <x v="1"/>
    <n v="139823.18"/>
    <n v="155371.72"/>
    <n v="15548.540000000008"/>
    <n v="0.11120144742810176"/>
  </r>
  <r>
    <x v="2"/>
    <d v="2010-04-01T00:00:00"/>
    <x v="6"/>
    <x v="2"/>
    <x v="0"/>
    <x v="6"/>
    <x v="1"/>
    <n v="343629.81"/>
    <n v="376857.28"/>
    <n v="33227.47000000003"/>
    <n v="9.6695539889278023E-2"/>
  </r>
  <r>
    <x v="2"/>
    <d v="2010-04-01T00:00:00"/>
    <x v="6"/>
    <x v="2"/>
    <x v="0"/>
    <x v="7"/>
    <x v="1"/>
    <n v="87230.93"/>
    <n v="97395.46"/>
    <n v="10164.530000000013"/>
    <n v="0.11652437959792489"/>
  </r>
  <r>
    <x v="2"/>
    <d v="2010-04-01T00:00:00"/>
    <x v="6"/>
    <x v="2"/>
    <x v="0"/>
    <x v="8"/>
    <x v="1"/>
    <n v="177841.07"/>
    <n v="191345.03"/>
    <n v="13503.959999999992"/>
    <n v="7.5932741520279831E-2"/>
  </r>
  <r>
    <x v="2"/>
    <d v="2010-04-01T00:00:00"/>
    <x v="6"/>
    <x v="2"/>
    <x v="0"/>
    <x v="9"/>
    <x v="2"/>
    <n v="245184.68"/>
    <n v="275504.03000000003"/>
    <n v="30319.350000000035"/>
    <n v="0.12365923515286532"/>
  </r>
  <r>
    <x v="2"/>
    <d v="2010-04-01T00:00:00"/>
    <x v="6"/>
    <x v="2"/>
    <x v="0"/>
    <x v="10"/>
    <x v="2"/>
    <n v="139155.4"/>
    <n v="146002.10999999999"/>
    <n v="6846.7099999999919"/>
    <n v="4.920189945916574E-2"/>
  </r>
  <r>
    <x v="2"/>
    <d v="2010-04-01T00:00:00"/>
    <x v="6"/>
    <x v="2"/>
    <x v="0"/>
    <x v="11"/>
    <x v="2"/>
    <n v="73546"/>
    <n v="76780.78"/>
    <n v="3234.7799999999988"/>
    <n v="4.398308541593015E-2"/>
  </r>
  <r>
    <x v="2"/>
    <d v="2010-04-01T00:00:00"/>
    <x v="6"/>
    <x v="2"/>
    <x v="0"/>
    <x v="12"/>
    <x v="2"/>
    <n v="12911.35"/>
    <n v="14698"/>
    <n v="1786.6499999999996"/>
    <n v="0.13837824859522821"/>
  </r>
  <r>
    <x v="2"/>
    <d v="2010-04-01T00:00:00"/>
    <x v="6"/>
    <x v="2"/>
    <x v="0"/>
    <x v="26"/>
    <x v="3"/>
    <n v="3925.82"/>
    <n v="4513.8100000000004"/>
    <n v="587.99000000000024"/>
    <n v="0.14977507883703284"/>
  </r>
  <r>
    <x v="2"/>
    <d v="2010-04-01T00:00:00"/>
    <x v="6"/>
    <x v="2"/>
    <x v="0"/>
    <x v="13"/>
    <x v="3"/>
    <n v="84558.04"/>
    <n v="96697.919999999998"/>
    <n v="12139.880000000005"/>
    <n v="0.14356860684093442"/>
  </r>
  <r>
    <x v="2"/>
    <d v="2010-04-01T00:00:00"/>
    <x v="6"/>
    <x v="2"/>
    <x v="0"/>
    <x v="14"/>
    <x v="3"/>
    <n v="68947.61"/>
    <n v="74881.5"/>
    <n v="5933.8899999999994"/>
    <n v="8.6063751883495299E-2"/>
  </r>
  <r>
    <x v="2"/>
    <d v="2010-04-01T00:00:00"/>
    <x v="6"/>
    <x v="2"/>
    <x v="0"/>
    <x v="15"/>
    <x v="3"/>
    <n v="464809.96"/>
    <n v="507908.49"/>
    <n v="43098.52999999997"/>
    <n v="9.2722905507446454E-2"/>
  </r>
  <r>
    <x v="2"/>
    <d v="2010-04-01T00:00:00"/>
    <x v="6"/>
    <x v="2"/>
    <x v="0"/>
    <x v="16"/>
    <x v="3"/>
    <n v="112379.7"/>
    <n v="127967.67"/>
    <n v="15587.970000000001"/>
    <n v="0.1387080584838721"/>
  </r>
  <r>
    <x v="2"/>
    <d v="2010-04-01T00:00:00"/>
    <x v="6"/>
    <x v="2"/>
    <x v="0"/>
    <x v="18"/>
    <x v="5"/>
    <n v="15832.3"/>
    <n v="20725.02"/>
    <n v="4892.7200000000012"/>
    <n v="0.30903406327570859"/>
  </r>
  <r>
    <x v="2"/>
    <d v="2010-04-01T00:00:00"/>
    <x v="6"/>
    <x v="2"/>
    <x v="0"/>
    <x v="19"/>
    <x v="5"/>
    <n v="18298.8"/>
    <n v="21040.639999999999"/>
    <n v="2741.84"/>
    <n v="0.14983714779111201"/>
  </r>
  <r>
    <x v="2"/>
    <d v="2010-04-01T00:00:00"/>
    <x v="6"/>
    <x v="2"/>
    <x v="0"/>
    <x v="20"/>
    <x v="5"/>
    <n v="166103.32999999999"/>
    <n v="233852.43"/>
    <n v="67749.100000000006"/>
    <n v="0.40787321963984713"/>
  </r>
  <r>
    <x v="2"/>
    <d v="2010-04-01T00:00:00"/>
    <x v="6"/>
    <x v="2"/>
    <x v="0"/>
    <x v="22"/>
    <x v="6"/>
    <n v="3861"/>
    <n v="5018.59"/>
    <n v="1157.5900000000001"/>
    <n v="0.29981610981610984"/>
  </r>
  <r>
    <x v="2"/>
    <d v="2010-04-01T00:00:00"/>
    <x v="6"/>
    <x v="2"/>
    <x v="0"/>
    <x v="23"/>
    <x v="6"/>
    <n v="123890.88"/>
    <n v="130262.63"/>
    <n v="6371.75"/>
    <n v="5.1430339343783819E-2"/>
  </r>
  <r>
    <x v="2"/>
    <d v="2010-04-01T00:00:00"/>
    <x v="6"/>
    <x v="2"/>
    <x v="0"/>
    <x v="24"/>
    <x v="6"/>
    <n v="234272.55"/>
    <n v="256444.46"/>
    <n v="22171.910000000003"/>
    <n v="9.464151903413355E-2"/>
  </r>
  <r>
    <x v="2"/>
    <d v="2010-04-01T00:00:00"/>
    <x v="6"/>
    <x v="2"/>
    <x v="0"/>
    <x v="25"/>
    <x v="6"/>
    <n v="228798.36"/>
    <n v="241077.45"/>
    <n v="12279.090000000026"/>
    <n v="5.3667736079926559E-2"/>
  </r>
  <r>
    <x v="2"/>
    <d v="2010-04-02T00:00:00"/>
    <x v="6"/>
    <x v="2"/>
    <x v="0"/>
    <x v="0"/>
    <x v="0"/>
    <n v="9147.69"/>
    <n v="11821.4"/>
    <n v="2673.7099999999991"/>
    <n v="0.2922825325300703"/>
  </r>
  <r>
    <x v="2"/>
    <d v="2010-04-02T00:00:00"/>
    <x v="6"/>
    <x v="2"/>
    <x v="0"/>
    <x v="1"/>
    <x v="0"/>
    <n v="205941.81"/>
    <n v="268239.65000000002"/>
    <n v="62297.840000000026"/>
    <n v="0.30250214854380481"/>
  </r>
  <r>
    <x v="2"/>
    <d v="2010-04-02T00:00:00"/>
    <x v="6"/>
    <x v="2"/>
    <x v="0"/>
    <x v="2"/>
    <x v="0"/>
    <n v="77725.61"/>
    <n v="86625.29"/>
    <n v="8899.679999999993"/>
    <n v="0.1145012564069937"/>
  </r>
  <r>
    <x v="2"/>
    <d v="2010-04-02T00:00:00"/>
    <x v="6"/>
    <x v="2"/>
    <x v="0"/>
    <x v="3"/>
    <x v="0"/>
    <n v="1722"/>
    <n v="1830.55"/>
    <n v="108.54999999999995"/>
    <n v="6.3037166085946547E-2"/>
  </r>
  <r>
    <x v="2"/>
    <d v="2010-04-02T00:00:00"/>
    <x v="6"/>
    <x v="2"/>
    <x v="0"/>
    <x v="5"/>
    <x v="1"/>
    <n v="134268.73000000001"/>
    <n v="149301.41"/>
    <n v="15032.679999999993"/>
    <n v="0.11195964987529108"/>
  </r>
  <r>
    <x v="2"/>
    <d v="2010-04-02T00:00:00"/>
    <x v="6"/>
    <x v="2"/>
    <x v="0"/>
    <x v="6"/>
    <x v="1"/>
    <n v="312829.07"/>
    <n v="341397.46"/>
    <n v="28568.390000000014"/>
    <n v="9.1322683023032397E-2"/>
  </r>
  <r>
    <x v="2"/>
    <d v="2010-04-02T00:00:00"/>
    <x v="6"/>
    <x v="2"/>
    <x v="0"/>
    <x v="7"/>
    <x v="1"/>
    <n v="112710.79"/>
    <n v="125137.13"/>
    <n v="12426.340000000011"/>
    <n v="0.11024978176446117"/>
  </r>
  <r>
    <x v="2"/>
    <d v="2010-04-02T00:00:00"/>
    <x v="6"/>
    <x v="2"/>
    <x v="0"/>
    <x v="8"/>
    <x v="1"/>
    <n v="194274.74"/>
    <n v="206081.48"/>
    <n v="11806.74000000002"/>
    <n v="6.0773418098513582E-2"/>
  </r>
  <r>
    <x v="2"/>
    <d v="2010-04-02T00:00:00"/>
    <x v="6"/>
    <x v="2"/>
    <x v="0"/>
    <x v="9"/>
    <x v="2"/>
    <n v="370150.92"/>
    <n v="404754.43"/>
    <n v="34603.510000000009"/>
    <n v="9.3484868280213948E-2"/>
  </r>
  <r>
    <x v="2"/>
    <d v="2010-04-02T00:00:00"/>
    <x v="6"/>
    <x v="2"/>
    <x v="0"/>
    <x v="10"/>
    <x v="2"/>
    <n v="188596"/>
    <n v="197604.88"/>
    <n v="9008.8800000000047"/>
    <n v="4.7768139303060536E-2"/>
  </r>
  <r>
    <x v="2"/>
    <d v="2010-04-02T00:00:00"/>
    <x v="6"/>
    <x v="2"/>
    <x v="0"/>
    <x v="11"/>
    <x v="2"/>
    <n v="93542"/>
    <n v="98259.01"/>
    <n v="4717.0099999999948"/>
    <n v="5.042665326805066E-2"/>
  </r>
  <r>
    <x v="2"/>
    <d v="2010-04-02T00:00:00"/>
    <x v="6"/>
    <x v="2"/>
    <x v="0"/>
    <x v="12"/>
    <x v="2"/>
    <n v="12598.05"/>
    <n v="14470.53"/>
    <n v="1872.4800000000014"/>
    <n v="0.14863252646242883"/>
  </r>
  <r>
    <x v="2"/>
    <d v="2010-04-02T00:00:00"/>
    <x v="6"/>
    <x v="2"/>
    <x v="0"/>
    <x v="26"/>
    <x v="3"/>
    <n v="2926.16"/>
    <n v="3355.8"/>
    <n v="429.64000000000033"/>
    <n v="0.14682724116247928"/>
  </r>
  <r>
    <x v="2"/>
    <d v="2010-04-02T00:00:00"/>
    <x v="6"/>
    <x v="2"/>
    <x v="0"/>
    <x v="13"/>
    <x v="3"/>
    <n v="96652.56"/>
    <n v="110367.98"/>
    <n v="13715.419999999998"/>
    <n v="0.1419043634229657"/>
  </r>
  <r>
    <x v="2"/>
    <d v="2010-04-02T00:00:00"/>
    <x v="6"/>
    <x v="2"/>
    <x v="0"/>
    <x v="14"/>
    <x v="3"/>
    <n v="74602.899999999994"/>
    <n v="83148"/>
    <n v="8545.1000000000058"/>
    <n v="0.11454112373647682"/>
  </r>
  <r>
    <x v="2"/>
    <d v="2010-04-02T00:00:00"/>
    <x v="6"/>
    <x v="2"/>
    <x v="0"/>
    <x v="15"/>
    <x v="3"/>
    <n v="529893.30000000005"/>
    <n v="582212.56999999995"/>
    <n v="52319.269999999902"/>
    <n v="9.8735481275192383E-2"/>
  </r>
  <r>
    <x v="2"/>
    <d v="2010-04-02T00:00:00"/>
    <x v="6"/>
    <x v="2"/>
    <x v="0"/>
    <x v="16"/>
    <x v="3"/>
    <n v="85314.82"/>
    <n v="97328.99"/>
    <n v="12014.169999999998"/>
    <n v="0.14082160637507055"/>
  </r>
  <r>
    <x v="2"/>
    <d v="2010-04-02T00:00:00"/>
    <x v="6"/>
    <x v="2"/>
    <x v="0"/>
    <x v="18"/>
    <x v="5"/>
    <n v="20807.560000000001"/>
    <n v="25829.64"/>
    <n v="5022.0799999999981"/>
    <n v="0.24135842934010512"/>
  </r>
  <r>
    <x v="2"/>
    <d v="2010-04-02T00:00:00"/>
    <x v="6"/>
    <x v="2"/>
    <x v="0"/>
    <x v="19"/>
    <x v="5"/>
    <n v="20164.900000000001"/>
    <n v="23187.7"/>
    <n v="3022.7999999999993"/>
    <n v="0.14990404118046699"/>
  </r>
  <r>
    <x v="2"/>
    <d v="2010-04-02T00:00:00"/>
    <x v="6"/>
    <x v="2"/>
    <x v="0"/>
    <x v="20"/>
    <x v="5"/>
    <n v="295484.68"/>
    <n v="382914.02"/>
    <n v="87429.340000000026"/>
    <n v="0.29588451083149225"/>
  </r>
  <r>
    <x v="2"/>
    <d v="2010-04-02T00:00:00"/>
    <x v="6"/>
    <x v="2"/>
    <x v="0"/>
    <x v="21"/>
    <x v="5"/>
    <n v="76"/>
    <n v="94.95"/>
    <n v="18.950000000000003"/>
    <n v="0.24934210526315792"/>
  </r>
  <r>
    <x v="2"/>
    <d v="2010-04-02T00:00:00"/>
    <x v="6"/>
    <x v="2"/>
    <x v="0"/>
    <x v="22"/>
    <x v="6"/>
    <n v="2369.4"/>
    <n v="3079.37"/>
    <n v="709.9699999999998"/>
    <n v="0.29964125939056291"/>
  </r>
  <r>
    <x v="2"/>
    <d v="2010-04-02T00:00:00"/>
    <x v="6"/>
    <x v="2"/>
    <x v="0"/>
    <x v="23"/>
    <x v="6"/>
    <n v="183221.02"/>
    <n v="169187.43"/>
    <n v="-14033.589999999997"/>
    <n v="-7.6593777286034087E-2"/>
  </r>
  <r>
    <x v="2"/>
    <d v="2010-04-02T00:00:00"/>
    <x v="6"/>
    <x v="2"/>
    <x v="0"/>
    <x v="24"/>
    <x v="6"/>
    <n v="307740.56"/>
    <n v="329725.12"/>
    <n v="21984.559999999998"/>
    <n v="7.1438616996082671E-2"/>
  </r>
  <r>
    <x v="2"/>
    <d v="2010-04-02T00:00:00"/>
    <x v="6"/>
    <x v="2"/>
    <x v="0"/>
    <x v="25"/>
    <x v="6"/>
    <n v="245151.5"/>
    <n v="246235.1"/>
    <n v="1083.6000000000058"/>
    <n v="4.4201238825787555E-3"/>
  </r>
  <r>
    <x v="2"/>
    <d v="2010-04-03T00:00:00"/>
    <x v="6"/>
    <x v="2"/>
    <x v="0"/>
    <x v="0"/>
    <x v="0"/>
    <n v="10717.64"/>
    <n v="14014.92"/>
    <n v="3297.2800000000007"/>
    <n v="0.30764981843017686"/>
  </r>
  <r>
    <x v="2"/>
    <d v="2010-04-03T00:00:00"/>
    <x v="6"/>
    <x v="2"/>
    <x v="0"/>
    <x v="1"/>
    <x v="0"/>
    <n v="295919.31"/>
    <n v="362634.65"/>
    <n v="66715.340000000026"/>
    <n v="0.22545112044225848"/>
  </r>
  <r>
    <x v="2"/>
    <d v="2010-04-03T00:00:00"/>
    <x v="6"/>
    <x v="2"/>
    <x v="0"/>
    <x v="2"/>
    <x v="0"/>
    <n v="77923.8"/>
    <n v="86532.45"/>
    <n v="8608.6499999999942"/>
    <n v="0.11047523349733963"/>
  </r>
  <r>
    <x v="2"/>
    <d v="2010-04-03T00:00:00"/>
    <x v="6"/>
    <x v="2"/>
    <x v="0"/>
    <x v="3"/>
    <x v="0"/>
    <n v="574"/>
    <n v="659.96"/>
    <n v="85.960000000000036"/>
    <n v="0.14975609756097566"/>
  </r>
  <r>
    <x v="2"/>
    <d v="2010-04-03T00:00:00"/>
    <x v="6"/>
    <x v="2"/>
    <x v="0"/>
    <x v="5"/>
    <x v="1"/>
    <n v="140803.76999999999"/>
    <n v="155479.35999999999"/>
    <n v="14675.589999999997"/>
    <n v="0.1042272518697475"/>
  </r>
  <r>
    <x v="2"/>
    <d v="2010-04-03T00:00:00"/>
    <x v="6"/>
    <x v="2"/>
    <x v="0"/>
    <x v="6"/>
    <x v="1"/>
    <n v="295129.51"/>
    <n v="322577.55"/>
    <n v="27448.039999999979"/>
    <n v="9.3003373332609052E-2"/>
  </r>
  <r>
    <x v="2"/>
    <d v="2010-04-03T00:00:00"/>
    <x v="6"/>
    <x v="2"/>
    <x v="0"/>
    <x v="7"/>
    <x v="1"/>
    <n v="124297.2"/>
    <n v="137808.88"/>
    <n v="13511.680000000008"/>
    <n v="0.10870462086032516"/>
  </r>
  <r>
    <x v="2"/>
    <d v="2010-04-03T00:00:00"/>
    <x v="6"/>
    <x v="2"/>
    <x v="0"/>
    <x v="8"/>
    <x v="1"/>
    <n v="214850.22"/>
    <n v="226074.14"/>
    <n v="11223.920000000013"/>
    <n v="5.2240672595075831E-2"/>
  </r>
  <r>
    <x v="2"/>
    <d v="2010-04-03T00:00:00"/>
    <x v="6"/>
    <x v="2"/>
    <x v="0"/>
    <x v="9"/>
    <x v="2"/>
    <n v="445247.67"/>
    <n v="487051.11"/>
    <n v="41803.440000000002"/>
    <n v="9.3888060099225235E-2"/>
  </r>
  <r>
    <x v="2"/>
    <d v="2010-04-03T00:00:00"/>
    <x v="6"/>
    <x v="2"/>
    <x v="0"/>
    <x v="10"/>
    <x v="2"/>
    <n v="266565.8"/>
    <n v="276001.09999999998"/>
    <n v="9435.2999999999884"/>
    <n v="3.5395763447523987E-2"/>
  </r>
  <r>
    <x v="2"/>
    <d v="2010-04-03T00:00:00"/>
    <x v="6"/>
    <x v="2"/>
    <x v="0"/>
    <x v="11"/>
    <x v="2"/>
    <n v="146704"/>
    <n v="153202.37"/>
    <n v="6498.3699999999953"/>
    <n v="4.4295792889082745E-2"/>
  </r>
  <r>
    <x v="2"/>
    <d v="2010-04-03T00:00:00"/>
    <x v="6"/>
    <x v="2"/>
    <x v="0"/>
    <x v="12"/>
    <x v="2"/>
    <n v="35419.1"/>
    <n v="37586.410000000003"/>
    <n v="2167.3100000000049"/>
    <n v="6.1190431151553967E-2"/>
  </r>
  <r>
    <x v="2"/>
    <d v="2010-04-03T00:00:00"/>
    <x v="6"/>
    <x v="2"/>
    <x v="0"/>
    <x v="26"/>
    <x v="3"/>
    <n v="2301.17"/>
    <n v="2644.49"/>
    <n v="343.31999999999971"/>
    <n v="0.14919367104559841"/>
  </r>
  <r>
    <x v="2"/>
    <d v="2010-04-03T00:00:00"/>
    <x v="6"/>
    <x v="2"/>
    <x v="0"/>
    <x v="13"/>
    <x v="3"/>
    <n v="107763.85"/>
    <n v="122840.23"/>
    <n v="15076.37999999999"/>
    <n v="0.13990201723490753"/>
  </r>
  <r>
    <x v="2"/>
    <d v="2010-04-03T00:00:00"/>
    <x v="6"/>
    <x v="2"/>
    <x v="0"/>
    <x v="14"/>
    <x v="3"/>
    <n v="57865.52"/>
    <n v="64711.34"/>
    <n v="6845.82"/>
    <n v="0.11830568532003169"/>
  </r>
  <r>
    <x v="2"/>
    <d v="2010-04-03T00:00:00"/>
    <x v="6"/>
    <x v="2"/>
    <x v="0"/>
    <x v="15"/>
    <x v="3"/>
    <n v="886050.28"/>
    <n v="973892.57"/>
    <n v="87842.289999999921"/>
    <n v="9.9139170747736705E-2"/>
  </r>
  <r>
    <x v="2"/>
    <d v="2010-04-03T00:00:00"/>
    <x v="6"/>
    <x v="2"/>
    <x v="0"/>
    <x v="16"/>
    <x v="3"/>
    <n v="174710.98"/>
    <n v="196769.77"/>
    <n v="22058.789999999979"/>
    <n v="0.1262587503086525"/>
  </r>
  <r>
    <x v="2"/>
    <d v="2010-04-03T00:00:00"/>
    <x v="6"/>
    <x v="2"/>
    <x v="0"/>
    <x v="18"/>
    <x v="5"/>
    <n v="83963.85"/>
    <n v="93168.74"/>
    <n v="9204.89"/>
    <n v="0.1096292035203245"/>
  </r>
  <r>
    <x v="2"/>
    <d v="2010-04-03T00:00:00"/>
    <x v="6"/>
    <x v="2"/>
    <x v="0"/>
    <x v="19"/>
    <x v="5"/>
    <n v="44481.03"/>
    <n v="51145.15"/>
    <n v="6664.1200000000026"/>
    <n v="0.14981937243809335"/>
  </r>
  <r>
    <x v="2"/>
    <d v="2010-04-03T00:00:00"/>
    <x v="6"/>
    <x v="2"/>
    <x v="0"/>
    <x v="20"/>
    <x v="5"/>
    <n v="361931.59"/>
    <n v="465577.97"/>
    <n v="103646.37999999995"/>
    <n v="0.28637008446817241"/>
  </r>
  <r>
    <x v="2"/>
    <d v="2010-04-03T00:00:00"/>
    <x v="6"/>
    <x v="2"/>
    <x v="0"/>
    <x v="21"/>
    <x v="5"/>
    <n v="152"/>
    <n v="189.88"/>
    <n v="37.879999999999995"/>
    <n v="0.24921052631578944"/>
  </r>
  <r>
    <x v="2"/>
    <d v="2010-04-03T00:00:00"/>
    <x v="6"/>
    <x v="2"/>
    <x v="0"/>
    <x v="22"/>
    <x v="6"/>
    <n v="3912.88"/>
    <n v="5085.66"/>
    <n v="1172.7799999999997"/>
    <n v="0.29972296620392136"/>
  </r>
  <r>
    <x v="2"/>
    <d v="2010-04-03T00:00:00"/>
    <x v="6"/>
    <x v="2"/>
    <x v="0"/>
    <x v="23"/>
    <x v="6"/>
    <n v="186250.01"/>
    <n v="177140.59"/>
    <n v="-9109.4200000000128"/>
    <n v="-4.8909634957872018E-2"/>
  </r>
  <r>
    <x v="2"/>
    <d v="2010-04-03T00:00:00"/>
    <x v="6"/>
    <x v="2"/>
    <x v="0"/>
    <x v="24"/>
    <x v="6"/>
    <n v="353111.23"/>
    <n v="374318.39"/>
    <n v="21207.160000000033"/>
    <n v="6.0058016280026078E-2"/>
  </r>
  <r>
    <x v="2"/>
    <d v="2010-04-03T00:00:00"/>
    <x v="6"/>
    <x v="2"/>
    <x v="0"/>
    <x v="25"/>
    <x v="6"/>
    <n v="358758.89"/>
    <n v="356672.67"/>
    <n v="-2086.2200000000303"/>
    <n v="-5.8151032856636111E-3"/>
  </r>
  <r>
    <x v="2"/>
    <d v="2010-04-04T00:00:00"/>
    <x v="7"/>
    <x v="2"/>
    <x v="0"/>
    <x v="0"/>
    <x v="0"/>
    <n v="6320.81"/>
    <n v="8339.44"/>
    <n v="2018.63"/>
    <n v="0.31936255005292041"/>
  </r>
  <r>
    <x v="2"/>
    <d v="2010-04-04T00:00:00"/>
    <x v="7"/>
    <x v="2"/>
    <x v="0"/>
    <x v="1"/>
    <x v="0"/>
    <n v="171666.23"/>
    <n v="225249.88"/>
    <n v="53583.649999999994"/>
    <n v="0.31213856097381526"/>
  </r>
  <r>
    <x v="2"/>
    <d v="2010-04-04T00:00:00"/>
    <x v="7"/>
    <x v="2"/>
    <x v="0"/>
    <x v="2"/>
    <x v="0"/>
    <n v="28800.06"/>
    <n v="32261.16"/>
    <n v="3461.0999999999985"/>
    <n v="0.12017683296493127"/>
  </r>
  <r>
    <x v="2"/>
    <d v="2010-04-04T00:00:00"/>
    <x v="7"/>
    <x v="2"/>
    <x v="0"/>
    <x v="4"/>
    <x v="0"/>
    <n v="973"/>
    <n v="1118.72"/>
    <n v="145.72000000000003"/>
    <n v="0.14976361767728677"/>
  </r>
  <r>
    <x v="2"/>
    <d v="2010-04-04T00:00:00"/>
    <x v="7"/>
    <x v="2"/>
    <x v="0"/>
    <x v="5"/>
    <x v="1"/>
    <n v="109795.99"/>
    <n v="122395.67"/>
    <n v="12599.679999999993"/>
    <n v="0.11475537494584268"/>
  </r>
  <r>
    <x v="2"/>
    <d v="2010-04-04T00:00:00"/>
    <x v="7"/>
    <x v="2"/>
    <x v="0"/>
    <x v="6"/>
    <x v="1"/>
    <n v="218298.51"/>
    <n v="242804.77"/>
    <n v="24506.25999999998"/>
    <n v="0.11226031730587616"/>
  </r>
  <r>
    <x v="2"/>
    <d v="2010-04-04T00:00:00"/>
    <x v="7"/>
    <x v="2"/>
    <x v="0"/>
    <x v="7"/>
    <x v="1"/>
    <n v="71897.91"/>
    <n v="80660.210000000006"/>
    <n v="8762.3000000000029"/>
    <n v="0.12187141462109263"/>
  </r>
  <r>
    <x v="2"/>
    <d v="2010-04-04T00:00:00"/>
    <x v="7"/>
    <x v="2"/>
    <x v="0"/>
    <x v="8"/>
    <x v="1"/>
    <n v="154174.85999999999"/>
    <n v="163055.26"/>
    <n v="8880.4000000000233"/>
    <n v="5.7599533412905475E-2"/>
  </r>
  <r>
    <x v="2"/>
    <d v="2010-04-04T00:00:00"/>
    <x v="7"/>
    <x v="2"/>
    <x v="0"/>
    <x v="9"/>
    <x v="2"/>
    <n v="173929.28"/>
    <n v="194736.44"/>
    <n v="20807.160000000003"/>
    <n v="0.11963000134307464"/>
  </r>
  <r>
    <x v="2"/>
    <d v="2010-04-04T00:00:00"/>
    <x v="7"/>
    <x v="2"/>
    <x v="0"/>
    <x v="10"/>
    <x v="2"/>
    <n v="152681.29999999999"/>
    <n v="158125.46"/>
    <n v="5444.1600000000035"/>
    <n v="3.5657018901463403E-2"/>
  </r>
  <r>
    <x v="2"/>
    <d v="2010-04-04T00:00:00"/>
    <x v="7"/>
    <x v="2"/>
    <x v="0"/>
    <x v="11"/>
    <x v="2"/>
    <n v="69224"/>
    <n v="72052.73"/>
    <n v="2828.7299999999959"/>
    <n v="4.0863428868600428E-2"/>
  </r>
  <r>
    <x v="2"/>
    <d v="2010-04-04T00:00:00"/>
    <x v="7"/>
    <x v="2"/>
    <x v="0"/>
    <x v="12"/>
    <x v="2"/>
    <n v="7477.25"/>
    <n v="8685.4"/>
    <n v="1208.1499999999996"/>
    <n v="0.16157678290815469"/>
  </r>
  <r>
    <x v="2"/>
    <d v="2010-04-04T00:00:00"/>
    <x v="7"/>
    <x v="2"/>
    <x v="0"/>
    <x v="26"/>
    <x v="3"/>
    <n v="2084.44"/>
    <n v="2396.79"/>
    <n v="312.34999999999991"/>
    <n v="0.1498484005296386"/>
  </r>
  <r>
    <x v="2"/>
    <d v="2010-04-04T00:00:00"/>
    <x v="7"/>
    <x v="2"/>
    <x v="0"/>
    <x v="13"/>
    <x v="3"/>
    <n v="47249.01"/>
    <n v="53832.17"/>
    <n v="6583.1599999999962"/>
    <n v="0.13932905684161417"/>
  </r>
  <r>
    <x v="2"/>
    <d v="2010-04-04T00:00:00"/>
    <x v="7"/>
    <x v="2"/>
    <x v="0"/>
    <x v="14"/>
    <x v="3"/>
    <n v="33462.26"/>
    <n v="37586.699999999997"/>
    <n v="4124.4399999999951"/>
    <n v="0.12325646863063029"/>
  </r>
  <r>
    <x v="2"/>
    <d v="2010-04-04T00:00:00"/>
    <x v="7"/>
    <x v="2"/>
    <x v="0"/>
    <x v="15"/>
    <x v="3"/>
    <n v="370941.91"/>
    <n v="406771.17"/>
    <n v="35829.260000000009"/>
    <n v="9.6589948544773527E-2"/>
  </r>
  <r>
    <x v="2"/>
    <d v="2010-04-04T00:00:00"/>
    <x v="7"/>
    <x v="2"/>
    <x v="0"/>
    <x v="16"/>
    <x v="3"/>
    <n v="125098.96"/>
    <n v="140448.84"/>
    <n v="15349.87999999999"/>
    <n v="0.12270189936031434"/>
  </r>
  <r>
    <x v="2"/>
    <d v="2010-04-04T00:00:00"/>
    <x v="7"/>
    <x v="2"/>
    <x v="0"/>
    <x v="18"/>
    <x v="5"/>
    <n v="17137.900000000001"/>
    <n v="19022.97"/>
    <n v="1885.0699999999997"/>
    <n v="0.10999422332957945"/>
  </r>
  <r>
    <x v="2"/>
    <d v="2010-04-04T00:00:00"/>
    <x v="7"/>
    <x v="2"/>
    <x v="0"/>
    <x v="19"/>
    <x v="5"/>
    <n v="22129.07"/>
    <n v="25444.240000000002"/>
    <n v="3315.1700000000019"/>
    <n v="0.14981063370489595"/>
  </r>
  <r>
    <x v="2"/>
    <d v="2010-04-04T00:00:00"/>
    <x v="7"/>
    <x v="2"/>
    <x v="0"/>
    <x v="20"/>
    <x v="5"/>
    <n v="181892.75"/>
    <n v="251522.55"/>
    <n v="69629.799999999988"/>
    <n v="0.38280690131959622"/>
  </r>
  <r>
    <x v="2"/>
    <d v="2010-04-04T00:00:00"/>
    <x v="7"/>
    <x v="2"/>
    <x v="0"/>
    <x v="21"/>
    <x v="5"/>
    <n v="380"/>
    <n v="474.97"/>
    <n v="94.970000000000027"/>
    <n v="0.24992105263157902"/>
  </r>
  <r>
    <x v="2"/>
    <d v="2010-04-04T00:00:00"/>
    <x v="7"/>
    <x v="2"/>
    <x v="0"/>
    <x v="22"/>
    <x v="6"/>
    <n v="2296.08"/>
    <n v="2984.19"/>
    <n v="688.11000000000013"/>
    <n v="0.29968903522525353"/>
  </r>
  <r>
    <x v="2"/>
    <d v="2010-04-04T00:00:00"/>
    <x v="7"/>
    <x v="2"/>
    <x v="0"/>
    <x v="23"/>
    <x v="6"/>
    <n v="155158.56"/>
    <n v="158348.78"/>
    <n v="3190.2200000000012"/>
    <n v="2.0561031244425064E-2"/>
  </r>
  <r>
    <x v="2"/>
    <d v="2010-04-04T00:00:00"/>
    <x v="7"/>
    <x v="2"/>
    <x v="0"/>
    <x v="24"/>
    <x v="6"/>
    <n v="254529.96"/>
    <n v="278206.63"/>
    <n v="23676.670000000013"/>
    <n v="9.302115161610057E-2"/>
  </r>
  <r>
    <x v="2"/>
    <d v="2010-04-04T00:00:00"/>
    <x v="7"/>
    <x v="2"/>
    <x v="0"/>
    <x v="25"/>
    <x v="6"/>
    <n v="248030.57"/>
    <n v="252987.32"/>
    <n v="4956.75"/>
    <n v="1.9984431757746637E-2"/>
  </r>
  <r>
    <x v="3"/>
    <d v="2010-02-15T00:00:00"/>
    <x v="0"/>
    <x v="0"/>
    <x v="1"/>
    <x v="0"/>
    <x v="0"/>
    <n v="16764"/>
    <n v="18964.38"/>
    <n v="2200.380000000001"/>
    <n v="0.13125626342161781"/>
  </r>
  <r>
    <x v="3"/>
    <d v="2010-02-15T00:00:00"/>
    <x v="0"/>
    <x v="0"/>
    <x v="1"/>
    <x v="1"/>
    <x v="0"/>
    <n v="203581.19"/>
    <n v="233508.11"/>
    <n v="29926.919999999984"/>
    <n v="0.14700238268574806"/>
  </r>
  <r>
    <x v="3"/>
    <d v="2010-02-15T00:00:00"/>
    <x v="0"/>
    <x v="0"/>
    <x v="1"/>
    <x v="2"/>
    <x v="0"/>
    <n v="84532.1"/>
    <n v="94884.55"/>
    <n v="10352.449999999997"/>
    <n v="0.1224676779590238"/>
  </r>
  <r>
    <x v="3"/>
    <d v="2010-02-15T00:00:00"/>
    <x v="0"/>
    <x v="0"/>
    <x v="1"/>
    <x v="3"/>
    <x v="0"/>
    <n v="3298"/>
    <n v="3746.02"/>
    <n v="448.02"/>
    <n v="0.13584596725288053"/>
  </r>
  <r>
    <x v="3"/>
    <d v="2010-02-15T00:00:00"/>
    <x v="0"/>
    <x v="0"/>
    <x v="1"/>
    <x v="4"/>
    <x v="0"/>
    <n v="34836.870000000003"/>
    <n v="39020.550000000003"/>
    <n v="4183.68"/>
    <n v="0.12009345271260019"/>
  </r>
  <r>
    <x v="3"/>
    <d v="2010-02-15T00:00:00"/>
    <x v="0"/>
    <x v="0"/>
    <x v="1"/>
    <x v="5"/>
    <x v="1"/>
    <n v="125858.47"/>
    <n v="140080.54"/>
    <n v="14222.070000000007"/>
    <n v="0.11300049968826101"/>
  </r>
  <r>
    <x v="3"/>
    <d v="2010-02-15T00:00:00"/>
    <x v="0"/>
    <x v="0"/>
    <x v="1"/>
    <x v="6"/>
    <x v="1"/>
    <n v="447084.74"/>
    <n v="475123.57"/>
    <n v="28038.830000000016"/>
    <n v="6.2714799883351005E-2"/>
  </r>
  <r>
    <x v="3"/>
    <d v="2010-02-15T00:00:00"/>
    <x v="0"/>
    <x v="0"/>
    <x v="1"/>
    <x v="7"/>
    <x v="1"/>
    <n v="108571.97"/>
    <n v="120510.08"/>
    <n v="11938.11"/>
    <n v="0.10995572798393545"/>
  </r>
  <r>
    <x v="3"/>
    <d v="2010-02-15T00:00:00"/>
    <x v="0"/>
    <x v="0"/>
    <x v="1"/>
    <x v="8"/>
    <x v="1"/>
    <n v="178209.93"/>
    <n v="188679.14"/>
    <n v="10469.210000000021"/>
    <n v="5.8746501948572796E-2"/>
  </r>
  <r>
    <x v="3"/>
    <d v="2010-02-15T00:00:00"/>
    <x v="0"/>
    <x v="0"/>
    <x v="1"/>
    <x v="9"/>
    <x v="2"/>
    <n v="334985.94"/>
    <n v="359406.61"/>
    <n v="24420.669999999984"/>
    <n v="7.29005820363684E-2"/>
  </r>
  <r>
    <x v="3"/>
    <d v="2010-02-15T00:00:00"/>
    <x v="0"/>
    <x v="0"/>
    <x v="1"/>
    <x v="10"/>
    <x v="2"/>
    <n v="114554.73"/>
    <n v="119006.27"/>
    <n v="4451.5400000000081"/>
    <n v="3.8859504099045129E-2"/>
  </r>
  <r>
    <x v="3"/>
    <d v="2010-02-15T00:00:00"/>
    <x v="0"/>
    <x v="0"/>
    <x v="1"/>
    <x v="11"/>
    <x v="2"/>
    <n v="129453.31"/>
    <n v="138792.67000000001"/>
    <n v="9339.3600000000151"/>
    <n v="7.2144621099298395E-2"/>
  </r>
  <r>
    <x v="3"/>
    <d v="2010-02-15T00:00:00"/>
    <x v="0"/>
    <x v="0"/>
    <x v="1"/>
    <x v="12"/>
    <x v="2"/>
    <n v="12198"/>
    <n v="13011.33"/>
    <n v="813.32999999999993"/>
    <n v="6.6677324151500239E-2"/>
  </r>
  <r>
    <x v="3"/>
    <d v="2010-02-15T00:00:00"/>
    <x v="0"/>
    <x v="0"/>
    <x v="1"/>
    <x v="26"/>
    <x v="3"/>
    <n v="3717"/>
    <n v="4150.7700000000004"/>
    <n v="433.77000000000044"/>
    <n v="0.11669895076674749"/>
  </r>
  <r>
    <x v="3"/>
    <d v="2010-02-15T00:00:00"/>
    <x v="0"/>
    <x v="0"/>
    <x v="1"/>
    <x v="13"/>
    <x v="3"/>
    <n v="138906.99"/>
    <n v="157775.48000000001"/>
    <n v="18868.49000000002"/>
    <n v="0.13583542484075151"/>
  </r>
  <r>
    <x v="3"/>
    <d v="2010-02-15T00:00:00"/>
    <x v="0"/>
    <x v="0"/>
    <x v="1"/>
    <x v="14"/>
    <x v="3"/>
    <n v="121229.86"/>
    <n v="135174.89000000001"/>
    <n v="13945.030000000013"/>
    <n v="0.11502966348389757"/>
  </r>
  <r>
    <x v="3"/>
    <d v="2010-02-15T00:00:00"/>
    <x v="0"/>
    <x v="0"/>
    <x v="1"/>
    <x v="15"/>
    <x v="3"/>
    <n v="397833.25"/>
    <n v="435071.21"/>
    <n v="37237.960000000021"/>
    <n v="9.3601929954321372E-2"/>
  </r>
  <r>
    <x v="3"/>
    <d v="2010-02-15T00:00:00"/>
    <x v="0"/>
    <x v="0"/>
    <x v="1"/>
    <x v="16"/>
    <x v="3"/>
    <n v="101876.03"/>
    <n v="114955.27"/>
    <n v="13079.240000000005"/>
    <n v="0.12838387989795053"/>
  </r>
  <r>
    <x v="3"/>
    <d v="2010-02-15T00:00:00"/>
    <x v="0"/>
    <x v="0"/>
    <x v="1"/>
    <x v="17"/>
    <x v="4"/>
    <n v="624591.01"/>
    <n v="747033.07"/>
    <n v="122442.05999999994"/>
    <n v="0.19603557854603115"/>
  </r>
  <r>
    <x v="3"/>
    <d v="2010-02-15T00:00:00"/>
    <x v="0"/>
    <x v="0"/>
    <x v="1"/>
    <x v="18"/>
    <x v="5"/>
    <n v="69087.47"/>
    <n v="79239.509999999995"/>
    <n v="10152.039999999994"/>
    <n v="0.14694473542018535"/>
  </r>
  <r>
    <x v="3"/>
    <d v="2010-02-15T00:00:00"/>
    <x v="0"/>
    <x v="0"/>
    <x v="1"/>
    <x v="20"/>
    <x v="5"/>
    <n v="63831.63"/>
    <n v="117669.28"/>
    <n v="53837.65"/>
    <n v="0.84343216678001176"/>
  </r>
  <r>
    <x v="3"/>
    <d v="2010-02-15T00:00:00"/>
    <x v="0"/>
    <x v="0"/>
    <x v="1"/>
    <x v="21"/>
    <x v="5"/>
    <n v="5290.82"/>
    <n v="5925.42"/>
    <n v="634.60000000000036"/>
    <n v="0.11994360042488696"/>
  </r>
  <r>
    <x v="3"/>
    <d v="2010-02-15T00:00:00"/>
    <x v="0"/>
    <x v="0"/>
    <x v="1"/>
    <x v="22"/>
    <x v="6"/>
    <n v="16239.2"/>
    <n v="19273.5"/>
    <n v="3034.2999999999993"/>
    <n v="0.18685033745504701"/>
  </r>
  <r>
    <x v="3"/>
    <d v="2010-02-15T00:00:00"/>
    <x v="0"/>
    <x v="0"/>
    <x v="1"/>
    <x v="23"/>
    <x v="6"/>
    <n v="113489.94"/>
    <n v="125044.29"/>
    <n v="11554.349999999991"/>
    <n v="0.10180946434547407"/>
  </r>
  <r>
    <x v="3"/>
    <d v="2010-02-15T00:00:00"/>
    <x v="0"/>
    <x v="0"/>
    <x v="1"/>
    <x v="24"/>
    <x v="6"/>
    <n v="300002.12"/>
    <n v="308985.34000000003"/>
    <n v="8983.2200000000303"/>
    <n v="2.994385506342432E-2"/>
  </r>
  <r>
    <x v="3"/>
    <d v="2010-02-15T00:00:00"/>
    <x v="0"/>
    <x v="0"/>
    <x v="1"/>
    <x v="25"/>
    <x v="6"/>
    <n v="238154.92"/>
    <n v="254259.83"/>
    <n v="16104.909999999974"/>
    <n v="6.7623671180087205E-2"/>
  </r>
  <r>
    <x v="3"/>
    <d v="2010-02-16T00:00:00"/>
    <x v="0"/>
    <x v="0"/>
    <x v="1"/>
    <x v="0"/>
    <x v="0"/>
    <n v="17719"/>
    <n v="19984.73"/>
    <n v="2265.7299999999996"/>
    <n v="0.12787008296179239"/>
  </r>
  <r>
    <x v="3"/>
    <d v="2010-02-16T00:00:00"/>
    <x v="0"/>
    <x v="0"/>
    <x v="1"/>
    <x v="1"/>
    <x v="0"/>
    <n v="197871.99"/>
    <n v="234264.61"/>
    <n v="36392.619999999995"/>
    <n v="0.18392001818953757"/>
  </r>
  <r>
    <x v="3"/>
    <d v="2010-02-16T00:00:00"/>
    <x v="0"/>
    <x v="0"/>
    <x v="1"/>
    <x v="2"/>
    <x v="0"/>
    <n v="106934.75"/>
    <n v="120387.26"/>
    <n v="13452.509999999995"/>
    <n v="0.12580110768482644"/>
  </r>
  <r>
    <x v="3"/>
    <d v="2010-02-16T00:00:00"/>
    <x v="0"/>
    <x v="0"/>
    <x v="1"/>
    <x v="3"/>
    <x v="0"/>
    <n v="8371"/>
    <n v="9352.2900000000009"/>
    <n v="981.29000000000087"/>
    <n v="0.11722494325648081"/>
  </r>
  <r>
    <x v="3"/>
    <d v="2010-02-16T00:00:00"/>
    <x v="0"/>
    <x v="0"/>
    <x v="1"/>
    <x v="4"/>
    <x v="0"/>
    <n v="27385.78"/>
    <n v="31011.89"/>
    <n v="3626.1100000000006"/>
    <n v="0.13240849813297267"/>
  </r>
  <r>
    <x v="3"/>
    <d v="2010-02-16T00:00:00"/>
    <x v="0"/>
    <x v="0"/>
    <x v="1"/>
    <x v="5"/>
    <x v="1"/>
    <n v="153326.45000000001"/>
    <n v="170371.78"/>
    <n v="17045.329999999987"/>
    <n v="0.11117018622683814"/>
  </r>
  <r>
    <x v="3"/>
    <d v="2010-02-16T00:00:00"/>
    <x v="0"/>
    <x v="0"/>
    <x v="1"/>
    <x v="6"/>
    <x v="1"/>
    <n v="484846.31"/>
    <n v="514314.8"/>
    <n v="29468.489999999991"/>
    <n v="6.0779033256951033E-2"/>
  </r>
  <r>
    <x v="3"/>
    <d v="2010-02-16T00:00:00"/>
    <x v="0"/>
    <x v="0"/>
    <x v="1"/>
    <x v="7"/>
    <x v="1"/>
    <n v="106785.94"/>
    <n v="117595.01"/>
    <n v="10809.069999999992"/>
    <n v="0.10122184624679983"/>
  </r>
  <r>
    <x v="3"/>
    <d v="2010-02-16T00:00:00"/>
    <x v="0"/>
    <x v="0"/>
    <x v="1"/>
    <x v="8"/>
    <x v="1"/>
    <n v="186225.29"/>
    <n v="198446.8"/>
    <n v="12221.50999999998"/>
    <n v="6.5627552519853666E-2"/>
  </r>
  <r>
    <x v="3"/>
    <d v="2010-02-16T00:00:00"/>
    <x v="0"/>
    <x v="0"/>
    <x v="1"/>
    <x v="9"/>
    <x v="2"/>
    <n v="382123.89299999998"/>
    <n v="412833.51"/>
    <n v="30709.617000000027"/>
    <n v="8.0365602786319434E-2"/>
  </r>
  <r>
    <x v="3"/>
    <d v="2010-02-16T00:00:00"/>
    <x v="0"/>
    <x v="0"/>
    <x v="1"/>
    <x v="10"/>
    <x v="2"/>
    <n v="141270.81"/>
    <n v="147036.37"/>
    <n v="5765.5599999999977"/>
    <n v="4.081211115020858E-2"/>
  </r>
  <r>
    <x v="3"/>
    <d v="2010-02-16T00:00:00"/>
    <x v="0"/>
    <x v="0"/>
    <x v="1"/>
    <x v="11"/>
    <x v="2"/>
    <n v="131088.99"/>
    <n v="138766.68"/>
    <n v="7677.6900000000023"/>
    <n v="5.8568534245324516E-2"/>
  </r>
  <r>
    <x v="3"/>
    <d v="2010-02-16T00:00:00"/>
    <x v="0"/>
    <x v="0"/>
    <x v="1"/>
    <x v="12"/>
    <x v="2"/>
    <n v="15072"/>
    <n v="16264.74"/>
    <n v="1192.7399999999998"/>
    <n v="7.9136146496815274E-2"/>
  </r>
  <r>
    <x v="3"/>
    <d v="2010-02-16T00:00:00"/>
    <x v="0"/>
    <x v="0"/>
    <x v="1"/>
    <x v="26"/>
    <x v="3"/>
    <n v="4517"/>
    <n v="5037.68"/>
    <n v="520.68000000000029"/>
    <n v="0.11527119769758695"/>
  </r>
  <r>
    <x v="3"/>
    <d v="2010-02-16T00:00:00"/>
    <x v="0"/>
    <x v="0"/>
    <x v="1"/>
    <x v="13"/>
    <x v="3"/>
    <n v="123452.52"/>
    <n v="138962.48000000001"/>
    <n v="15509.960000000006"/>
    <n v="0.12563502146412245"/>
  </r>
  <r>
    <x v="3"/>
    <d v="2010-02-16T00:00:00"/>
    <x v="0"/>
    <x v="0"/>
    <x v="1"/>
    <x v="14"/>
    <x v="3"/>
    <n v="131920.29"/>
    <n v="146030.26999999999"/>
    <n v="14109.979999999981"/>
    <n v="0.10695837615275088"/>
  </r>
  <r>
    <x v="3"/>
    <d v="2010-02-16T00:00:00"/>
    <x v="0"/>
    <x v="0"/>
    <x v="1"/>
    <x v="15"/>
    <x v="3"/>
    <n v="401604.35"/>
    <n v="450481.59"/>
    <n v="48877.240000000049"/>
    <n v="0.12170495663206848"/>
  </r>
  <r>
    <x v="3"/>
    <d v="2010-02-16T00:00:00"/>
    <x v="0"/>
    <x v="0"/>
    <x v="1"/>
    <x v="16"/>
    <x v="3"/>
    <n v="86752.639999999999"/>
    <n v="98192.18"/>
    <n v="11439.539999999994"/>
    <n v="0.13186388333542348"/>
  </r>
  <r>
    <x v="3"/>
    <d v="2010-02-16T00:00:00"/>
    <x v="0"/>
    <x v="0"/>
    <x v="1"/>
    <x v="17"/>
    <x v="4"/>
    <n v="664504.9"/>
    <n v="792256.51"/>
    <n v="127751.60999999999"/>
    <n v="0.19225081711210856"/>
  </r>
  <r>
    <x v="3"/>
    <d v="2010-02-16T00:00:00"/>
    <x v="0"/>
    <x v="0"/>
    <x v="1"/>
    <x v="18"/>
    <x v="5"/>
    <n v="93456.98"/>
    <n v="108677.9"/>
    <n v="15220.919999999998"/>
    <n v="0.1628655237950124"/>
  </r>
  <r>
    <x v="3"/>
    <d v="2010-02-16T00:00:00"/>
    <x v="0"/>
    <x v="0"/>
    <x v="1"/>
    <x v="20"/>
    <x v="5"/>
    <n v="62891.26"/>
    <n v="112590.92"/>
    <n v="49699.659999999996"/>
    <n v="0.79024748430863034"/>
  </r>
  <r>
    <x v="3"/>
    <d v="2010-02-16T00:00:00"/>
    <x v="0"/>
    <x v="0"/>
    <x v="1"/>
    <x v="21"/>
    <x v="5"/>
    <n v="3417.96"/>
    <n v="3827.59"/>
    <n v="409.63000000000011"/>
    <n v="0.11984634109234751"/>
  </r>
  <r>
    <x v="3"/>
    <d v="2010-02-16T00:00:00"/>
    <x v="0"/>
    <x v="0"/>
    <x v="1"/>
    <x v="22"/>
    <x v="6"/>
    <n v="6702.72"/>
    <n v="8087.28"/>
    <n v="1384.5599999999995"/>
    <n v="0.20656688627900308"/>
  </r>
  <r>
    <x v="3"/>
    <d v="2010-02-16T00:00:00"/>
    <x v="0"/>
    <x v="0"/>
    <x v="1"/>
    <x v="23"/>
    <x v="6"/>
    <n v="141445.62"/>
    <n v="155483.9"/>
    <n v="14038.279999999999"/>
    <n v="9.9248601688762081E-2"/>
  </r>
  <r>
    <x v="3"/>
    <d v="2010-02-16T00:00:00"/>
    <x v="0"/>
    <x v="0"/>
    <x v="1"/>
    <x v="24"/>
    <x v="6"/>
    <n v="268606.90999999997"/>
    <n v="285664.15000000002"/>
    <n v="17057.240000000049"/>
    <n v="6.3502610562029285E-2"/>
  </r>
  <r>
    <x v="3"/>
    <d v="2010-02-16T00:00:00"/>
    <x v="0"/>
    <x v="0"/>
    <x v="1"/>
    <x v="25"/>
    <x v="6"/>
    <n v="265160.21999999997"/>
    <n v="283749.69"/>
    <n v="18589.47000000003"/>
    <n v="7.0106556707488152E-2"/>
  </r>
  <r>
    <x v="3"/>
    <d v="2010-02-17T00:00:00"/>
    <x v="0"/>
    <x v="0"/>
    <x v="1"/>
    <x v="0"/>
    <x v="0"/>
    <n v="17892"/>
    <n v="20146.400000000001"/>
    <n v="2254.4000000000015"/>
    <n v="0.12600044712720776"/>
  </r>
  <r>
    <x v="3"/>
    <d v="2010-02-17T00:00:00"/>
    <x v="0"/>
    <x v="0"/>
    <x v="1"/>
    <x v="1"/>
    <x v="0"/>
    <n v="173806.4"/>
    <n v="208092.56"/>
    <n v="34286.160000000003"/>
    <n v="0.1972663837465134"/>
  </r>
  <r>
    <x v="3"/>
    <d v="2010-02-17T00:00:00"/>
    <x v="0"/>
    <x v="0"/>
    <x v="1"/>
    <x v="2"/>
    <x v="0"/>
    <n v="149641.19"/>
    <n v="156389.03"/>
    <n v="6747.8399999999965"/>
    <n v="4.5093466578286341E-2"/>
  </r>
  <r>
    <x v="3"/>
    <d v="2010-02-17T00:00:00"/>
    <x v="0"/>
    <x v="0"/>
    <x v="1"/>
    <x v="3"/>
    <x v="0"/>
    <n v="8292"/>
    <n v="9279.39"/>
    <n v="987.38999999999942"/>
    <n v="0.11907742402315477"/>
  </r>
  <r>
    <x v="3"/>
    <d v="2010-02-17T00:00:00"/>
    <x v="0"/>
    <x v="0"/>
    <x v="1"/>
    <x v="4"/>
    <x v="0"/>
    <n v="40910.160000000003"/>
    <n v="45172.09"/>
    <n v="4261.929999999993"/>
    <n v="0.10417778859823557"/>
  </r>
  <r>
    <x v="3"/>
    <d v="2010-02-17T00:00:00"/>
    <x v="0"/>
    <x v="0"/>
    <x v="1"/>
    <x v="5"/>
    <x v="1"/>
    <n v="167862.63"/>
    <n v="186070.77"/>
    <n v="18208.139999999985"/>
    <n v="0.10847047970116984"/>
  </r>
  <r>
    <x v="3"/>
    <d v="2010-02-17T00:00:00"/>
    <x v="0"/>
    <x v="0"/>
    <x v="1"/>
    <x v="6"/>
    <x v="1"/>
    <n v="569301.56000000006"/>
    <n v="598279.16"/>
    <n v="28977.599999999977"/>
    <n v="5.0900264527643263E-2"/>
  </r>
  <r>
    <x v="3"/>
    <d v="2010-02-17T00:00:00"/>
    <x v="0"/>
    <x v="0"/>
    <x v="1"/>
    <x v="7"/>
    <x v="1"/>
    <n v="154846.97"/>
    <n v="166117.57"/>
    <n v="11270.600000000006"/>
    <n v="7.2785408716747935E-2"/>
  </r>
  <r>
    <x v="3"/>
    <d v="2010-02-17T00:00:00"/>
    <x v="0"/>
    <x v="0"/>
    <x v="1"/>
    <x v="8"/>
    <x v="1"/>
    <n v="188988.76"/>
    <n v="200604.75"/>
    <n v="11615.989999999991"/>
    <n v="6.1463919864863867E-2"/>
  </r>
  <r>
    <x v="3"/>
    <d v="2010-02-17T00:00:00"/>
    <x v="0"/>
    <x v="0"/>
    <x v="1"/>
    <x v="9"/>
    <x v="2"/>
    <n v="502311.43"/>
    <n v="413947.75"/>
    <n v="-88363.68"/>
    <n v="-0.17591413358839952"/>
  </r>
  <r>
    <x v="3"/>
    <d v="2010-02-17T00:00:00"/>
    <x v="0"/>
    <x v="0"/>
    <x v="1"/>
    <x v="10"/>
    <x v="2"/>
    <n v="118469.29"/>
    <n v="123694.14"/>
    <n v="5224.8500000000058"/>
    <n v="4.4102990741313686E-2"/>
  </r>
  <r>
    <x v="3"/>
    <d v="2010-02-17T00:00:00"/>
    <x v="0"/>
    <x v="0"/>
    <x v="1"/>
    <x v="11"/>
    <x v="2"/>
    <n v="109152.44"/>
    <n v="118383.29"/>
    <n v="9230.8499999999913"/>
    <n v="8.4568425589020196E-2"/>
  </r>
  <r>
    <x v="3"/>
    <d v="2010-02-17T00:00:00"/>
    <x v="0"/>
    <x v="0"/>
    <x v="1"/>
    <x v="12"/>
    <x v="2"/>
    <n v="7750"/>
    <n v="8260.77"/>
    <n v="510.77000000000044"/>
    <n v="6.5905806451612953E-2"/>
  </r>
  <r>
    <x v="3"/>
    <d v="2010-02-17T00:00:00"/>
    <x v="0"/>
    <x v="0"/>
    <x v="1"/>
    <x v="26"/>
    <x v="3"/>
    <n v="4639"/>
    <n v="5246.15"/>
    <n v="607.14999999999964"/>
    <n v="0.13087949989221806"/>
  </r>
  <r>
    <x v="3"/>
    <d v="2010-02-17T00:00:00"/>
    <x v="0"/>
    <x v="0"/>
    <x v="1"/>
    <x v="13"/>
    <x v="3"/>
    <n v="135865"/>
    <n v="151768.85999999999"/>
    <n v="15903.859999999986"/>
    <n v="0.11705634269311438"/>
  </r>
  <r>
    <x v="3"/>
    <d v="2010-02-17T00:00:00"/>
    <x v="0"/>
    <x v="0"/>
    <x v="1"/>
    <x v="14"/>
    <x v="3"/>
    <n v="84497.33"/>
    <n v="98373.93"/>
    <n v="13876.599999999991"/>
    <n v="0.16422530747421238"/>
  </r>
  <r>
    <x v="3"/>
    <d v="2010-02-17T00:00:00"/>
    <x v="0"/>
    <x v="0"/>
    <x v="1"/>
    <x v="15"/>
    <x v="3"/>
    <n v="462954.43"/>
    <n v="501895.47"/>
    <n v="38941.039999999979"/>
    <n v="8.4114196725582638E-2"/>
  </r>
  <r>
    <x v="3"/>
    <d v="2010-02-17T00:00:00"/>
    <x v="0"/>
    <x v="0"/>
    <x v="1"/>
    <x v="16"/>
    <x v="3"/>
    <n v="82174.92"/>
    <n v="92949.79"/>
    <n v="10774.869999999995"/>
    <n v="0.13112114985934875"/>
  </r>
  <r>
    <x v="3"/>
    <d v="2010-02-17T00:00:00"/>
    <x v="0"/>
    <x v="0"/>
    <x v="1"/>
    <x v="17"/>
    <x v="4"/>
    <n v="639713.91"/>
    <n v="762024.13"/>
    <n v="122310.21999999997"/>
    <n v="0.19119518598556026"/>
  </r>
  <r>
    <x v="3"/>
    <d v="2010-02-17T00:00:00"/>
    <x v="0"/>
    <x v="0"/>
    <x v="1"/>
    <x v="18"/>
    <x v="5"/>
    <n v="85413.04"/>
    <n v="100038.81"/>
    <n v="14625.770000000004"/>
    <n v="0.17123579725063065"/>
  </r>
  <r>
    <x v="3"/>
    <d v="2010-02-17T00:00:00"/>
    <x v="0"/>
    <x v="0"/>
    <x v="1"/>
    <x v="20"/>
    <x v="5"/>
    <n v="63554.7"/>
    <n v="118585.67"/>
    <n v="55030.97"/>
    <n v="0.86588356171927494"/>
  </r>
  <r>
    <x v="3"/>
    <d v="2010-02-17T00:00:00"/>
    <x v="0"/>
    <x v="0"/>
    <x v="1"/>
    <x v="21"/>
    <x v="5"/>
    <n v="5160.21"/>
    <n v="5779.03"/>
    <n v="618.81999999999971"/>
    <n v="0.11992147606395857"/>
  </r>
  <r>
    <x v="3"/>
    <d v="2010-02-17T00:00:00"/>
    <x v="0"/>
    <x v="0"/>
    <x v="1"/>
    <x v="22"/>
    <x v="6"/>
    <n v="10769.6"/>
    <n v="13207.71"/>
    <n v="2438.1099999999988"/>
    <n v="0.22638816669142761"/>
  </r>
  <r>
    <x v="3"/>
    <d v="2010-02-17T00:00:00"/>
    <x v="0"/>
    <x v="0"/>
    <x v="1"/>
    <x v="23"/>
    <x v="6"/>
    <n v="115510.49"/>
    <n v="127943.38"/>
    <n v="12432.89"/>
    <n v="0.1076342936472696"/>
  </r>
  <r>
    <x v="3"/>
    <d v="2010-02-17T00:00:00"/>
    <x v="0"/>
    <x v="0"/>
    <x v="1"/>
    <x v="24"/>
    <x v="6"/>
    <n v="236174.36"/>
    <n v="252543.74"/>
    <n v="16369.380000000005"/>
    <n v="6.9310572070566873E-2"/>
  </r>
  <r>
    <x v="3"/>
    <d v="2010-02-17T00:00:00"/>
    <x v="0"/>
    <x v="0"/>
    <x v="1"/>
    <x v="25"/>
    <x v="6"/>
    <n v="245932.93"/>
    <n v="261102.86"/>
    <n v="15169.929999999993"/>
    <n v="6.1683199561766669E-2"/>
  </r>
  <r>
    <x v="3"/>
    <d v="2010-02-18T00:00:00"/>
    <x v="0"/>
    <x v="0"/>
    <x v="1"/>
    <x v="0"/>
    <x v="0"/>
    <n v="12378"/>
    <n v="14101"/>
    <n v="1723"/>
    <n v="0.13919857812247535"/>
  </r>
  <r>
    <x v="3"/>
    <d v="2010-02-18T00:00:00"/>
    <x v="0"/>
    <x v="0"/>
    <x v="1"/>
    <x v="1"/>
    <x v="0"/>
    <n v="219132"/>
    <n v="252437"/>
    <n v="33305"/>
    <n v="0.15198601756019203"/>
  </r>
  <r>
    <x v="3"/>
    <d v="2010-02-18T00:00:00"/>
    <x v="0"/>
    <x v="0"/>
    <x v="1"/>
    <x v="2"/>
    <x v="0"/>
    <n v="93612"/>
    <n v="104566"/>
    <n v="10954"/>
    <n v="0.11701491261804042"/>
  </r>
  <r>
    <x v="3"/>
    <d v="2010-02-18T00:00:00"/>
    <x v="0"/>
    <x v="0"/>
    <x v="1"/>
    <x v="3"/>
    <x v="0"/>
    <n v="6911"/>
    <n v="7801"/>
    <n v="890"/>
    <n v="0.1287802054695413"/>
  </r>
  <r>
    <x v="3"/>
    <d v="2010-02-18T00:00:00"/>
    <x v="0"/>
    <x v="0"/>
    <x v="1"/>
    <x v="4"/>
    <x v="0"/>
    <n v="31372"/>
    <n v="34370"/>
    <n v="2998"/>
    <n v="9.5562922351141139E-2"/>
  </r>
  <r>
    <x v="3"/>
    <d v="2010-02-18T00:00:00"/>
    <x v="0"/>
    <x v="0"/>
    <x v="1"/>
    <x v="5"/>
    <x v="1"/>
    <n v="152322"/>
    <n v="168246"/>
    <n v="15924"/>
    <n v="0.10454169456808603"/>
  </r>
  <r>
    <x v="3"/>
    <d v="2010-02-18T00:00:00"/>
    <x v="0"/>
    <x v="0"/>
    <x v="1"/>
    <x v="6"/>
    <x v="1"/>
    <n v="416888"/>
    <n v="440514"/>
    <n v="23626"/>
    <n v="5.6672295676536623E-2"/>
  </r>
  <r>
    <x v="3"/>
    <d v="2010-02-18T00:00:00"/>
    <x v="0"/>
    <x v="0"/>
    <x v="1"/>
    <x v="7"/>
    <x v="1"/>
    <n v="101591"/>
    <n v="112023"/>
    <n v="10432"/>
    <n v="0.10268626157828942"/>
  </r>
  <r>
    <x v="3"/>
    <d v="2010-02-18T00:00:00"/>
    <x v="0"/>
    <x v="0"/>
    <x v="1"/>
    <x v="8"/>
    <x v="1"/>
    <n v="172980"/>
    <n v="185671"/>
    <n v="12691"/>
    <n v="7.3366863221181633E-2"/>
  </r>
  <r>
    <x v="3"/>
    <d v="2010-02-18T00:00:00"/>
    <x v="0"/>
    <x v="0"/>
    <x v="1"/>
    <x v="9"/>
    <x v="2"/>
    <n v="494572"/>
    <n v="516640"/>
    <n v="22068"/>
    <n v="4.4620399052109704E-2"/>
  </r>
  <r>
    <x v="3"/>
    <d v="2010-02-18T00:00:00"/>
    <x v="0"/>
    <x v="0"/>
    <x v="1"/>
    <x v="10"/>
    <x v="2"/>
    <n v="177437"/>
    <n v="185058"/>
    <n v="7621"/>
    <n v="4.295045565468307E-2"/>
  </r>
  <r>
    <x v="3"/>
    <d v="2010-02-18T00:00:00"/>
    <x v="0"/>
    <x v="0"/>
    <x v="1"/>
    <x v="11"/>
    <x v="2"/>
    <n v="155922"/>
    <n v="164943"/>
    <n v="9021"/>
    <n v="5.785585100242429E-2"/>
  </r>
  <r>
    <x v="3"/>
    <d v="2010-02-18T00:00:00"/>
    <x v="0"/>
    <x v="0"/>
    <x v="1"/>
    <x v="12"/>
    <x v="2"/>
    <n v="15658"/>
    <n v="16475"/>
    <n v="817"/>
    <n v="5.2177800485374889E-2"/>
  </r>
  <r>
    <x v="3"/>
    <d v="2010-02-18T00:00:00"/>
    <x v="0"/>
    <x v="0"/>
    <x v="1"/>
    <x v="26"/>
    <x v="3"/>
    <n v="3843"/>
    <n v="4303"/>
    <n v="460"/>
    <n v="0.11969815248503773"/>
  </r>
  <r>
    <x v="3"/>
    <d v="2010-02-18T00:00:00"/>
    <x v="0"/>
    <x v="0"/>
    <x v="1"/>
    <x v="13"/>
    <x v="3"/>
    <n v="153452"/>
    <n v="172811"/>
    <n v="19359"/>
    <n v="0.12615671349998697"/>
  </r>
  <r>
    <x v="3"/>
    <d v="2010-02-18T00:00:00"/>
    <x v="0"/>
    <x v="0"/>
    <x v="1"/>
    <x v="14"/>
    <x v="3"/>
    <n v="66508"/>
    <n v="76505"/>
    <n v="9997"/>
    <n v="0.15031274433150899"/>
  </r>
  <r>
    <x v="3"/>
    <d v="2010-02-18T00:00:00"/>
    <x v="0"/>
    <x v="0"/>
    <x v="1"/>
    <x v="15"/>
    <x v="3"/>
    <n v="476398"/>
    <n v="515357"/>
    <n v="38959"/>
    <n v="8.1778261033841448E-2"/>
  </r>
  <r>
    <x v="3"/>
    <d v="2010-02-18T00:00:00"/>
    <x v="0"/>
    <x v="0"/>
    <x v="1"/>
    <x v="16"/>
    <x v="3"/>
    <n v="96486"/>
    <n v="109214"/>
    <n v="12728"/>
    <n v="0.13191551105859917"/>
  </r>
  <r>
    <x v="3"/>
    <d v="2010-02-18T00:00:00"/>
    <x v="0"/>
    <x v="0"/>
    <x v="1"/>
    <x v="17"/>
    <x v="4"/>
    <n v="636022"/>
    <n v="759022"/>
    <n v="123000"/>
    <n v="0.19338953683992063"/>
  </r>
  <r>
    <x v="3"/>
    <d v="2010-02-18T00:00:00"/>
    <x v="0"/>
    <x v="0"/>
    <x v="1"/>
    <x v="18"/>
    <x v="5"/>
    <n v="54441"/>
    <n v="66845"/>
    <n v="12404"/>
    <n v="0.22784298598482761"/>
  </r>
  <r>
    <x v="3"/>
    <d v="2010-02-18T00:00:00"/>
    <x v="0"/>
    <x v="0"/>
    <x v="1"/>
    <x v="20"/>
    <x v="5"/>
    <n v="51769"/>
    <n v="93966"/>
    <n v="42197"/>
    <n v="0.81510170179064689"/>
  </r>
  <r>
    <x v="3"/>
    <d v="2010-02-18T00:00:00"/>
    <x v="0"/>
    <x v="0"/>
    <x v="1"/>
    <x v="21"/>
    <x v="5"/>
    <n v="5821"/>
    <n v="6519"/>
    <n v="698"/>
    <n v="0.1199106682700567"/>
  </r>
  <r>
    <x v="3"/>
    <d v="2010-02-18T00:00:00"/>
    <x v="0"/>
    <x v="0"/>
    <x v="1"/>
    <x v="22"/>
    <x v="6"/>
    <n v="8724"/>
    <n v="10299"/>
    <n v="1575"/>
    <n v="0.18053645116918846"/>
  </r>
  <r>
    <x v="3"/>
    <d v="2010-02-18T00:00:00"/>
    <x v="0"/>
    <x v="0"/>
    <x v="1"/>
    <x v="23"/>
    <x v="6"/>
    <n v="134164"/>
    <n v="148123"/>
    <n v="13959"/>
    <n v="0.10404430398616618"/>
  </r>
  <r>
    <x v="3"/>
    <d v="2010-02-18T00:00:00"/>
    <x v="0"/>
    <x v="0"/>
    <x v="1"/>
    <x v="24"/>
    <x v="6"/>
    <n v="291414"/>
    <n v="309766"/>
    <n v="18352"/>
    <n v="6.2975697804498063E-2"/>
  </r>
  <r>
    <x v="3"/>
    <d v="2010-02-18T00:00:00"/>
    <x v="0"/>
    <x v="0"/>
    <x v="1"/>
    <x v="25"/>
    <x v="6"/>
    <n v="254373"/>
    <n v="270312"/>
    <n v="15939"/>
    <n v="6.2659952117559647E-2"/>
  </r>
  <r>
    <x v="3"/>
    <d v="2010-02-19T00:00:00"/>
    <x v="0"/>
    <x v="0"/>
    <x v="1"/>
    <x v="0"/>
    <x v="0"/>
    <n v="19556"/>
    <n v="22312"/>
    <n v="2756"/>
    <n v="0.14092861525874412"/>
  </r>
  <r>
    <x v="3"/>
    <d v="2010-02-19T00:00:00"/>
    <x v="0"/>
    <x v="0"/>
    <x v="1"/>
    <x v="1"/>
    <x v="0"/>
    <n v="267059"/>
    <n v="307592"/>
    <n v="40533"/>
    <n v="0.15177545036864512"/>
  </r>
  <r>
    <x v="3"/>
    <d v="2010-02-19T00:00:00"/>
    <x v="0"/>
    <x v="0"/>
    <x v="1"/>
    <x v="2"/>
    <x v="0"/>
    <n v="97169"/>
    <n v="108782"/>
    <n v="11613"/>
    <n v="0.11951342506354908"/>
  </r>
  <r>
    <x v="3"/>
    <d v="2010-02-19T00:00:00"/>
    <x v="0"/>
    <x v="0"/>
    <x v="1"/>
    <x v="3"/>
    <x v="0"/>
    <n v="5422"/>
    <n v="6107"/>
    <n v="685"/>
    <n v="0.12633714496495757"/>
  </r>
  <r>
    <x v="3"/>
    <d v="2010-02-19T00:00:00"/>
    <x v="0"/>
    <x v="0"/>
    <x v="1"/>
    <x v="4"/>
    <x v="0"/>
    <n v="35461"/>
    <n v="39800"/>
    <n v="4339"/>
    <n v="0.12235977552804489"/>
  </r>
  <r>
    <x v="3"/>
    <d v="2010-02-19T00:00:00"/>
    <x v="0"/>
    <x v="0"/>
    <x v="1"/>
    <x v="5"/>
    <x v="1"/>
    <n v="146017"/>
    <n v="162643"/>
    <n v="16626"/>
    <n v="0.11386345425532643"/>
  </r>
  <r>
    <x v="3"/>
    <d v="2010-02-19T00:00:00"/>
    <x v="0"/>
    <x v="0"/>
    <x v="1"/>
    <x v="6"/>
    <x v="1"/>
    <n v="456960"/>
    <n v="481214"/>
    <n v="24254"/>
    <n v="5.3076855742296918E-2"/>
  </r>
  <r>
    <x v="3"/>
    <d v="2010-02-19T00:00:00"/>
    <x v="0"/>
    <x v="0"/>
    <x v="1"/>
    <x v="7"/>
    <x v="1"/>
    <n v="184667"/>
    <n v="200376"/>
    <n v="15709"/>
    <n v="8.5066633453730223E-2"/>
  </r>
  <r>
    <x v="3"/>
    <d v="2010-02-19T00:00:00"/>
    <x v="0"/>
    <x v="0"/>
    <x v="1"/>
    <x v="8"/>
    <x v="1"/>
    <n v="208377"/>
    <n v="220076"/>
    <n v="11699"/>
    <n v="5.6143432336582255E-2"/>
  </r>
  <r>
    <x v="3"/>
    <d v="2010-02-19T00:00:00"/>
    <x v="0"/>
    <x v="0"/>
    <x v="1"/>
    <x v="9"/>
    <x v="2"/>
    <n v="1687185"/>
    <n v="1721057"/>
    <n v="33872"/>
    <n v="2.0076043824476867E-2"/>
  </r>
  <r>
    <x v="3"/>
    <d v="2010-02-19T00:00:00"/>
    <x v="0"/>
    <x v="0"/>
    <x v="1"/>
    <x v="10"/>
    <x v="2"/>
    <n v="200153"/>
    <n v="208574"/>
    <n v="8421"/>
    <n v="4.2072814297062749E-2"/>
  </r>
  <r>
    <x v="3"/>
    <d v="2010-02-19T00:00:00"/>
    <x v="0"/>
    <x v="0"/>
    <x v="1"/>
    <x v="11"/>
    <x v="2"/>
    <n v="183719"/>
    <n v="195243"/>
    <n v="11524"/>
    <n v="6.2726228642655354E-2"/>
  </r>
  <r>
    <x v="3"/>
    <d v="2010-02-19T00:00:00"/>
    <x v="0"/>
    <x v="0"/>
    <x v="1"/>
    <x v="12"/>
    <x v="2"/>
    <n v="6464"/>
    <n v="7114"/>
    <n v="650"/>
    <n v="0.10055693069306931"/>
  </r>
  <r>
    <x v="3"/>
    <d v="2010-02-19T00:00:00"/>
    <x v="0"/>
    <x v="0"/>
    <x v="1"/>
    <x v="26"/>
    <x v="3"/>
    <n v="16931"/>
    <n v="18880"/>
    <n v="1949"/>
    <n v="0.11511428740180733"/>
  </r>
  <r>
    <x v="3"/>
    <d v="2010-02-19T00:00:00"/>
    <x v="0"/>
    <x v="0"/>
    <x v="1"/>
    <x v="13"/>
    <x v="3"/>
    <n v="163013"/>
    <n v="184102"/>
    <n v="21089"/>
    <n v="0.12937005024139178"/>
  </r>
  <r>
    <x v="3"/>
    <d v="2010-02-19T00:00:00"/>
    <x v="0"/>
    <x v="0"/>
    <x v="1"/>
    <x v="14"/>
    <x v="3"/>
    <n v="81572"/>
    <n v="96141"/>
    <n v="14569"/>
    <n v="0.17860295199333104"/>
  </r>
  <r>
    <x v="3"/>
    <d v="2010-02-19T00:00:00"/>
    <x v="0"/>
    <x v="0"/>
    <x v="1"/>
    <x v="15"/>
    <x v="3"/>
    <n v="569973"/>
    <n v="618122"/>
    <n v="48149"/>
    <n v="8.4475931316044792E-2"/>
  </r>
  <r>
    <x v="3"/>
    <d v="2010-02-19T00:00:00"/>
    <x v="0"/>
    <x v="0"/>
    <x v="1"/>
    <x v="16"/>
    <x v="3"/>
    <n v="137488"/>
    <n v="155780"/>
    <n v="18292"/>
    <n v="0.13304433841498894"/>
  </r>
  <r>
    <x v="3"/>
    <d v="2010-02-19T00:00:00"/>
    <x v="0"/>
    <x v="0"/>
    <x v="1"/>
    <x v="17"/>
    <x v="4"/>
    <n v="813774"/>
    <n v="979593"/>
    <n v="165819"/>
    <n v="0.20376541890008773"/>
  </r>
  <r>
    <x v="3"/>
    <d v="2010-02-19T00:00:00"/>
    <x v="0"/>
    <x v="0"/>
    <x v="1"/>
    <x v="18"/>
    <x v="5"/>
    <n v="73147"/>
    <n v="91511"/>
    <n v="18364"/>
    <n v="0.25105609252600924"/>
  </r>
  <r>
    <x v="3"/>
    <d v="2010-02-19T00:00:00"/>
    <x v="0"/>
    <x v="0"/>
    <x v="1"/>
    <x v="20"/>
    <x v="5"/>
    <n v="73529"/>
    <n v="132747"/>
    <n v="59218"/>
    <n v="0.80536931006813639"/>
  </r>
  <r>
    <x v="3"/>
    <d v="2010-02-19T00:00:00"/>
    <x v="0"/>
    <x v="0"/>
    <x v="1"/>
    <x v="21"/>
    <x v="5"/>
    <n v="4909"/>
    <n v="5497"/>
    <n v="588"/>
    <n v="0.11977999592585048"/>
  </r>
  <r>
    <x v="3"/>
    <d v="2010-02-19T00:00:00"/>
    <x v="0"/>
    <x v="0"/>
    <x v="1"/>
    <x v="22"/>
    <x v="6"/>
    <n v="5514"/>
    <n v="6768"/>
    <n v="1254"/>
    <n v="0.22742110990206746"/>
  </r>
  <r>
    <x v="3"/>
    <d v="2010-02-19T00:00:00"/>
    <x v="0"/>
    <x v="0"/>
    <x v="1"/>
    <x v="23"/>
    <x v="6"/>
    <n v="140650"/>
    <n v="155659"/>
    <n v="15009"/>
    <n v="0.10671169569854248"/>
  </r>
  <r>
    <x v="3"/>
    <d v="2010-02-19T00:00:00"/>
    <x v="0"/>
    <x v="0"/>
    <x v="1"/>
    <x v="24"/>
    <x v="6"/>
    <n v="271492"/>
    <n v="292621"/>
    <n v="21129"/>
    <n v="7.7825497620556044E-2"/>
  </r>
  <r>
    <x v="3"/>
    <d v="2010-02-19T00:00:00"/>
    <x v="0"/>
    <x v="0"/>
    <x v="1"/>
    <x v="25"/>
    <x v="6"/>
    <n v="273699"/>
    <n v="293179"/>
    <n v="19480"/>
    <n v="7.1173076993339399E-2"/>
  </r>
  <r>
    <x v="3"/>
    <d v="2010-02-20T00:00:00"/>
    <x v="0"/>
    <x v="0"/>
    <x v="1"/>
    <x v="0"/>
    <x v="0"/>
    <n v="25281"/>
    <n v="28422"/>
    <n v="3141"/>
    <n v="0.1242435030259879"/>
  </r>
  <r>
    <x v="3"/>
    <d v="2010-02-20T00:00:00"/>
    <x v="0"/>
    <x v="0"/>
    <x v="1"/>
    <x v="1"/>
    <x v="0"/>
    <n v="314593"/>
    <n v="367943"/>
    <n v="53350"/>
    <n v="0.16958419290956886"/>
  </r>
  <r>
    <x v="3"/>
    <d v="2010-02-20T00:00:00"/>
    <x v="0"/>
    <x v="0"/>
    <x v="1"/>
    <x v="2"/>
    <x v="0"/>
    <n v="118813"/>
    <n v="133745"/>
    <n v="14932"/>
    <n v="0.12567648321311642"/>
  </r>
  <r>
    <x v="3"/>
    <d v="2010-02-20T00:00:00"/>
    <x v="0"/>
    <x v="0"/>
    <x v="1"/>
    <x v="3"/>
    <x v="0"/>
    <n v="8579"/>
    <n v="9416"/>
    <n v="837"/>
    <n v="9.7563818626879587E-2"/>
  </r>
  <r>
    <x v="3"/>
    <d v="2010-02-20T00:00:00"/>
    <x v="0"/>
    <x v="0"/>
    <x v="1"/>
    <x v="4"/>
    <x v="0"/>
    <n v="64233"/>
    <n v="72541"/>
    <n v="8308"/>
    <n v="0.1293416156804135"/>
  </r>
  <r>
    <x v="3"/>
    <d v="2010-02-20T00:00:00"/>
    <x v="0"/>
    <x v="0"/>
    <x v="1"/>
    <x v="5"/>
    <x v="1"/>
    <n v="194311"/>
    <n v="216636"/>
    <n v="22325"/>
    <n v="0.11489313523166471"/>
  </r>
  <r>
    <x v="3"/>
    <d v="2010-02-20T00:00:00"/>
    <x v="0"/>
    <x v="0"/>
    <x v="1"/>
    <x v="6"/>
    <x v="1"/>
    <n v="674046"/>
    <n v="710577"/>
    <n v="36531"/>
    <n v="5.4196597858306404E-2"/>
  </r>
  <r>
    <x v="3"/>
    <d v="2010-02-20T00:00:00"/>
    <x v="0"/>
    <x v="0"/>
    <x v="1"/>
    <x v="7"/>
    <x v="1"/>
    <n v="180098"/>
    <n v="198486"/>
    <n v="18388"/>
    <n v="0.10209996779531144"/>
  </r>
  <r>
    <x v="3"/>
    <d v="2010-02-20T00:00:00"/>
    <x v="0"/>
    <x v="0"/>
    <x v="1"/>
    <x v="8"/>
    <x v="1"/>
    <n v="264053"/>
    <n v="278524"/>
    <n v="14471"/>
    <n v="5.4803391743324256E-2"/>
  </r>
  <r>
    <x v="3"/>
    <d v="2010-02-20T00:00:00"/>
    <x v="0"/>
    <x v="0"/>
    <x v="1"/>
    <x v="9"/>
    <x v="2"/>
    <n v="536933"/>
    <n v="588263"/>
    <n v="51330"/>
    <n v="9.559851974082427E-2"/>
  </r>
  <r>
    <x v="3"/>
    <d v="2010-02-20T00:00:00"/>
    <x v="0"/>
    <x v="0"/>
    <x v="1"/>
    <x v="10"/>
    <x v="2"/>
    <n v="200824"/>
    <n v="209538"/>
    <n v="8714"/>
    <n v="4.3391228140062937E-2"/>
  </r>
  <r>
    <x v="3"/>
    <d v="2010-02-20T00:00:00"/>
    <x v="0"/>
    <x v="0"/>
    <x v="1"/>
    <x v="11"/>
    <x v="2"/>
    <n v="222104"/>
    <n v="237553"/>
    <n v="15449"/>
    <n v="6.9557504592443184E-2"/>
  </r>
  <r>
    <x v="3"/>
    <d v="2010-02-20T00:00:00"/>
    <x v="0"/>
    <x v="0"/>
    <x v="1"/>
    <x v="12"/>
    <x v="2"/>
    <n v="10972"/>
    <n v="11770"/>
    <n v="798"/>
    <n v="7.2730586948596423E-2"/>
  </r>
  <r>
    <x v="3"/>
    <d v="2010-02-20T00:00:00"/>
    <x v="0"/>
    <x v="0"/>
    <x v="1"/>
    <x v="26"/>
    <x v="3"/>
    <n v="20154"/>
    <n v="22525"/>
    <n v="2371"/>
    <n v="0.11764414012106778"/>
  </r>
  <r>
    <x v="3"/>
    <d v="2010-02-20T00:00:00"/>
    <x v="0"/>
    <x v="0"/>
    <x v="1"/>
    <x v="13"/>
    <x v="3"/>
    <n v="184993"/>
    <n v="210403"/>
    <n v="25410"/>
    <n v="0.13735654862616423"/>
  </r>
  <r>
    <x v="3"/>
    <d v="2010-02-20T00:00:00"/>
    <x v="0"/>
    <x v="0"/>
    <x v="1"/>
    <x v="14"/>
    <x v="3"/>
    <n v="138001"/>
    <n v="157743"/>
    <n v="19742"/>
    <n v="0.1430569343700408"/>
  </r>
  <r>
    <x v="3"/>
    <d v="2010-02-20T00:00:00"/>
    <x v="0"/>
    <x v="0"/>
    <x v="1"/>
    <x v="15"/>
    <x v="3"/>
    <n v="667511"/>
    <n v="731389"/>
    <n v="63878"/>
    <n v="9.5695801267694461E-2"/>
  </r>
  <r>
    <x v="3"/>
    <d v="2010-02-20T00:00:00"/>
    <x v="0"/>
    <x v="0"/>
    <x v="1"/>
    <x v="16"/>
    <x v="3"/>
    <n v="149315"/>
    <n v="169695"/>
    <n v="20380"/>
    <n v="0.1364899708669591"/>
  </r>
  <r>
    <x v="3"/>
    <d v="2010-02-20T00:00:00"/>
    <x v="0"/>
    <x v="0"/>
    <x v="1"/>
    <x v="17"/>
    <x v="4"/>
    <n v="903442"/>
    <n v="1085705"/>
    <n v="182263"/>
    <n v="0.2017428899696937"/>
  </r>
  <r>
    <x v="3"/>
    <d v="2010-02-20T00:00:00"/>
    <x v="0"/>
    <x v="0"/>
    <x v="1"/>
    <x v="18"/>
    <x v="5"/>
    <n v="100333"/>
    <n v="119758"/>
    <n v="19425"/>
    <n v="0.19360529436974874"/>
  </r>
  <r>
    <x v="3"/>
    <d v="2010-02-20T00:00:00"/>
    <x v="0"/>
    <x v="0"/>
    <x v="1"/>
    <x v="20"/>
    <x v="5"/>
    <n v="67181"/>
    <n v="131025"/>
    <n v="63844"/>
    <n v="0.95032821779967547"/>
  </r>
  <r>
    <x v="3"/>
    <d v="2010-02-20T00:00:00"/>
    <x v="0"/>
    <x v="0"/>
    <x v="1"/>
    <x v="22"/>
    <x v="6"/>
    <n v="10914"/>
    <n v="13170"/>
    <n v="2256"/>
    <n v="0.20670698185816383"/>
  </r>
  <r>
    <x v="3"/>
    <d v="2010-02-20T00:00:00"/>
    <x v="0"/>
    <x v="0"/>
    <x v="1"/>
    <x v="23"/>
    <x v="6"/>
    <n v="201456"/>
    <n v="221817"/>
    <n v="20361"/>
    <n v="0.10106921610674291"/>
  </r>
  <r>
    <x v="3"/>
    <d v="2010-02-20T00:00:00"/>
    <x v="0"/>
    <x v="0"/>
    <x v="1"/>
    <x v="24"/>
    <x v="6"/>
    <n v="411667"/>
    <n v="442671"/>
    <n v="31004"/>
    <n v="7.5313299341458029E-2"/>
  </r>
  <r>
    <x v="3"/>
    <d v="2010-02-20T00:00:00"/>
    <x v="0"/>
    <x v="0"/>
    <x v="1"/>
    <x v="25"/>
    <x v="6"/>
    <n v="424372"/>
    <n v="453490"/>
    <n v="29118"/>
    <n v="6.86143289378187E-2"/>
  </r>
  <r>
    <x v="3"/>
    <d v="2010-02-21T00:00:00"/>
    <x v="1"/>
    <x v="0"/>
    <x v="1"/>
    <x v="0"/>
    <x v="0"/>
    <n v="14486"/>
    <n v="16413.11"/>
    <n v="1927.1100000000006"/>
    <n v="0.13303258318376368"/>
  </r>
  <r>
    <x v="3"/>
    <d v="2010-02-21T00:00:00"/>
    <x v="1"/>
    <x v="0"/>
    <x v="1"/>
    <x v="1"/>
    <x v="0"/>
    <n v="233361.73"/>
    <n v="280221.03999999998"/>
    <n v="46859.309999999969"/>
    <n v="0.2008011767824997"/>
  </r>
  <r>
    <x v="3"/>
    <d v="2010-02-21T00:00:00"/>
    <x v="1"/>
    <x v="0"/>
    <x v="1"/>
    <x v="2"/>
    <x v="0"/>
    <n v="87098.15"/>
    <n v="98112.06"/>
    <n v="11013.910000000003"/>
    <n v="0.12645400619875399"/>
  </r>
  <r>
    <x v="3"/>
    <d v="2010-02-21T00:00:00"/>
    <x v="1"/>
    <x v="0"/>
    <x v="1"/>
    <x v="3"/>
    <x v="0"/>
    <n v="7143"/>
    <n v="8163.68"/>
    <n v="1020.6800000000003"/>
    <n v="0.14289234215315696"/>
  </r>
  <r>
    <x v="3"/>
    <d v="2010-02-21T00:00:00"/>
    <x v="1"/>
    <x v="0"/>
    <x v="1"/>
    <x v="4"/>
    <x v="0"/>
    <n v="44647.86"/>
    <n v="49643.82"/>
    <n v="4995.9599999999991"/>
    <n v="0.11189696437858386"/>
  </r>
  <r>
    <x v="3"/>
    <d v="2010-02-21T00:00:00"/>
    <x v="1"/>
    <x v="0"/>
    <x v="1"/>
    <x v="5"/>
    <x v="1"/>
    <n v="186287.42"/>
    <n v="207317.6"/>
    <n v="21030.179999999993"/>
    <n v="0.11289103687194761"/>
  </r>
  <r>
    <x v="3"/>
    <d v="2010-02-21T00:00:00"/>
    <x v="1"/>
    <x v="0"/>
    <x v="1"/>
    <x v="6"/>
    <x v="1"/>
    <n v="481028.62"/>
    <n v="512150.28"/>
    <n v="31121.660000000033"/>
    <n v="6.4698146235041137E-2"/>
  </r>
  <r>
    <x v="3"/>
    <d v="2010-02-21T00:00:00"/>
    <x v="1"/>
    <x v="0"/>
    <x v="1"/>
    <x v="7"/>
    <x v="1"/>
    <n v="153160.44"/>
    <n v="169318.85"/>
    <n v="16158.410000000003"/>
    <n v="0.10549989279215967"/>
  </r>
  <r>
    <x v="3"/>
    <d v="2010-02-21T00:00:00"/>
    <x v="1"/>
    <x v="0"/>
    <x v="1"/>
    <x v="8"/>
    <x v="1"/>
    <n v="218128.21"/>
    <n v="231443.11"/>
    <n v="13314.899999999994"/>
    <n v="6.1041623181155684E-2"/>
  </r>
  <r>
    <x v="3"/>
    <d v="2010-02-21T00:00:00"/>
    <x v="1"/>
    <x v="0"/>
    <x v="1"/>
    <x v="9"/>
    <x v="2"/>
    <n v="400775.24"/>
    <n v="435890.03"/>
    <n v="35114.790000000037"/>
    <n v="8.7617164174114248E-2"/>
  </r>
  <r>
    <x v="3"/>
    <d v="2010-02-21T00:00:00"/>
    <x v="1"/>
    <x v="0"/>
    <x v="1"/>
    <x v="10"/>
    <x v="2"/>
    <n v="211536.69"/>
    <n v="221318.39"/>
    <n v="9781.7000000000116"/>
    <n v="4.6241150884983651E-2"/>
  </r>
  <r>
    <x v="3"/>
    <d v="2010-02-21T00:00:00"/>
    <x v="1"/>
    <x v="0"/>
    <x v="1"/>
    <x v="11"/>
    <x v="2"/>
    <n v="169916.43"/>
    <n v="183619.78"/>
    <n v="13703.350000000006"/>
    <n v="8.0647586581238828E-2"/>
  </r>
  <r>
    <x v="3"/>
    <d v="2010-02-21T00:00:00"/>
    <x v="1"/>
    <x v="0"/>
    <x v="1"/>
    <x v="12"/>
    <x v="2"/>
    <n v="11300"/>
    <n v="12203.31"/>
    <n v="903.30999999999949"/>
    <n v="7.9938938053097305E-2"/>
  </r>
  <r>
    <x v="3"/>
    <d v="2010-02-21T00:00:00"/>
    <x v="1"/>
    <x v="0"/>
    <x v="1"/>
    <x v="26"/>
    <x v="3"/>
    <n v="11925"/>
    <n v="13548.43"/>
    <n v="1623.4300000000003"/>
    <n v="0.13613668763102726"/>
  </r>
  <r>
    <x v="3"/>
    <d v="2010-02-21T00:00:00"/>
    <x v="1"/>
    <x v="0"/>
    <x v="1"/>
    <x v="13"/>
    <x v="3"/>
    <n v="118450.32"/>
    <n v="135187.95000000001"/>
    <n v="16737.630000000005"/>
    <n v="0.141305063591217"/>
  </r>
  <r>
    <x v="3"/>
    <d v="2010-02-21T00:00:00"/>
    <x v="1"/>
    <x v="0"/>
    <x v="1"/>
    <x v="14"/>
    <x v="3"/>
    <n v="110769.31"/>
    <n v="126722.07"/>
    <n v="15952.760000000009"/>
    <n v="0.14401786920944087"/>
  </r>
  <r>
    <x v="3"/>
    <d v="2010-02-21T00:00:00"/>
    <x v="1"/>
    <x v="0"/>
    <x v="1"/>
    <x v="15"/>
    <x v="3"/>
    <n v="605960.31999999995"/>
    <n v="658084.61"/>
    <n v="52124.290000000037"/>
    <n v="8.6019312287642924E-2"/>
  </r>
  <r>
    <x v="3"/>
    <d v="2010-02-21T00:00:00"/>
    <x v="1"/>
    <x v="0"/>
    <x v="1"/>
    <x v="16"/>
    <x v="3"/>
    <n v="120242.28"/>
    <n v="136127.85"/>
    <n v="15885.570000000007"/>
    <n v="0.13211301382508722"/>
  </r>
  <r>
    <x v="3"/>
    <d v="2010-02-21T00:00:00"/>
    <x v="1"/>
    <x v="0"/>
    <x v="1"/>
    <x v="17"/>
    <x v="4"/>
    <n v="657135.51"/>
    <n v="812114.86"/>
    <n v="154979.34999999998"/>
    <n v="0.2358407781067865"/>
  </r>
  <r>
    <x v="3"/>
    <d v="2010-02-21T00:00:00"/>
    <x v="1"/>
    <x v="0"/>
    <x v="1"/>
    <x v="18"/>
    <x v="5"/>
    <n v="82554.77"/>
    <n v="103725.71"/>
    <n v="21170.940000000002"/>
    <n v="0.2564472046860527"/>
  </r>
  <r>
    <x v="3"/>
    <d v="2010-02-21T00:00:00"/>
    <x v="1"/>
    <x v="0"/>
    <x v="1"/>
    <x v="20"/>
    <x v="5"/>
    <n v="64024.88"/>
    <n v="118754.37"/>
    <n v="54729.49"/>
    <n v="0.85481597154106337"/>
  </r>
  <r>
    <x v="3"/>
    <d v="2010-02-21T00:00:00"/>
    <x v="1"/>
    <x v="0"/>
    <x v="1"/>
    <x v="21"/>
    <x v="5"/>
    <n v="3585.54"/>
    <n v="4015.67"/>
    <n v="430.13000000000011"/>
    <n v="0.11996240454715332"/>
  </r>
  <r>
    <x v="3"/>
    <d v="2010-02-21T00:00:00"/>
    <x v="1"/>
    <x v="0"/>
    <x v="1"/>
    <x v="22"/>
    <x v="6"/>
    <n v="5030.72"/>
    <n v="6145.42"/>
    <n v="1114.6999999999998"/>
    <n v="0.22157862095286554"/>
  </r>
  <r>
    <x v="3"/>
    <d v="2010-02-21T00:00:00"/>
    <x v="1"/>
    <x v="0"/>
    <x v="1"/>
    <x v="23"/>
    <x v="6"/>
    <n v="183039.2"/>
    <n v="201757.74"/>
    <n v="18718.539999999979"/>
    <n v="0.10226519783740301"/>
  </r>
  <r>
    <x v="3"/>
    <d v="2010-02-21T00:00:00"/>
    <x v="1"/>
    <x v="0"/>
    <x v="1"/>
    <x v="24"/>
    <x v="6"/>
    <n v="338276.54"/>
    <n v="361020.94"/>
    <n v="22744.400000000023"/>
    <n v="6.7236113979408749E-2"/>
  </r>
  <r>
    <x v="3"/>
    <d v="2010-02-21T00:00:00"/>
    <x v="1"/>
    <x v="0"/>
    <x v="1"/>
    <x v="25"/>
    <x v="6"/>
    <n v="344737.87"/>
    <n v="372156.21"/>
    <n v="27418.340000000026"/>
    <n v="7.9533878886007006E-2"/>
  </r>
  <r>
    <x v="3"/>
    <d v="2010-02-22T00:00:00"/>
    <x v="1"/>
    <x v="0"/>
    <x v="1"/>
    <x v="0"/>
    <x v="0"/>
    <n v="16494"/>
    <n v="18625"/>
    <n v="2131"/>
    <n v="0.12919849642294168"/>
  </r>
  <r>
    <x v="3"/>
    <d v="2010-02-22T00:00:00"/>
    <x v="1"/>
    <x v="0"/>
    <x v="1"/>
    <x v="1"/>
    <x v="0"/>
    <n v="232017"/>
    <n v="274878"/>
    <n v="42861"/>
    <n v="0.18473215324739137"/>
  </r>
  <r>
    <x v="3"/>
    <d v="2010-02-22T00:00:00"/>
    <x v="1"/>
    <x v="0"/>
    <x v="1"/>
    <x v="2"/>
    <x v="0"/>
    <n v="86248"/>
    <n v="97176"/>
    <n v="10928"/>
    <n v="0.12670438734811243"/>
  </r>
  <r>
    <x v="3"/>
    <d v="2010-02-22T00:00:00"/>
    <x v="1"/>
    <x v="0"/>
    <x v="1"/>
    <x v="3"/>
    <x v="0"/>
    <n v="5580"/>
    <n v="6165"/>
    <n v="585"/>
    <n v="0.10483870967741936"/>
  </r>
  <r>
    <x v="3"/>
    <d v="2010-02-22T00:00:00"/>
    <x v="1"/>
    <x v="0"/>
    <x v="1"/>
    <x v="4"/>
    <x v="0"/>
    <n v="20627"/>
    <n v="23539"/>
    <n v="2912"/>
    <n v="0.14117418916953509"/>
  </r>
  <r>
    <x v="3"/>
    <d v="2010-02-22T00:00:00"/>
    <x v="1"/>
    <x v="0"/>
    <x v="1"/>
    <x v="5"/>
    <x v="1"/>
    <n v="138907"/>
    <n v="155590"/>
    <n v="16683"/>
    <n v="0.12010193870719259"/>
  </r>
  <r>
    <x v="3"/>
    <d v="2010-02-22T00:00:00"/>
    <x v="1"/>
    <x v="0"/>
    <x v="1"/>
    <x v="6"/>
    <x v="1"/>
    <n v="417460"/>
    <n v="433063"/>
    <n v="15603"/>
    <n v="3.7376036027403824E-2"/>
  </r>
  <r>
    <x v="3"/>
    <d v="2010-02-22T00:00:00"/>
    <x v="1"/>
    <x v="0"/>
    <x v="1"/>
    <x v="7"/>
    <x v="1"/>
    <n v="122785"/>
    <n v="135188"/>
    <n v="12403"/>
    <n v="0.10101396750417396"/>
  </r>
  <r>
    <x v="3"/>
    <d v="2010-02-22T00:00:00"/>
    <x v="1"/>
    <x v="0"/>
    <x v="1"/>
    <x v="8"/>
    <x v="1"/>
    <n v="154480"/>
    <n v="161376"/>
    <n v="6896"/>
    <n v="4.4640082858622476E-2"/>
  </r>
  <r>
    <x v="3"/>
    <d v="2010-02-22T00:00:00"/>
    <x v="1"/>
    <x v="0"/>
    <x v="1"/>
    <x v="9"/>
    <x v="2"/>
    <n v="368422"/>
    <n v="397359"/>
    <n v="28937"/>
    <n v="7.8543083746356088E-2"/>
  </r>
  <r>
    <x v="3"/>
    <d v="2010-02-22T00:00:00"/>
    <x v="1"/>
    <x v="0"/>
    <x v="1"/>
    <x v="10"/>
    <x v="2"/>
    <n v="147903"/>
    <n v="153714"/>
    <n v="5811"/>
    <n v="3.928926390945417E-2"/>
  </r>
  <r>
    <x v="3"/>
    <d v="2010-02-22T00:00:00"/>
    <x v="1"/>
    <x v="0"/>
    <x v="1"/>
    <x v="11"/>
    <x v="2"/>
    <n v="165894"/>
    <n v="175671"/>
    <n v="9777"/>
    <n v="5.8935223697059565E-2"/>
  </r>
  <r>
    <x v="3"/>
    <d v="2010-02-22T00:00:00"/>
    <x v="1"/>
    <x v="0"/>
    <x v="1"/>
    <x v="12"/>
    <x v="2"/>
    <n v="11864"/>
    <n v="12713"/>
    <n v="849"/>
    <n v="7.1561024949426844E-2"/>
  </r>
  <r>
    <x v="3"/>
    <d v="2010-02-22T00:00:00"/>
    <x v="1"/>
    <x v="0"/>
    <x v="1"/>
    <x v="26"/>
    <x v="3"/>
    <n v="14942"/>
    <n v="16981"/>
    <n v="2039"/>
    <n v="0.1364609824655334"/>
  </r>
  <r>
    <x v="3"/>
    <d v="2010-02-22T00:00:00"/>
    <x v="1"/>
    <x v="0"/>
    <x v="1"/>
    <x v="13"/>
    <x v="3"/>
    <n v="109413"/>
    <n v="124380"/>
    <n v="14967"/>
    <n v="0.1367936168462614"/>
  </r>
  <r>
    <x v="3"/>
    <d v="2010-02-22T00:00:00"/>
    <x v="1"/>
    <x v="0"/>
    <x v="1"/>
    <x v="14"/>
    <x v="3"/>
    <n v="74156"/>
    <n v="81129"/>
    <n v="6973"/>
    <n v="9.4031501159717354E-2"/>
  </r>
  <r>
    <x v="3"/>
    <d v="2010-02-22T00:00:00"/>
    <x v="1"/>
    <x v="0"/>
    <x v="1"/>
    <x v="15"/>
    <x v="3"/>
    <n v="400178"/>
    <n v="434403"/>
    <n v="34225"/>
    <n v="8.5524441623477554E-2"/>
  </r>
  <r>
    <x v="3"/>
    <d v="2010-02-22T00:00:00"/>
    <x v="1"/>
    <x v="0"/>
    <x v="1"/>
    <x v="16"/>
    <x v="3"/>
    <n v="96277"/>
    <n v="109509"/>
    <n v="13232"/>
    <n v="0.13743677098372403"/>
  </r>
  <r>
    <x v="3"/>
    <d v="2010-02-22T00:00:00"/>
    <x v="1"/>
    <x v="0"/>
    <x v="1"/>
    <x v="17"/>
    <x v="4"/>
    <n v="518276"/>
    <n v="631813"/>
    <n v="113537"/>
    <n v="0.21906667489908851"/>
  </r>
  <r>
    <x v="3"/>
    <d v="2010-02-22T00:00:00"/>
    <x v="1"/>
    <x v="0"/>
    <x v="1"/>
    <x v="18"/>
    <x v="5"/>
    <n v="64024"/>
    <n v="74213"/>
    <n v="10189"/>
    <n v="0.15914344620767212"/>
  </r>
  <r>
    <x v="3"/>
    <d v="2010-02-22T00:00:00"/>
    <x v="1"/>
    <x v="0"/>
    <x v="1"/>
    <x v="20"/>
    <x v="5"/>
    <n v="61519"/>
    <n v="114492"/>
    <n v="52973"/>
    <n v="0.86108356767827821"/>
  </r>
  <r>
    <x v="3"/>
    <d v="2010-02-22T00:00:00"/>
    <x v="1"/>
    <x v="0"/>
    <x v="1"/>
    <x v="21"/>
    <x v="5"/>
    <n v="5675"/>
    <n v="6355"/>
    <n v="680"/>
    <n v="0.1198237885462555"/>
  </r>
  <r>
    <x v="3"/>
    <d v="2010-02-22T00:00:00"/>
    <x v="1"/>
    <x v="0"/>
    <x v="1"/>
    <x v="22"/>
    <x v="6"/>
    <n v="6573"/>
    <n v="7849"/>
    <n v="1276"/>
    <n v="0.19412749125209189"/>
  </r>
  <r>
    <x v="3"/>
    <d v="2010-02-22T00:00:00"/>
    <x v="1"/>
    <x v="0"/>
    <x v="1"/>
    <x v="23"/>
    <x v="6"/>
    <n v="121649"/>
    <n v="134207"/>
    <n v="12558"/>
    <n v="0.10323142812517982"/>
  </r>
  <r>
    <x v="3"/>
    <d v="2010-02-22T00:00:00"/>
    <x v="1"/>
    <x v="0"/>
    <x v="1"/>
    <x v="24"/>
    <x v="6"/>
    <n v="248061"/>
    <n v="267266"/>
    <n v="19205"/>
    <n v="7.7420473190062122E-2"/>
  </r>
  <r>
    <x v="3"/>
    <d v="2010-02-22T00:00:00"/>
    <x v="1"/>
    <x v="0"/>
    <x v="1"/>
    <x v="25"/>
    <x v="6"/>
    <n v="229685"/>
    <n v="248126"/>
    <n v="18441"/>
    <n v="8.0288220824172238E-2"/>
  </r>
  <r>
    <x v="3"/>
    <d v="2010-02-23T00:00:00"/>
    <x v="1"/>
    <x v="0"/>
    <x v="1"/>
    <x v="0"/>
    <x v="0"/>
    <n v="11658"/>
    <n v="13188.94"/>
    <n v="1530.9400000000005"/>
    <n v="0.13132098130039463"/>
  </r>
  <r>
    <x v="3"/>
    <d v="2010-02-23T00:00:00"/>
    <x v="1"/>
    <x v="0"/>
    <x v="1"/>
    <x v="1"/>
    <x v="0"/>
    <n v="197313.89"/>
    <n v="234516.81"/>
    <n v="37202.919999999984"/>
    <n v="0.18854688841216388"/>
  </r>
  <r>
    <x v="3"/>
    <d v="2010-02-23T00:00:00"/>
    <x v="1"/>
    <x v="0"/>
    <x v="1"/>
    <x v="2"/>
    <x v="0"/>
    <n v="103090.2"/>
    <n v="111267.53"/>
    <n v="8177.3300000000017"/>
    <n v="7.9322088811545635E-2"/>
  </r>
  <r>
    <x v="3"/>
    <d v="2010-02-23T00:00:00"/>
    <x v="1"/>
    <x v="0"/>
    <x v="1"/>
    <x v="3"/>
    <x v="0"/>
    <n v="1173"/>
    <n v="1344.89"/>
    <n v="171.8900000000001"/>
    <n v="0.1465387894288151"/>
  </r>
  <r>
    <x v="3"/>
    <d v="2010-02-23T00:00:00"/>
    <x v="1"/>
    <x v="0"/>
    <x v="1"/>
    <x v="4"/>
    <x v="0"/>
    <n v="25406.76"/>
    <n v="28188.9"/>
    <n v="2782.1400000000031"/>
    <n v="0.10950392730123806"/>
  </r>
  <r>
    <x v="3"/>
    <d v="2010-02-23T00:00:00"/>
    <x v="1"/>
    <x v="0"/>
    <x v="1"/>
    <x v="5"/>
    <x v="1"/>
    <n v="111715.45"/>
    <n v="123855.79"/>
    <n v="12140.339999999997"/>
    <n v="0.10867198762570439"/>
  </r>
  <r>
    <x v="3"/>
    <d v="2010-02-23T00:00:00"/>
    <x v="1"/>
    <x v="0"/>
    <x v="1"/>
    <x v="6"/>
    <x v="1"/>
    <n v="383812.96"/>
    <n v="401706.65"/>
    <n v="17893.690000000002"/>
    <n v="4.6620859285210176E-2"/>
  </r>
  <r>
    <x v="3"/>
    <d v="2010-02-23T00:00:00"/>
    <x v="1"/>
    <x v="0"/>
    <x v="1"/>
    <x v="7"/>
    <x v="1"/>
    <n v="85020.7"/>
    <n v="93145.1"/>
    <n v="8124.4000000000087"/>
    <n v="9.5557905310118707E-2"/>
  </r>
  <r>
    <x v="3"/>
    <d v="2010-02-23T00:00:00"/>
    <x v="1"/>
    <x v="0"/>
    <x v="1"/>
    <x v="8"/>
    <x v="1"/>
    <n v="161355.88"/>
    <n v="168853.34"/>
    <n v="7497.4599999999919"/>
    <n v="4.6465365873248572E-2"/>
  </r>
  <r>
    <x v="3"/>
    <d v="2010-02-23T00:00:00"/>
    <x v="1"/>
    <x v="0"/>
    <x v="1"/>
    <x v="9"/>
    <x v="2"/>
    <n v="333195.45"/>
    <n v="364861.6"/>
    <n v="31666.149999999965"/>
    <n v="9.5037762370404413E-2"/>
  </r>
  <r>
    <x v="3"/>
    <d v="2010-02-23T00:00:00"/>
    <x v="1"/>
    <x v="0"/>
    <x v="1"/>
    <x v="10"/>
    <x v="2"/>
    <n v="112675.31"/>
    <n v="117319.73"/>
    <n v="4644.4199999999983"/>
    <n v="4.1219500527666604E-2"/>
  </r>
  <r>
    <x v="3"/>
    <d v="2010-02-23T00:00:00"/>
    <x v="1"/>
    <x v="0"/>
    <x v="1"/>
    <x v="11"/>
    <x v="2"/>
    <n v="130725.97"/>
    <n v="140734.01999999999"/>
    <n v="10008.049999999988"/>
    <n v="7.6557473622111877E-2"/>
  </r>
  <r>
    <x v="3"/>
    <d v="2010-02-23T00:00:00"/>
    <x v="1"/>
    <x v="0"/>
    <x v="1"/>
    <x v="12"/>
    <x v="2"/>
    <n v="4462"/>
    <n v="4898.95"/>
    <n v="436.94999999999982"/>
    <n v="9.7926938592559354E-2"/>
  </r>
  <r>
    <x v="3"/>
    <d v="2010-02-23T00:00:00"/>
    <x v="1"/>
    <x v="0"/>
    <x v="1"/>
    <x v="26"/>
    <x v="3"/>
    <n v="6792"/>
    <n v="7759.98"/>
    <n v="967.97999999999956"/>
    <n v="0.14251766784452291"/>
  </r>
  <r>
    <x v="3"/>
    <d v="2010-02-23T00:00:00"/>
    <x v="1"/>
    <x v="0"/>
    <x v="1"/>
    <x v="13"/>
    <x v="3"/>
    <n v="73294.41"/>
    <n v="83520.08"/>
    <n v="10225.669999999998"/>
    <n v="0.13951500530531588"/>
  </r>
  <r>
    <x v="3"/>
    <d v="2010-02-23T00:00:00"/>
    <x v="1"/>
    <x v="0"/>
    <x v="1"/>
    <x v="14"/>
    <x v="3"/>
    <n v="85133.36"/>
    <n v="96413.04"/>
    <n v="11279.679999999993"/>
    <n v="0.13249424197517862"/>
  </r>
  <r>
    <x v="3"/>
    <d v="2010-02-23T00:00:00"/>
    <x v="1"/>
    <x v="0"/>
    <x v="1"/>
    <x v="15"/>
    <x v="3"/>
    <n v="356102.03"/>
    <n v="389335.55"/>
    <n v="33233.51999999996"/>
    <n v="9.332583697992386E-2"/>
  </r>
  <r>
    <x v="3"/>
    <d v="2010-02-23T00:00:00"/>
    <x v="1"/>
    <x v="0"/>
    <x v="1"/>
    <x v="16"/>
    <x v="3"/>
    <n v="67469.279999999999"/>
    <n v="76870.98"/>
    <n v="9401.6999999999971"/>
    <n v="0.13934786320529874"/>
  </r>
  <r>
    <x v="3"/>
    <d v="2010-02-23T00:00:00"/>
    <x v="1"/>
    <x v="0"/>
    <x v="1"/>
    <x v="17"/>
    <x v="4"/>
    <n v="392005.4"/>
    <n v="480418.12"/>
    <n v="88412.719999999972"/>
    <n v="0.22553954613890514"/>
  </r>
  <r>
    <x v="3"/>
    <d v="2010-02-23T00:00:00"/>
    <x v="1"/>
    <x v="0"/>
    <x v="1"/>
    <x v="18"/>
    <x v="5"/>
    <n v="43510.25"/>
    <n v="51912.41"/>
    <n v="8402.1600000000035"/>
    <n v="0.19310760108250363"/>
  </r>
  <r>
    <x v="3"/>
    <d v="2010-02-23T00:00:00"/>
    <x v="1"/>
    <x v="0"/>
    <x v="1"/>
    <x v="20"/>
    <x v="5"/>
    <n v="54846.46"/>
    <n v="105653.35"/>
    <n v="50806.890000000007"/>
    <n v="0.92634766218275544"/>
  </r>
  <r>
    <x v="3"/>
    <d v="2010-02-23T00:00:00"/>
    <x v="1"/>
    <x v="0"/>
    <x v="1"/>
    <x v="22"/>
    <x v="6"/>
    <n v="6238"/>
    <n v="7342.84"/>
    <n v="1104.8400000000001"/>
    <n v="0.17711445976274448"/>
  </r>
  <r>
    <x v="3"/>
    <d v="2010-02-23T00:00:00"/>
    <x v="1"/>
    <x v="0"/>
    <x v="1"/>
    <x v="23"/>
    <x v="6"/>
    <n v="102870.5"/>
    <n v="112810.93"/>
    <n v="9940.429999999993"/>
    <n v="9.6630520897633368E-2"/>
  </r>
  <r>
    <x v="3"/>
    <d v="2010-02-23T00:00:00"/>
    <x v="1"/>
    <x v="0"/>
    <x v="1"/>
    <x v="24"/>
    <x v="6"/>
    <n v="198667.55"/>
    <n v="214794.04"/>
    <n v="16126.49000000002"/>
    <n v="8.117324646123647E-2"/>
  </r>
  <r>
    <x v="3"/>
    <d v="2010-02-23T00:00:00"/>
    <x v="1"/>
    <x v="0"/>
    <x v="1"/>
    <x v="25"/>
    <x v="6"/>
    <n v="152894.94"/>
    <n v="165311.79999999999"/>
    <n v="12416.859999999986"/>
    <n v="8.1211713088739146E-2"/>
  </r>
  <r>
    <x v="3"/>
    <d v="2010-02-24T00:00:00"/>
    <x v="1"/>
    <x v="0"/>
    <x v="1"/>
    <x v="0"/>
    <x v="0"/>
    <n v="8513"/>
    <n v="9670"/>
    <n v="1157"/>
    <n v="0.1359097850346529"/>
  </r>
  <r>
    <x v="3"/>
    <d v="2010-02-24T00:00:00"/>
    <x v="1"/>
    <x v="0"/>
    <x v="1"/>
    <x v="1"/>
    <x v="0"/>
    <n v="142424"/>
    <n v="169126"/>
    <n v="26702"/>
    <n v="0.18748244677863282"/>
  </r>
  <r>
    <x v="3"/>
    <d v="2010-02-24T00:00:00"/>
    <x v="1"/>
    <x v="0"/>
    <x v="1"/>
    <x v="2"/>
    <x v="0"/>
    <n v="60709"/>
    <n v="66742"/>
    <n v="6033"/>
    <n v="9.9375710355960406E-2"/>
  </r>
  <r>
    <x v="3"/>
    <d v="2010-02-24T00:00:00"/>
    <x v="1"/>
    <x v="0"/>
    <x v="1"/>
    <x v="3"/>
    <x v="0"/>
    <n v="2382"/>
    <n v="2662"/>
    <n v="280"/>
    <n v="0.11754827875734676"/>
  </r>
  <r>
    <x v="3"/>
    <d v="2010-02-24T00:00:00"/>
    <x v="1"/>
    <x v="0"/>
    <x v="1"/>
    <x v="4"/>
    <x v="0"/>
    <n v="19217"/>
    <n v="21850"/>
    <n v="2633"/>
    <n v="0.13701410209710152"/>
  </r>
  <r>
    <x v="3"/>
    <d v="2010-02-24T00:00:00"/>
    <x v="1"/>
    <x v="0"/>
    <x v="1"/>
    <x v="5"/>
    <x v="1"/>
    <n v="118317"/>
    <n v="133837"/>
    <n v="15520"/>
    <n v="0.13117303515133075"/>
  </r>
  <r>
    <x v="3"/>
    <d v="2010-02-24T00:00:00"/>
    <x v="1"/>
    <x v="0"/>
    <x v="1"/>
    <x v="6"/>
    <x v="1"/>
    <n v="340882"/>
    <n v="358948"/>
    <n v="18066"/>
    <n v="5.2997811559425255E-2"/>
  </r>
  <r>
    <x v="3"/>
    <d v="2010-02-24T00:00:00"/>
    <x v="1"/>
    <x v="0"/>
    <x v="1"/>
    <x v="7"/>
    <x v="1"/>
    <n v="92116"/>
    <n v="101600"/>
    <n v="9484"/>
    <n v="0.1029571409961353"/>
  </r>
  <r>
    <x v="3"/>
    <d v="2010-02-24T00:00:00"/>
    <x v="1"/>
    <x v="0"/>
    <x v="1"/>
    <x v="8"/>
    <x v="1"/>
    <n v="133832"/>
    <n v="140798"/>
    <n v="6966"/>
    <n v="5.2050331759220518E-2"/>
  </r>
  <r>
    <x v="3"/>
    <d v="2010-02-24T00:00:00"/>
    <x v="1"/>
    <x v="0"/>
    <x v="1"/>
    <x v="9"/>
    <x v="2"/>
    <n v="265706"/>
    <n v="292370"/>
    <n v="26664"/>
    <n v="0.10035151633760622"/>
  </r>
  <r>
    <x v="3"/>
    <d v="2010-02-24T00:00:00"/>
    <x v="1"/>
    <x v="0"/>
    <x v="1"/>
    <x v="10"/>
    <x v="2"/>
    <n v="105946"/>
    <n v="110948"/>
    <n v="5002"/>
    <n v="4.7212731013912747E-2"/>
  </r>
  <r>
    <x v="3"/>
    <d v="2010-02-24T00:00:00"/>
    <x v="1"/>
    <x v="0"/>
    <x v="1"/>
    <x v="11"/>
    <x v="2"/>
    <n v="109692"/>
    <n v="118464"/>
    <n v="8772"/>
    <n v="7.996936877803304E-2"/>
  </r>
  <r>
    <x v="3"/>
    <d v="2010-02-24T00:00:00"/>
    <x v="1"/>
    <x v="0"/>
    <x v="1"/>
    <x v="12"/>
    <x v="2"/>
    <n v="9680"/>
    <n v="10165"/>
    <n v="485"/>
    <n v="5.0103305785123967E-2"/>
  </r>
  <r>
    <x v="3"/>
    <d v="2010-02-24T00:00:00"/>
    <x v="1"/>
    <x v="0"/>
    <x v="1"/>
    <x v="26"/>
    <x v="3"/>
    <n v="10360"/>
    <n v="11520"/>
    <n v="1160"/>
    <n v="0.11196911196911197"/>
  </r>
  <r>
    <x v="3"/>
    <d v="2010-02-24T00:00:00"/>
    <x v="1"/>
    <x v="0"/>
    <x v="1"/>
    <x v="13"/>
    <x v="3"/>
    <n v="119680"/>
    <n v="136701"/>
    <n v="17021"/>
    <n v="0.14222092245989304"/>
  </r>
  <r>
    <x v="3"/>
    <d v="2010-02-24T00:00:00"/>
    <x v="1"/>
    <x v="0"/>
    <x v="1"/>
    <x v="14"/>
    <x v="3"/>
    <n v="74103"/>
    <n v="82401"/>
    <n v="8298"/>
    <n v="0.1119792720942472"/>
  </r>
  <r>
    <x v="3"/>
    <d v="2010-02-24T00:00:00"/>
    <x v="1"/>
    <x v="0"/>
    <x v="1"/>
    <x v="15"/>
    <x v="3"/>
    <n v="381549"/>
    <n v="412757"/>
    <n v="31208"/>
    <n v="8.1792902091212399E-2"/>
  </r>
  <r>
    <x v="3"/>
    <d v="2010-02-24T00:00:00"/>
    <x v="1"/>
    <x v="0"/>
    <x v="1"/>
    <x v="16"/>
    <x v="3"/>
    <n v="81365"/>
    <n v="92660"/>
    <n v="11295"/>
    <n v="0.13881890247649481"/>
  </r>
  <r>
    <x v="3"/>
    <d v="2010-02-24T00:00:00"/>
    <x v="1"/>
    <x v="0"/>
    <x v="1"/>
    <x v="17"/>
    <x v="4"/>
    <n v="429706"/>
    <n v="522973"/>
    <n v="93267"/>
    <n v="0.21704840053431881"/>
  </r>
  <r>
    <x v="3"/>
    <d v="2010-02-24T00:00:00"/>
    <x v="1"/>
    <x v="0"/>
    <x v="1"/>
    <x v="18"/>
    <x v="5"/>
    <n v="62582"/>
    <n v="73634"/>
    <n v="11052"/>
    <n v="0.17660030040586749"/>
  </r>
  <r>
    <x v="3"/>
    <d v="2010-02-24T00:00:00"/>
    <x v="1"/>
    <x v="0"/>
    <x v="1"/>
    <x v="20"/>
    <x v="5"/>
    <n v="45125"/>
    <n v="83767"/>
    <n v="38642"/>
    <n v="0.8563324099722992"/>
  </r>
  <r>
    <x v="3"/>
    <d v="2010-02-24T00:00:00"/>
    <x v="1"/>
    <x v="0"/>
    <x v="1"/>
    <x v="21"/>
    <x v="5"/>
    <n v="2132"/>
    <n v="2387"/>
    <n v="255"/>
    <n v="0.11960600375234522"/>
  </r>
  <r>
    <x v="3"/>
    <d v="2010-02-24T00:00:00"/>
    <x v="1"/>
    <x v="0"/>
    <x v="1"/>
    <x v="22"/>
    <x v="6"/>
    <n v="4005"/>
    <n v="4917"/>
    <n v="912"/>
    <n v="0.22771535580524344"/>
  </r>
  <r>
    <x v="3"/>
    <d v="2010-02-24T00:00:00"/>
    <x v="1"/>
    <x v="0"/>
    <x v="1"/>
    <x v="23"/>
    <x v="6"/>
    <n v="92016"/>
    <n v="101712"/>
    <n v="9696"/>
    <n v="0.10537297861241524"/>
  </r>
  <r>
    <x v="3"/>
    <d v="2010-02-24T00:00:00"/>
    <x v="1"/>
    <x v="0"/>
    <x v="1"/>
    <x v="24"/>
    <x v="6"/>
    <n v="226140"/>
    <n v="244228"/>
    <n v="18088"/>
    <n v="7.9985849473777307E-2"/>
  </r>
  <r>
    <x v="3"/>
    <d v="2010-02-24T00:00:00"/>
    <x v="1"/>
    <x v="0"/>
    <x v="1"/>
    <x v="25"/>
    <x v="6"/>
    <n v="188658"/>
    <n v="203939"/>
    <n v="15281"/>
    <n v="8.0998420422139533E-2"/>
  </r>
  <r>
    <x v="3"/>
    <d v="2010-02-25T00:00:00"/>
    <x v="1"/>
    <x v="0"/>
    <x v="1"/>
    <x v="0"/>
    <x v="0"/>
    <n v="13777"/>
    <n v="15667"/>
    <n v="1890"/>
    <n v="0.13718516367859476"/>
  </r>
  <r>
    <x v="3"/>
    <d v="2010-02-25T00:00:00"/>
    <x v="1"/>
    <x v="0"/>
    <x v="1"/>
    <x v="1"/>
    <x v="0"/>
    <n v="165881"/>
    <n v="194082"/>
    <n v="28201"/>
    <n v="0.17000741495409361"/>
  </r>
  <r>
    <x v="3"/>
    <d v="2010-02-25T00:00:00"/>
    <x v="1"/>
    <x v="0"/>
    <x v="1"/>
    <x v="2"/>
    <x v="0"/>
    <n v="64035"/>
    <n v="72418"/>
    <n v="8383"/>
    <n v="0.1309127820723042"/>
  </r>
  <r>
    <x v="3"/>
    <d v="2010-02-25T00:00:00"/>
    <x v="1"/>
    <x v="0"/>
    <x v="1"/>
    <x v="3"/>
    <x v="0"/>
    <n v="3188"/>
    <n v="3725"/>
    <n v="537"/>
    <n v="0.16844416562107906"/>
  </r>
  <r>
    <x v="3"/>
    <d v="2010-02-25T00:00:00"/>
    <x v="1"/>
    <x v="0"/>
    <x v="1"/>
    <x v="4"/>
    <x v="0"/>
    <n v="21213"/>
    <n v="23878"/>
    <n v="2665"/>
    <n v="0.12563050959317398"/>
  </r>
  <r>
    <x v="3"/>
    <d v="2010-02-25T00:00:00"/>
    <x v="1"/>
    <x v="0"/>
    <x v="1"/>
    <x v="5"/>
    <x v="1"/>
    <n v="129802"/>
    <n v="141807"/>
    <n v="12005"/>
    <n v="9.248701869000478E-2"/>
  </r>
  <r>
    <x v="3"/>
    <d v="2010-02-25T00:00:00"/>
    <x v="1"/>
    <x v="0"/>
    <x v="1"/>
    <x v="6"/>
    <x v="1"/>
    <n v="388949"/>
    <n v="405116"/>
    <n v="16167"/>
    <n v="4.1565860819798996E-2"/>
  </r>
  <r>
    <x v="3"/>
    <d v="2010-02-25T00:00:00"/>
    <x v="1"/>
    <x v="0"/>
    <x v="1"/>
    <x v="7"/>
    <x v="1"/>
    <n v="114086"/>
    <n v="121339"/>
    <n v="7253"/>
    <n v="6.3574847045211505E-2"/>
  </r>
  <r>
    <x v="3"/>
    <d v="2010-02-25T00:00:00"/>
    <x v="1"/>
    <x v="0"/>
    <x v="1"/>
    <x v="8"/>
    <x v="1"/>
    <n v="143238"/>
    <n v="150029"/>
    <n v="6791"/>
    <n v="4.741060333151817E-2"/>
  </r>
  <r>
    <x v="3"/>
    <d v="2010-02-25T00:00:00"/>
    <x v="1"/>
    <x v="0"/>
    <x v="1"/>
    <x v="9"/>
    <x v="2"/>
    <n v="292542"/>
    <n v="317607"/>
    <n v="25065"/>
    <n v="8.5680004922370115E-2"/>
  </r>
  <r>
    <x v="3"/>
    <d v="2010-02-25T00:00:00"/>
    <x v="1"/>
    <x v="0"/>
    <x v="1"/>
    <x v="10"/>
    <x v="2"/>
    <n v="106937"/>
    <n v="112034"/>
    <n v="5097"/>
    <n v="4.7663577620468127E-2"/>
  </r>
  <r>
    <x v="3"/>
    <d v="2010-02-25T00:00:00"/>
    <x v="1"/>
    <x v="0"/>
    <x v="1"/>
    <x v="11"/>
    <x v="2"/>
    <n v="101394"/>
    <n v="110162"/>
    <n v="8768"/>
    <n v="8.6474544844862611E-2"/>
  </r>
  <r>
    <x v="3"/>
    <d v="2010-02-25T00:00:00"/>
    <x v="1"/>
    <x v="0"/>
    <x v="1"/>
    <x v="12"/>
    <x v="2"/>
    <n v="3356"/>
    <n v="3714"/>
    <n v="358"/>
    <n v="0.1066746126340882"/>
  </r>
  <r>
    <x v="3"/>
    <d v="2010-02-25T00:00:00"/>
    <x v="1"/>
    <x v="0"/>
    <x v="1"/>
    <x v="26"/>
    <x v="3"/>
    <n v="6405"/>
    <n v="7269"/>
    <n v="864"/>
    <n v="0.13489461358313817"/>
  </r>
  <r>
    <x v="3"/>
    <d v="2010-02-25T00:00:00"/>
    <x v="1"/>
    <x v="0"/>
    <x v="1"/>
    <x v="13"/>
    <x v="3"/>
    <n v="106100"/>
    <n v="120323"/>
    <n v="14223"/>
    <n v="0.13405278039585297"/>
  </r>
  <r>
    <x v="3"/>
    <d v="2010-02-25T00:00:00"/>
    <x v="1"/>
    <x v="0"/>
    <x v="1"/>
    <x v="14"/>
    <x v="3"/>
    <n v="69502"/>
    <n v="80082"/>
    <n v="10580"/>
    <n v="0.15222583522776323"/>
  </r>
  <r>
    <x v="3"/>
    <d v="2010-02-25T00:00:00"/>
    <x v="1"/>
    <x v="0"/>
    <x v="1"/>
    <x v="15"/>
    <x v="3"/>
    <n v="363350"/>
    <n v="393658"/>
    <n v="30308"/>
    <n v="8.3412687491399476E-2"/>
  </r>
  <r>
    <x v="3"/>
    <d v="2010-02-25T00:00:00"/>
    <x v="1"/>
    <x v="0"/>
    <x v="1"/>
    <x v="16"/>
    <x v="3"/>
    <n v="63755"/>
    <n v="72437"/>
    <n v="8682"/>
    <n v="0.13617755470159204"/>
  </r>
  <r>
    <x v="3"/>
    <d v="2010-02-25T00:00:00"/>
    <x v="1"/>
    <x v="0"/>
    <x v="1"/>
    <x v="17"/>
    <x v="4"/>
    <n v="407125"/>
    <n v="506227"/>
    <n v="99102"/>
    <n v="0.24341909732883021"/>
  </r>
  <r>
    <x v="3"/>
    <d v="2010-02-25T00:00:00"/>
    <x v="1"/>
    <x v="0"/>
    <x v="1"/>
    <x v="18"/>
    <x v="5"/>
    <n v="69776"/>
    <n v="79295"/>
    <n v="9519"/>
    <n v="0.13642226553542766"/>
  </r>
  <r>
    <x v="3"/>
    <d v="2010-02-25T00:00:00"/>
    <x v="1"/>
    <x v="0"/>
    <x v="1"/>
    <x v="20"/>
    <x v="5"/>
    <n v="51914"/>
    <n v="95791"/>
    <n v="43877"/>
    <n v="0.84518626959972265"/>
  </r>
  <r>
    <x v="3"/>
    <d v="2010-02-25T00:00:00"/>
    <x v="1"/>
    <x v="0"/>
    <x v="1"/>
    <x v="21"/>
    <x v="5"/>
    <n v="3376"/>
    <n v="3781"/>
    <n v="405"/>
    <n v="0.11996445497630331"/>
  </r>
  <r>
    <x v="3"/>
    <d v="2010-02-25T00:00:00"/>
    <x v="1"/>
    <x v="0"/>
    <x v="1"/>
    <x v="22"/>
    <x v="6"/>
    <n v="4485"/>
    <n v="5516"/>
    <n v="1031"/>
    <n v="0.22987736900780378"/>
  </r>
  <r>
    <x v="3"/>
    <d v="2010-02-25T00:00:00"/>
    <x v="1"/>
    <x v="0"/>
    <x v="1"/>
    <x v="23"/>
    <x v="6"/>
    <n v="110035"/>
    <n v="120645"/>
    <n v="10610"/>
    <n v="9.6423865133821063E-2"/>
  </r>
  <r>
    <x v="3"/>
    <d v="2010-02-25T00:00:00"/>
    <x v="1"/>
    <x v="0"/>
    <x v="1"/>
    <x v="24"/>
    <x v="6"/>
    <n v="232506"/>
    <n v="251392"/>
    <n v="18886"/>
    <n v="8.1228011320137974E-2"/>
  </r>
  <r>
    <x v="3"/>
    <d v="2010-02-25T00:00:00"/>
    <x v="1"/>
    <x v="0"/>
    <x v="1"/>
    <x v="25"/>
    <x v="6"/>
    <n v="225013"/>
    <n v="240200"/>
    <n v="15187"/>
    <n v="6.7493878131485732E-2"/>
  </r>
  <r>
    <x v="3"/>
    <d v="2010-02-26T00:00:00"/>
    <x v="1"/>
    <x v="0"/>
    <x v="1"/>
    <x v="0"/>
    <x v="0"/>
    <n v="18760"/>
    <n v="21191"/>
    <n v="2431"/>
    <n v="0.12958422174840084"/>
  </r>
  <r>
    <x v="3"/>
    <d v="2010-02-26T00:00:00"/>
    <x v="1"/>
    <x v="0"/>
    <x v="1"/>
    <x v="1"/>
    <x v="0"/>
    <n v="236557"/>
    <n v="270543"/>
    <n v="33986"/>
    <n v="0.14366939046403193"/>
  </r>
  <r>
    <x v="3"/>
    <d v="2010-02-26T00:00:00"/>
    <x v="1"/>
    <x v="0"/>
    <x v="1"/>
    <x v="2"/>
    <x v="0"/>
    <n v="73441"/>
    <n v="82601"/>
    <n v="9160"/>
    <n v="0.12472597050693754"/>
  </r>
  <r>
    <x v="3"/>
    <d v="2010-02-26T00:00:00"/>
    <x v="1"/>
    <x v="0"/>
    <x v="1"/>
    <x v="3"/>
    <x v="0"/>
    <n v="1896"/>
    <n v="2089"/>
    <n v="193"/>
    <n v="0.10179324894514769"/>
  </r>
  <r>
    <x v="3"/>
    <d v="2010-02-26T00:00:00"/>
    <x v="1"/>
    <x v="0"/>
    <x v="1"/>
    <x v="4"/>
    <x v="0"/>
    <n v="16388"/>
    <n v="18512"/>
    <n v="2124"/>
    <n v="0.12960702953380523"/>
  </r>
  <r>
    <x v="3"/>
    <d v="2010-02-26T00:00:00"/>
    <x v="1"/>
    <x v="0"/>
    <x v="1"/>
    <x v="5"/>
    <x v="1"/>
    <n v="174681"/>
    <n v="192388"/>
    <n v="17707"/>
    <n v="0.10136763586194263"/>
  </r>
  <r>
    <x v="3"/>
    <d v="2010-02-26T00:00:00"/>
    <x v="1"/>
    <x v="0"/>
    <x v="1"/>
    <x v="6"/>
    <x v="1"/>
    <n v="530962"/>
    <n v="557069"/>
    <n v="26107"/>
    <n v="4.9169243750023545E-2"/>
  </r>
  <r>
    <x v="3"/>
    <d v="2010-02-26T00:00:00"/>
    <x v="1"/>
    <x v="0"/>
    <x v="1"/>
    <x v="7"/>
    <x v="1"/>
    <n v="105365"/>
    <n v="115550"/>
    <n v="10185"/>
    <n v="9.6663977601670378E-2"/>
  </r>
  <r>
    <x v="3"/>
    <d v="2010-02-26T00:00:00"/>
    <x v="1"/>
    <x v="0"/>
    <x v="1"/>
    <x v="8"/>
    <x v="1"/>
    <n v="165857"/>
    <n v="174315"/>
    <n v="8458"/>
    <n v="5.0995737291763384E-2"/>
  </r>
  <r>
    <x v="3"/>
    <d v="2010-02-26T00:00:00"/>
    <x v="1"/>
    <x v="0"/>
    <x v="1"/>
    <x v="9"/>
    <x v="2"/>
    <n v="517063"/>
    <n v="557297"/>
    <n v="40234"/>
    <n v="7.7812568294385792E-2"/>
  </r>
  <r>
    <x v="3"/>
    <d v="2010-02-26T00:00:00"/>
    <x v="1"/>
    <x v="0"/>
    <x v="1"/>
    <x v="10"/>
    <x v="2"/>
    <n v="147206"/>
    <n v="153687"/>
    <n v="6481"/>
    <n v="4.4026738040568995E-2"/>
  </r>
  <r>
    <x v="3"/>
    <d v="2010-02-26T00:00:00"/>
    <x v="1"/>
    <x v="0"/>
    <x v="1"/>
    <x v="11"/>
    <x v="2"/>
    <n v="144921"/>
    <n v="156027"/>
    <n v="11106"/>
    <n v="7.663485623201606E-2"/>
  </r>
  <r>
    <x v="3"/>
    <d v="2010-02-26T00:00:00"/>
    <x v="1"/>
    <x v="0"/>
    <x v="1"/>
    <x v="12"/>
    <x v="2"/>
    <n v="6412"/>
    <n v="6929"/>
    <n v="517"/>
    <n v="8.0630068621334997E-2"/>
  </r>
  <r>
    <x v="3"/>
    <d v="2010-02-26T00:00:00"/>
    <x v="1"/>
    <x v="0"/>
    <x v="1"/>
    <x v="26"/>
    <x v="3"/>
    <n v="12686"/>
    <n v="14202"/>
    <n v="1516"/>
    <n v="0.11950181302222923"/>
  </r>
  <r>
    <x v="3"/>
    <d v="2010-02-26T00:00:00"/>
    <x v="1"/>
    <x v="0"/>
    <x v="1"/>
    <x v="13"/>
    <x v="3"/>
    <n v="129315"/>
    <n v="146541"/>
    <n v="17226"/>
    <n v="0.13320960445423966"/>
  </r>
  <r>
    <x v="3"/>
    <d v="2010-02-26T00:00:00"/>
    <x v="1"/>
    <x v="0"/>
    <x v="1"/>
    <x v="14"/>
    <x v="3"/>
    <n v="103553"/>
    <n v="118907"/>
    <n v="15354"/>
    <n v="0.14827189941382674"/>
  </r>
  <r>
    <x v="3"/>
    <d v="2010-02-26T00:00:00"/>
    <x v="1"/>
    <x v="0"/>
    <x v="1"/>
    <x v="15"/>
    <x v="3"/>
    <n v="464056"/>
    <n v="505181"/>
    <n v="41125"/>
    <n v="8.8620769907080177E-2"/>
  </r>
  <r>
    <x v="3"/>
    <d v="2010-02-26T00:00:00"/>
    <x v="1"/>
    <x v="0"/>
    <x v="1"/>
    <x v="16"/>
    <x v="3"/>
    <n v="104295"/>
    <n v="118413"/>
    <n v="14118"/>
    <n v="0.13536602905220768"/>
  </r>
  <r>
    <x v="3"/>
    <d v="2010-02-26T00:00:00"/>
    <x v="1"/>
    <x v="0"/>
    <x v="1"/>
    <x v="17"/>
    <x v="4"/>
    <n v="484937"/>
    <n v="589314"/>
    <n v="104377"/>
    <n v="0.21523826806368662"/>
  </r>
  <r>
    <x v="3"/>
    <d v="2010-02-26T00:00:00"/>
    <x v="1"/>
    <x v="0"/>
    <x v="1"/>
    <x v="18"/>
    <x v="5"/>
    <n v="78854"/>
    <n v="90318"/>
    <n v="11464"/>
    <n v="0.14538260582849316"/>
  </r>
  <r>
    <x v="3"/>
    <d v="2010-02-26T00:00:00"/>
    <x v="1"/>
    <x v="0"/>
    <x v="1"/>
    <x v="20"/>
    <x v="5"/>
    <n v="63125"/>
    <n v="114545"/>
    <n v="51420"/>
    <n v="0.81457425742574252"/>
  </r>
  <r>
    <x v="3"/>
    <d v="2010-02-26T00:00:00"/>
    <x v="1"/>
    <x v="0"/>
    <x v="1"/>
    <x v="21"/>
    <x v="5"/>
    <n v="3701"/>
    <n v="4145"/>
    <n v="444"/>
    <n v="0.11996757633072143"/>
  </r>
  <r>
    <x v="3"/>
    <d v="2010-02-26T00:00:00"/>
    <x v="1"/>
    <x v="0"/>
    <x v="1"/>
    <x v="22"/>
    <x v="6"/>
    <n v="11037"/>
    <n v="13028"/>
    <n v="1991"/>
    <n v="0.18039322279604966"/>
  </r>
  <r>
    <x v="3"/>
    <d v="2010-02-26T00:00:00"/>
    <x v="1"/>
    <x v="0"/>
    <x v="1"/>
    <x v="23"/>
    <x v="6"/>
    <n v="112349"/>
    <n v="124623"/>
    <n v="12274"/>
    <n v="0.10924885846781013"/>
  </r>
  <r>
    <x v="3"/>
    <d v="2010-02-26T00:00:00"/>
    <x v="1"/>
    <x v="0"/>
    <x v="1"/>
    <x v="24"/>
    <x v="6"/>
    <n v="267236"/>
    <n v="291288"/>
    <n v="24052"/>
    <n v="9.0002843928213269E-2"/>
  </r>
  <r>
    <x v="3"/>
    <d v="2010-02-26T00:00:00"/>
    <x v="1"/>
    <x v="0"/>
    <x v="1"/>
    <x v="25"/>
    <x v="6"/>
    <n v="277371"/>
    <n v="297206"/>
    <n v="19835"/>
    <n v="7.1510720298805577E-2"/>
  </r>
  <r>
    <x v="3"/>
    <d v="2010-02-27T00:00:00"/>
    <x v="1"/>
    <x v="0"/>
    <x v="1"/>
    <x v="0"/>
    <x v="0"/>
    <n v="25085"/>
    <n v="28344"/>
    <n v="3259"/>
    <n v="0.129918277855292"/>
  </r>
  <r>
    <x v="3"/>
    <d v="2010-02-27T00:00:00"/>
    <x v="1"/>
    <x v="0"/>
    <x v="1"/>
    <x v="1"/>
    <x v="0"/>
    <n v="342678"/>
    <n v="396341"/>
    <n v="53663"/>
    <n v="0.15659890626185516"/>
  </r>
  <r>
    <x v="3"/>
    <d v="2010-02-27T00:00:00"/>
    <x v="1"/>
    <x v="0"/>
    <x v="1"/>
    <x v="2"/>
    <x v="0"/>
    <n v="105622"/>
    <n v="119298"/>
    <n v="13676"/>
    <n v="0.12948060063244399"/>
  </r>
  <r>
    <x v="3"/>
    <d v="2010-02-27T00:00:00"/>
    <x v="1"/>
    <x v="0"/>
    <x v="1"/>
    <x v="3"/>
    <x v="0"/>
    <n v="3155"/>
    <n v="3677"/>
    <n v="522"/>
    <n v="0.16545166402535658"/>
  </r>
  <r>
    <x v="3"/>
    <d v="2010-02-27T00:00:00"/>
    <x v="1"/>
    <x v="0"/>
    <x v="1"/>
    <x v="4"/>
    <x v="0"/>
    <n v="39559"/>
    <n v="43907"/>
    <n v="4348"/>
    <n v="0.10991177734523118"/>
  </r>
  <r>
    <x v="3"/>
    <d v="2010-02-27T00:00:00"/>
    <x v="1"/>
    <x v="0"/>
    <x v="1"/>
    <x v="5"/>
    <x v="1"/>
    <n v="222525"/>
    <n v="247333"/>
    <n v="24808"/>
    <n v="0.11148410290978542"/>
  </r>
  <r>
    <x v="3"/>
    <d v="2010-02-27T00:00:00"/>
    <x v="1"/>
    <x v="0"/>
    <x v="1"/>
    <x v="6"/>
    <x v="1"/>
    <n v="767307"/>
    <n v="811559"/>
    <n v="44252"/>
    <n v="5.7671831483356729E-2"/>
  </r>
  <r>
    <x v="3"/>
    <d v="2010-02-27T00:00:00"/>
    <x v="1"/>
    <x v="0"/>
    <x v="1"/>
    <x v="7"/>
    <x v="1"/>
    <n v="164344"/>
    <n v="180826"/>
    <n v="16482"/>
    <n v="0.10028963637248697"/>
  </r>
  <r>
    <x v="3"/>
    <d v="2010-02-27T00:00:00"/>
    <x v="1"/>
    <x v="0"/>
    <x v="1"/>
    <x v="8"/>
    <x v="1"/>
    <n v="321561"/>
    <n v="335234"/>
    <n v="13673"/>
    <n v="4.2520703692300994E-2"/>
  </r>
  <r>
    <x v="3"/>
    <d v="2010-02-27T00:00:00"/>
    <x v="1"/>
    <x v="0"/>
    <x v="1"/>
    <x v="9"/>
    <x v="2"/>
    <n v="578937"/>
    <n v="626876"/>
    <n v="47939"/>
    <n v="8.2805210238765178E-2"/>
  </r>
  <r>
    <x v="3"/>
    <d v="2010-02-27T00:00:00"/>
    <x v="1"/>
    <x v="0"/>
    <x v="1"/>
    <x v="10"/>
    <x v="2"/>
    <n v="220817"/>
    <n v="228944"/>
    <n v="8127"/>
    <n v="3.6804231558258647E-2"/>
  </r>
  <r>
    <x v="3"/>
    <d v="2010-02-27T00:00:00"/>
    <x v="1"/>
    <x v="0"/>
    <x v="1"/>
    <x v="11"/>
    <x v="2"/>
    <n v="219167"/>
    <n v="238044"/>
    <n v="18877"/>
    <n v="8.6130667481874548E-2"/>
  </r>
  <r>
    <x v="3"/>
    <d v="2010-02-27T00:00:00"/>
    <x v="1"/>
    <x v="0"/>
    <x v="1"/>
    <x v="12"/>
    <x v="2"/>
    <n v="8462"/>
    <n v="9250"/>
    <n v="788"/>
    <n v="9.3122193334909009E-2"/>
  </r>
  <r>
    <x v="3"/>
    <d v="2010-02-27T00:00:00"/>
    <x v="1"/>
    <x v="0"/>
    <x v="1"/>
    <x v="26"/>
    <x v="3"/>
    <n v="20940"/>
    <n v="23314"/>
    <n v="2374"/>
    <n v="0.11337153772683858"/>
  </r>
  <r>
    <x v="3"/>
    <d v="2010-02-27T00:00:00"/>
    <x v="1"/>
    <x v="0"/>
    <x v="1"/>
    <x v="13"/>
    <x v="3"/>
    <n v="195344"/>
    <n v="221870"/>
    <n v="26526"/>
    <n v="0.13579121959210419"/>
  </r>
  <r>
    <x v="3"/>
    <d v="2010-02-27T00:00:00"/>
    <x v="1"/>
    <x v="0"/>
    <x v="1"/>
    <x v="14"/>
    <x v="3"/>
    <n v="179900"/>
    <n v="204780"/>
    <n v="24880"/>
    <n v="0.13829905503057255"/>
  </r>
  <r>
    <x v="3"/>
    <d v="2010-02-27T00:00:00"/>
    <x v="1"/>
    <x v="0"/>
    <x v="1"/>
    <x v="15"/>
    <x v="3"/>
    <n v="647501"/>
    <n v="705101"/>
    <n v="57600"/>
    <n v="8.8957391571596031E-2"/>
  </r>
  <r>
    <x v="3"/>
    <d v="2010-02-27T00:00:00"/>
    <x v="1"/>
    <x v="0"/>
    <x v="1"/>
    <x v="16"/>
    <x v="3"/>
    <n v="162205"/>
    <n v="184971"/>
    <n v="22766"/>
    <n v="0.14035325668136001"/>
  </r>
  <r>
    <x v="3"/>
    <d v="2010-02-27T00:00:00"/>
    <x v="1"/>
    <x v="0"/>
    <x v="1"/>
    <x v="17"/>
    <x v="4"/>
    <n v="643868"/>
    <n v="799291"/>
    <n v="155423"/>
    <n v="0.2413895394708232"/>
  </r>
  <r>
    <x v="3"/>
    <d v="2010-02-27T00:00:00"/>
    <x v="1"/>
    <x v="0"/>
    <x v="1"/>
    <x v="18"/>
    <x v="5"/>
    <n v="99178"/>
    <n v="117284"/>
    <n v="18106"/>
    <n v="0.18256064853092419"/>
  </r>
  <r>
    <x v="3"/>
    <d v="2010-02-27T00:00:00"/>
    <x v="1"/>
    <x v="0"/>
    <x v="1"/>
    <x v="20"/>
    <x v="5"/>
    <n v="74042"/>
    <n v="138665"/>
    <n v="64623"/>
    <n v="0.87278841738472757"/>
  </r>
  <r>
    <x v="3"/>
    <d v="2010-02-27T00:00:00"/>
    <x v="1"/>
    <x v="0"/>
    <x v="1"/>
    <x v="21"/>
    <x v="5"/>
    <n v="7484"/>
    <n v="8381"/>
    <n v="897"/>
    <n v="0.11985569214323891"/>
  </r>
  <r>
    <x v="3"/>
    <d v="2010-02-27T00:00:00"/>
    <x v="1"/>
    <x v="0"/>
    <x v="1"/>
    <x v="22"/>
    <x v="6"/>
    <n v="10368"/>
    <n v="12568"/>
    <n v="2200"/>
    <n v="0.21219135802469136"/>
  </r>
  <r>
    <x v="3"/>
    <d v="2010-02-27T00:00:00"/>
    <x v="1"/>
    <x v="0"/>
    <x v="1"/>
    <x v="23"/>
    <x v="6"/>
    <n v="235074"/>
    <n v="258478"/>
    <n v="23404"/>
    <n v="9.9560138509575707E-2"/>
  </r>
  <r>
    <x v="3"/>
    <d v="2010-02-27T00:00:00"/>
    <x v="1"/>
    <x v="0"/>
    <x v="1"/>
    <x v="24"/>
    <x v="6"/>
    <n v="392616"/>
    <n v="424061"/>
    <n v="31445"/>
    <n v="8.0090979481223387E-2"/>
  </r>
  <r>
    <x v="3"/>
    <d v="2010-02-27T00:00:00"/>
    <x v="1"/>
    <x v="0"/>
    <x v="1"/>
    <x v="25"/>
    <x v="6"/>
    <n v="439790"/>
    <n v="469790"/>
    <n v="30000"/>
    <n v="6.8214375042633987E-2"/>
  </r>
  <r>
    <x v="3"/>
    <d v="2010-02-28T00:00:00"/>
    <x v="2"/>
    <x v="0"/>
    <x v="1"/>
    <x v="0"/>
    <x v="0"/>
    <n v="14390"/>
    <n v="16327"/>
    <n v="1937"/>
    <n v="0.1346073662265462"/>
  </r>
  <r>
    <x v="3"/>
    <d v="2010-02-28T00:00:00"/>
    <x v="2"/>
    <x v="0"/>
    <x v="1"/>
    <x v="1"/>
    <x v="0"/>
    <n v="257554"/>
    <n v="309480"/>
    <n v="51926"/>
    <n v="0.20161208911529233"/>
  </r>
  <r>
    <x v="3"/>
    <d v="2010-02-28T00:00:00"/>
    <x v="2"/>
    <x v="0"/>
    <x v="1"/>
    <x v="2"/>
    <x v="0"/>
    <n v="74215"/>
    <n v="81948"/>
    <n v="7733"/>
    <n v="0.10419726470390082"/>
  </r>
  <r>
    <x v="3"/>
    <d v="2010-02-28T00:00:00"/>
    <x v="2"/>
    <x v="0"/>
    <x v="1"/>
    <x v="3"/>
    <x v="0"/>
    <n v="3256"/>
    <n v="3760"/>
    <n v="504"/>
    <n v="0.15479115479115479"/>
  </r>
  <r>
    <x v="3"/>
    <d v="2010-02-28T00:00:00"/>
    <x v="2"/>
    <x v="0"/>
    <x v="1"/>
    <x v="4"/>
    <x v="0"/>
    <n v="39742"/>
    <n v="43181"/>
    <n v="3439"/>
    <n v="8.6533138744904634E-2"/>
  </r>
  <r>
    <x v="3"/>
    <d v="2010-02-28T00:00:00"/>
    <x v="2"/>
    <x v="0"/>
    <x v="1"/>
    <x v="5"/>
    <x v="1"/>
    <n v="199238"/>
    <n v="220132"/>
    <n v="20894"/>
    <n v="0.10486955299691826"/>
  </r>
  <r>
    <x v="3"/>
    <d v="2010-02-28T00:00:00"/>
    <x v="2"/>
    <x v="0"/>
    <x v="1"/>
    <x v="6"/>
    <x v="1"/>
    <n v="747587"/>
    <n v="789706"/>
    <n v="42119"/>
    <n v="5.6339931004685741E-2"/>
  </r>
  <r>
    <x v="3"/>
    <d v="2010-02-28T00:00:00"/>
    <x v="2"/>
    <x v="0"/>
    <x v="1"/>
    <x v="7"/>
    <x v="1"/>
    <n v="127734"/>
    <n v="138984"/>
    <n v="11250"/>
    <n v="8.8073653060265863E-2"/>
  </r>
  <r>
    <x v="3"/>
    <d v="2010-02-28T00:00:00"/>
    <x v="2"/>
    <x v="0"/>
    <x v="1"/>
    <x v="8"/>
    <x v="1"/>
    <n v="270378"/>
    <n v="283322"/>
    <n v="12944"/>
    <n v="4.7873717536190075E-2"/>
  </r>
  <r>
    <x v="3"/>
    <d v="2010-02-28T00:00:00"/>
    <x v="2"/>
    <x v="0"/>
    <x v="1"/>
    <x v="9"/>
    <x v="2"/>
    <n v="387452"/>
    <n v="421666"/>
    <n v="34214"/>
    <n v="8.8305131990543351E-2"/>
  </r>
  <r>
    <x v="3"/>
    <d v="2010-02-28T00:00:00"/>
    <x v="2"/>
    <x v="0"/>
    <x v="1"/>
    <x v="10"/>
    <x v="2"/>
    <n v="169204"/>
    <n v="176519"/>
    <n v="7315"/>
    <n v="4.323183849081582E-2"/>
  </r>
  <r>
    <x v="3"/>
    <d v="2010-02-28T00:00:00"/>
    <x v="2"/>
    <x v="0"/>
    <x v="1"/>
    <x v="11"/>
    <x v="2"/>
    <n v="176476"/>
    <n v="192672"/>
    <n v="16196"/>
    <n v="9.1774518914753286E-2"/>
  </r>
  <r>
    <x v="3"/>
    <d v="2010-02-28T00:00:00"/>
    <x v="2"/>
    <x v="0"/>
    <x v="1"/>
    <x v="12"/>
    <x v="2"/>
    <n v="14446"/>
    <n v="15179"/>
    <n v="733"/>
    <n v="5.074068946421155E-2"/>
  </r>
  <r>
    <x v="3"/>
    <d v="2010-02-28T00:00:00"/>
    <x v="2"/>
    <x v="0"/>
    <x v="1"/>
    <x v="26"/>
    <x v="3"/>
    <n v="7788"/>
    <n v="8719"/>
    <n v="931"/>
    <n v="0.11954288649203904"/>
  </r>
  <r>
    <x v="3"/>
    <d v="2010-02-28T00:00:00"/>
    <x v="2"/>
    <x v="0"/>
    <x v="1"/>
    <x v="13"/>
    <x v="3"/>
    <n v="108211"/>
    <n v="123134"/>
    <n v="14923"/>
    <n v="0.13790649749101294"/>
  </r>
  <r>
    <x v="3"/>
    <d v="2010-02-28T00:00:00"/>
    <x v="2"/>
    <x v="0"/>
    <x v="1"/>
    <x v="14"/>
    <x v="3"/>
    <n v="123629"/>
    <n v="142009"/>
    <n v="18380"/>
    <n v="0.14867061935306441"/>
  </r>
  <r>
    <x v="3"/>
    <d v="2010-02-28T00:00:00"/>
    <x v="2"/>
    <x v="0"/>
    <x v="1"/>
    <x v="15"/>
    <x v="3"/>
    <n v="469356"/>
    <n v="513865"/>
    <n v="44509"/>
    <n v="9.4829937190533412E-2"/>
  </r>
  <r>
    <x v="3"/>
    <d v="2010-02-28T00:00:00"/>
    <x v="2"/>
    <x v="0"/>
    <x v="1"/>
    <x v="16"/>
    <x v="3"/>
    <n v="118145"/>
    <n v="133744"/>
    <n v="15599"/>
    <n v="0.13203267171695798"/>
  </r>
  <r>
    <x v="3"/>
    <d v="2010-02-28T00:00:00"/>
    <x v="2"/>
    <x v="0"/>
    <x v="1"/>
    <x v="17"/>
    <x v="4"/>
    <n v="475014"/>
    <n v="596770"/>
    <n v="121756"/>
    <n v="0.25632086633236073"/>
  </r>
  <r>
    <x v="3"/>
    <d v="2010-02-28T00:00:00"/>
    <x v="2"/>
    <x v="0"/>
    <x v="1"/>
    <x v="18"/>
    <x v="5"/>
    <n v="103734"/>
    <n v="123340"/>
    <n v="19606"/>
    <n v="0.1890026413711994"/>
  </r>
  <r>
    <x v="3"/>
    <d v="2010-02-28T00:00:00"/>
    <x v="2"/>
    <x v="0"/>
    <x v="1"/>
    <x v="20"/>
    <x v="5"/>
    <n v="67767"/>
    <n v="125342"/>
    <n v="57575"/>
    <n v="0.84960231381055673"/>
  </r>
  <r>
    <x v="3"/>
    <d v="2010-02-28T00:00:00"/>
    <x v="2"/>
    <x v="0"/>
    <x v="1"/>
    <x v="21"/>
    <x v="5"/>
    <n v="924"/>
    <n v="1035"/>
    <n v="111"/>
    <n v="0.12012987012987013"/>
  </r>
  <r>
    <x v="3"/>
    <d v="2010-02-28T00:00:00"/>
    <x v="2"/>
    <x v="0"/>
    <x v="1"/>
    <x v="22"/>
    <x v="6"/>
    <n v="11647"/>
    <n v="13989"/>
    <n v="2342"/>
    <n v="0.20108182364557398"/>
  </r>
  <r>
    <x v="3"/>
    <d v="2010-02-28T00:00:00"/>
    <x v="2"/>
    <x v="0"/>
    <x v="1"/>
    <x v="23"/>
    <x v="6"/>
    <n v="205886"/>
    <n v="226002"/>
    <n v="20116"/>
    <n v="9.7704554947883784E-2"/>
  </r>
  <r>
    <x v="3"/>
    <d v="2010-02-28T00:00:00"/>
    <x v="2"/>
    <x v="0"/>
    <x v="1"/>
    <x v="24"/>
    <x v="6"/>
    <n v="329106"/>
    <n v="355802"/>
    <n v="26696"/>
    <n v="8.1116722271851627E-2"/>
  </r>
  <r>
    <x v="3"/>
    <d v="2010-02-28T00:00:00"/>
    <x v="2"/>
    <x v="0"/>
    <x v="1"/>
    <x v="25"/>
    <x v="6"/>
    <n v="392820"/>
    <n v="420148"/>
    <n v="27328"/>
    <n v="6.9568759228145205E-2"/>
  </r>
  <r>
    <x v="3"/>
    <d v="2010-03-01T00:00:00"/>
    <x v="2"/>
    <x v="1"/>
    <x v="1"/>
    <x v="0"/>
    <x v="0"/>
    <n v="13738"/>
    <n v="15551"/>
    <n v="1813"/>
    <n v="0.13196971902751492"/>
  </r>
  <r>
    <x v="3"/>
    <d v="2010-03-01T00:00:00"/>
    <x v="2"/>
    <x v="1"/>
    <x v="1"/>
    <x v="1"/>
    <x v="0"/>
    <n v="168745"/>
    <n v="202934"/>
    <n v="34189"/>
    <n v="0.20260748466621234"/>
  </r>
  <r>
    <x v="3"/>
    <d v="2010-03-01T00:00:00"/>
    <x v="2"/>
    <x v="1"/>
    <x v="1"/>
    <x v="2"/>
    <x v="0"/>
    <n v="51224"/>
    <n v="56881"/>
    <n v="5657"/>
    <n v="0.11043651413399969"/>
  </r>
  <r>
    <x v="3"/>
    <d v="2010-03-01T00:00:00"/>
    <x v="2"/>
    <x v="1"/>
    <x v="1"/>
    <x v="3"/>
    <x v="0"/>
    <n v="2256"/>
    <n v="2456"/>
    <n v="200"/>
    <n v="8.8652482269503549E-2"/>
  </r>
  <r>
    <x v="3"/>
    <d v="2010-03-01T00:00:00"/>
    <x v="2"/>
    <x v="1"/>
    <x v="1"/>
    <x v="4"/>
    <x v="0"/>
    <n v="24298"/>
    <n v="27310"/>
    <n v="3012"/>
    <n v="0.12396081982056137"/>
  </r>
  <r>
    <x v="3"/>
    <d v="2010-03-01T00:00:00"/>
    <x v="2"/>
    <x v="1"/>
    <x v="1"/>
    <x v="5"/>
    <x v="1"/>
    <n v="125234"/>
    <n v="140078"/>
    <n v="14844"/>
    <n v="0.11853011163102672"/>
  </r>
  <r>
    <x v="3"/>
    <d v="2010-03-01T00:00:00"/>
    <x v="2"/>
    <x v="1"/>
    <x v="1"/>
    <x v="6"/>
    <x v="1"/>
    <n v="452404"/>
    <n v="481397"/>
    <n v="28993"/>
    <n v="6.408652443391305E-2"/>
  </r>
  <r>
    <x v="3"/>
    <d v="2010-03-01T00:00:00"/>
    <x v="2"/>
    <x v="1"/>
    <x v="1"/>
    <x v="7"/>
    <x v="1"/>
    <n v="104023"/>
    <n v="114014"/>
    <n v="9991"/>
    <n v="9.6046066735241242E-2"/>
  </r>
  <r>
    <x v="3"/>
    <d v="2010-03-01T00:00:00"/>
    <x v="2"/>
    <x v="1"/>
    <x v="1"/>
    <x v="8"/>
    <x v="1"/>
    <n v="192053"/>
    <n v="201952"/>
    <n v="9899"/>
    <n v="5.1543063633476174E-2"/>
  </r>
  <r>
    <x v="3"/>
    <d v="2010-03-01T00:00:00"/>
    <x v="2"/>
    <x v="1"/>
    <x v="1"/>
    <x v="9"/>
    <x v="2"/>
    <n v="279283"/>
    <n v="304110"/>
    <n v="24827"/>
    <n v="8.8895493101979001E-2"/>
  </r>
  <r>
    <x v="3"/>
    <d v="2010-03-01T00:00:00"/>
    <x v="2"/>
    <x v="1"/>
    <x v="1"/>
    <x v="10"/>
    <x v="2"/>
    <n v="96439"/>
    <n v="100546"/>
    <n v="4107"/>
    <n v="4.2586505459409577E-2"/>
  </r>
  <r>
    <x v="3"/>
    <d v="2010-03-01T00:00:00"/>
    <x v="2"/>
    <x v="1"/>
    <x v="1"/>
    <x v="11"/>
    <x v="2"/>
    <n v="110601"/>
    <n v="120103"/>
    <n v="9502"/>
    <n v="8.5912423938300744E-2"/>
  </r>
  <r>
    <x v="3"/>
    <d v="2010-03-01T00:00:00"/>
    <x v="2"/>
    <x v="1"/>
    <x v="1"/>
    <x v="12"/>
    <x v="2"/>
    <n v="11014"/>
    <n v="11860"/>
    <n v="846"/>
    <n v="7.6811331033230429E-2"/>
  </r>
  <r>
    <x v="3"/>
    <d v="2010-03-01T00:00:00"/>
    <x v="2"/>
    <x v="1"/>
    <x v="1"/>
    <x v="26"/>
    <x v="3"/>
    <n v="5450"/>
    <n v="6133"/>
    <n v="683"/>
    <n v="0.12532110091743121"/>
  </r>
  <r>
    <x v="3"/>
    <d v="2010-03-01T00:00:00"/>
    <x v="2"/>
    <x v="1"/>
    <x v="1"/>
    <x v="13"/>
    <x v="3"/>
    <n v="84291"/>
    <n v="95839"/>
    <n v="11548"/>
    <n v="0.1370015778671507"/>
  </r>
  <r>
    <x v="3"/>
    <d v="2010-03-01T00:00:00"/>
    <x v="2"/>
    <x v="1"/>
    <x v="1"/>
    <x v="14"/>
    <x v="3"/>
    <n v="82983"/>
    <n v="95878"/>
    <n v="12895"/>
    <n v="0.15539327332104166"/>
  </r>
  <r>
    <x v="3"/>
    <d v="2010-03-01T00:00:00"/>
    <x v="2"/>
    <x v="1"/>
    <x v="1"/>
    <x v="15"/>
    <x v="3"/>
    <n v="302149"/>
    <n v="331621"/>
    <n v="29472"/>
    <n v="9.7541279302595735E-2"/>
  </r>
  <r>
    <x v="3"/>
    <d v="2010-03-01T00:00:00"/>
    <x v="2"/>
    <x v="1"/>
    <x v="1"/>
    <x v="16"/>
    <x v="3"/>
    <n v="78354"/>
    <n v="88662"/>
    <n v="10308"/>
    <n v="0.13155678076422392"/>
  </r>
  <r>
    <x v="3"/>
    <d v="2010-03-01T00:00:00"/>
    <x v="2"/>
    <x v="1"/>
    <x v="1"/>
    <x v="17"/>
    <x v="4"/>
    <n v="466293"/>
    <n v="553192"/>
    <n v="86899"/>
    <n v="0.18636136506445519"/>
  </r>
  <r>
    <x v="3"/>
    <d v="2010-03-01T00:00:00"/>
    <x v="2"/>
    <x v="1"/>
    <x v="1"/>
    <x v="18"/>
    <x v="5"/>
    <n v="51918"/>
    <n v="63159"/>
    <n v="11241"/>
    <n v="0.21651450364035596"/>
  </r>
  <r>
    <x v="3"/>
    <d v="2010-03-01T00:00:00"/>
    <x v="2"/>
    <x v="1"/>
    <x v="1"/>
    <x v="20"/>
    <x v="5"/>
    <n v="54624"/>
    <n v="97030"/>
    <n v="42406"/>
    <n v="0.77632542472173405"/>
  </r>
  <r>
    <x v="3"/>
    <d v="2010-03-01T00:00:00"/>
    <x v="2"/>
    <x v="1"/>
    <x v="1"/>
    <x v="21"/>
    <x v="5"/>
    <n v="5173"/>
    <n v="5793"/>
    <n v="620"/>
    <n v="0.11985308331722405"/>
  </r>
  <r>
    <x v="3"/>
    <d v="2010-03-01T00:00:00"/>
    <x v="2"/>
    <x v="1"/>
    <x v="1"/>
    <x v="22"/>
    <x v="6"/>
    <n v="5784"/>
    <n v="7262"/>
    <n v="1478"/>
    <n v="0.25553250345781464"/>
  </r>
  <r>
    <x v="3"/>
    <d v="2010-03-01T00:00:00"/>
    <x v="2"/>
    <x v="1"/>
    <x v="1"/>
    <x v="23"/>
    <x v="6"/>
    <n v="119882"/>
    <n v="131947"/>
    <n v="12065"/>
    <n v="0.1006406299527869"/>
  </r>
  <r>
    <x v="3"/>
    <d v="2010-03-01T00:00:00"/>
    <x v="2"/>
    <x v="1"/>
    <x v="1"/>
    <x v="24"/>
    <x v="6"/>
    <n v="215211"/>
    <n v="234454"/>
    <n v="19243"/>
    <n v="8.9414574533829588E-2"/>
  </r>
  <r>
    <x v="3"/>
    <d v="2010-03-01T00:00:00"/>
    <x v="2"/>
    <x v="1"/>
    <x v="1"/>
    <x v="25"/>
    <x v="6"/>
    <n v="246500"/>
    <n v="264270"/>
    <n v="17770"/>
    <n v="7.2089249492900603E-2"/>
  </r>
  <r>
    <x v="3"/>
    <d v="2010-03-02T00:00:00"/>
    <x v="2"/>
    <x v="1"/>
    <x v="1"/>
    <x v="0"/>
    <x v="0"/>
    <n v="11733"/>
    <n v="13432"/>
    <n v="1699"/>
    <n v="0.14480525014915197"/>
  </r>
  <r>
    <x v="3"/>
    <d v="2010-03-02T00:00:00"/>
    <x v="2"/>
    <x v="1"/>
    <x v="1"/>
    <x v="1"/>
    <x v="0"/>
    <n v="174073"/>
    <n v="200981"/>
    <n v="26908"/>
    <n v="0.15457882612467183"/>
  </r>
  <r>
    <x v="3"/>
    <d v="2010-03-02T00:00:00"/>
    <x v="2"/>
    <x v="1"/>
    <x v="1"/>
    <x v="2"/>
    <x v="0"/>
    <n v="59837"/>
    <n v="65527"/>
    <n v="5690"/>
    <n v="9.5091665691796043E-2"/>
  </r>
  <r>
    <x v="3"/>
    <d v="2010-03-02T00:00:00"/>
    <x v="2"/>
    <x v="1"/>
    <x v="1"/>
    <x v="3"/>
    <x v="0"/>
    <n v="1407"/>
    <n v="1573"/>
    <n v="166"/>
    <n v="0.11798152096659559"/>
  </r>
  <r>
    <x v="3"/>
    <d v="2010-03-02T00:00:00"/>
    <x v="2"/>
    <x v="1"/>
    <x v="1"/>
    <x v="4"/>
    <x v="0"/>
    <n v="26274"/>
    <n v="30244"/>
    <n v="3970"/>
    <n v="0.15109994671538404"/>
  </r>
  <r>
    <x v="3"/>
    <d v="2010-03-02T00:00:00"/>
    <x v="2"/>
    <x v="1"/>
    <x v="1"/>
    <x v="5"/>
    <x v="1"/>
    <n v="161539"/>
    <n v="179455"/>
    <n v="17916"/>
    <n v="0.11090820173456564"/>
  </r>
  <r>
    <x v="3"/>
    <d v="2010-03-02T00:00:00"/>
    <x v="2"/>
    <x v="1"/>
    <x v="1"/>
    <x v="6"/>
    <x v="1"/>
    <n v="487258"/>
    <n v="513238"/>
    <n v="25980"/>
    <n v="5.331877567941419E-2"/>
  </r>
  <r>
    <x v="3"/>
    <d v="2010-03-02T00:00:00"/>
    <x v="2"/>
    <x v="1"/>
    <x v="1"/>
    <x v="7"/>
    <x v="1"/>
    <n v="115798"/>
    <n v="128341"/>
    <n v="12543"/>
    <n v="0.10831793295220989"/>
  </r>
  <r>
    <x v="3"/>
    <d v="2010-03-02T00:00:00"/>
    <x v="2"/>
    <x v="1"/>
    <x v="1"/>
    <x v="8"/>
    <x v="1"/>
    <n v="204483"/>
    <n v="213824"/>
    <n v="9341"/>
    <n v="4.5681059061144447E-2"/>
  </r>
  <r>
    <x v="3"/>
    <d v="2010-03-02T00:00:00"/>
    <x v="2"/>
    <x v="1"/>
    <x v="1"/>
    <x v="9"/>
    <x v="2"/>
    <n v="352523"/>
    <n v="386008"/>
    <n v="33485"/>
    <n v="9.4986710087001422E-2"/>
  </r>
  <r>
    <x v="3"/>
    <d v="2010-03-02T00:00:00"/>
    <x v="2"/>
    <x v="1"/>
    <x v="1"/>
    <x v="10"/>
    <x v="2"/>
    <n v="116111"/>
    <n v="121797"/>
    <n v="5686"/>
    <n v="4.8970381789839035E-2"/>
  </r>
  <r>
    <x v="3"/>
    <d v="2010-03-02T00:00:00"/>
    <x v="2"/>
    <x v="1"/>
    <x v="1"/>
    <x v="11"/>
    <x v="2"/>
    <n v="130957"/>
    <n v="141885"/>
    <n v="10928"/>
    <n v="8.3447238406499841E-2"/>
  </r>
  <r>
    <x v="3"/>
    <d v="2010-03-02T00:00:00"/>
    <x v="2"/>
    <x v="1"/>
    <x v="1"/>
    <x v="12"/>
    <x v="2"/>
    <n v="9346"/>
    <n v="10120"/>
    <n v="774"/>
    <n v="8.2816178044083033E-2"/>
  </r>
  <r>
    <x v="3"/>
    <d v="2010-03-02T00:00:00"/>
    <x v="2"/>
    <x v="1"/>
    <x v="1"/>
    <x v="26"/>
    <x v="3"/>
    <n v="9776"/>
    <n v="10985"/>
    <n v="1209"/>
    <n v="0.12367021276595745"/>
  </r>
  <r>
    <x v="3"/>
    <d v="2010-03-02T00:00:00"/>
    <x v="2"/>
    <x v="1"/>
    <x v="1"/>
    <x v="13"/>
    <x v="3"/>
    <n v="75301"/>
    <n v="85672"/>
    <n v="10371"/>
    <n v="0.13772725461813257"/>
  </r>
  <r>
    <x v="3"/>
    <d v="2010-03-02T00:00:00"/>
    <x v="2"/>
    <x v="1"/>
    <x v="1"/>
    <x v="14"/>
    <x v="3"/>
    <n v="92818"/>
    <n v="106988"/>
    <n v="14170"/>
    <n v="0.15266435389687344"/>
  </r>
  <r>
    <x v="3"/>
    <d v="2010-03-02T00:00:00"/>
    <x v="2"/>
    <x v="1"/>
    <x v="1"/>
    <x v="15"/>
    <x v="3"/>
    <n v="457530"/>
    <n v="496601"/>
    <n v="39071"/>
    <n v="8.5395493191703281E-2"/>
  </r>
  <r>
    <x v="3"/>
    <d v="2010-03-02T00:00:00"/>
    <x v="2"/>
    <x v="1"/>
    <x v="1"/>
    <x v="16"/>
    <x v="3"/>
    <n v="96976"/>
    <n v="109219"/>
    <n v="12243"/>
    <n v="0.12624773139745918"/>
  </r>
  <r>
    <x v="3"/>
    <d v="2010-03-02T00:00:00"/>
    <x v="2"/>
    <x v="1"/>
    <x v="1"/>
    <x v="17"/>
    <x v="4"/>
    <n v="473571"/>
    <n v="562022"/>
    <n v="88451"/>
    <n v="0.18677452800108116"/>
  </r>
  <r>
    <x v="3"/>
    <d v="2010-03-02T00:00:00"/>
    <x v="2"/>
    <x v="1"/>
    <x v="1"/>
    <x v="18"/>
    <x v="5"/>
    <n v="59367"/>
    <n v="71009"/>
    <n v="11642"/>
    <n v="0.19610221166641401"/>
  </r>
  <r>
    <x v="3"/>
    <d v="2010-03-02T00:00:00"/>
    <x v="2"/>
    <x v="1"/>
    <x v="1"/>
    <x v="20"/>
    <x v="5"/>
    <n v="51691"/>
    <n v="97968"/>
    <n v="46277"/>
    <n v="0.89526223133620941"/>
  </r>
  <r>
    <x v="3"/>
    <d v="2010-03-02T00:00:00"/>
    <x v="2"/>
    <x v="1"/>
    <x v="1"/>
    <x v="21"/>
    <x v="5"/>
    <n v="1067"/>
    <n v="1195"/>
    <n v="128"/>
    <n v="0.11996251171508904"/>
  </r>
  <r>
    <x v="3"/>
    <d v="2010-03-02T00:00:00"/>
    <x v="2"/>
    <x v="1"/>
    <x v="1"/>
    <x v="22"/>
    <x v="6"/>
    <n v="7729"/>
    <n v="9191"/>
    <n v="1462"/>
    <n v="0.18915771768663475"/>
  </r>
  <r>
    <x v="3"/>
    <d v="2010-03-02T00:00:00"/>
    <x v="2"/>
    <x v="1"/>
    <x v="1"/>
    <x v="23"/>
    <x v="6"/>
    <n v="168595"/>
    <n v="185001"/>
    <n v="16406"/>
    <n v="9.7310121889735757E-2"/>
  </r>
  <r>
    <x v="3"/>
    <d v="2010-03-02T00:00:00"/>
    <x v="2"/>
    <x v="1"/>
    <x v="1"/>
    <x v="24"/>
    <x v="6"/>
    <n v="227209"/>
    <n v="245684"/>
    <n v="18475"/>
    <n v="8.131280010915061E-2"/>
  </r>
  <r>
    <x v="3"/>
    <d v="2010-03-02T00:00:00"/>
    <x v="2"/>
    <x v="1"/>
    <x v="1"/>
    <x v="25"/>
    <x v="6"/>
    <n v="318007"/>
    <n v="332164"/>
    <n v="14157"/>
    <n v="4.4517887971019507E-2"/>
  </r>
  <r>
    <x v="3"/>
    <d v="2010-03-03T00:00:00"/>
    <x v="2"/>
    <x v="1"/>
    <x v="1"/>
    <x v="0"/>
    <x v="0"/>
    <n v="6992"/>
    <n v="8111"/>
    <n v="1119"/>
    <n v="0.16004004576659039"/>
  </r>
  <r>
    <x v="3"/>
    <d v="2010-03-03T00:00:00"/>
    <x v="2"/>
    <x v="1"/>
    <x v="1"/>
    <x v="1"/>
    <x v="0"/>
    <n v="138889"/>
    <n v="166224"/>
    <n v="27335"/>
    <n v="0.19681184255052597"/>
  </r>
  <r>
    <x v="3"/>
    <d v="2010-03-03T00:00:00"/>
    <x v="2"/>
    <x v="1"/>
    <x v="1"/>
    <x v="2"/>
    <x v="0"/>
    <n v="88175"/>
    <n v="94926"/>
    <n v="6751"/>
    <n v="7.6563651828749649E-2"/>
  </r>
  <r>
    <x v="3"/>
    <d v="2010-03-03T00:00:00"/>
    <x v="2"/>
    <x v="1"/>
    <x v="1"/>
    <x v="3"/>
    <x v="0"/>
    <n v="618"/>
    <n v="710"/>
    <n v="92"/>
    <n v="0.14886731391585761"/>
  </r>
  <r>
    <x v="3"/>
    <d v="2010-03-03T00:00:00"/>
    <x v="2"/>
    <x v="1"/>
    <x v="1"/>
    <x v="4"/>
    <x v="0"/>
    <n v="21092"/>
    <n v="23751"/>
    <n v="2659"/>
    <n v="0.12606675516783614"/>
  </r>
  <r>
    <x v="3"/>
    <d v="2010-03-03T00:00:00"/>
    <x v="2"/>
    <x v="1"/>
    <x v="1"/>
    <x v="5"/>
    <x v="1"/>
    <n v="154605"/>
    <n v="172811"/>
    <n v="18206"/>
    <n v="0.11775815788622619"/>
  </r>
  <r>
    <x v="3"/>
    <d v="2010-03-03T00:00:00"/>
    <x v="2"/>
    <x v="1"/>
    <x v="1"/>
    <x v="6"/>
    <x v="1"/>
    <n v="455894"/>
    <n v="482867"/>
    <n v="26973"/>
    <n v="5.9165069073074006E-2"/>
  </r>
  <r>
    <x v="3"/>
    <d v="2010-03-03T00:00:00"/>
    <x v="2"/>
    <x v="1"/>
    <x v="1"/>
    <x v="7"/>
    <x v="1"/>
    <n v="87079"/>
    <n v="96470"/>
    <n v="9391"/>
    <n v="0.107844600879661"/>
  </r>
  <r>
    <x v="3"/>
    <d v="2010-03-03T00:00:00"/>
    <x v="2"/>
    <x v="1"/>
    <x v="1"/>
    <x v="8"/>
    <x v="1"/>
    <n v="189774"/>
    <n v="203653"/>
    <n v="13879"/>
    <n v="7.313435981746709E-2"/>
  </r>
  <r>
    <x v="3"/>
    <d v="2010-03-03T00:00:00"/>
    <x v="2"/>
    <x v="1"/>
    <x v="1"/>
    <x v="9"/>
    <x v="2"/>
    <n v="355079"/>
    <n v="389593"/>
    <n v="34514"/>
    <n v="9.7200904587429846E-2"/>
  </r>
  <r>
    <x v="3"/>
    <d v="2010-03-03T00:00:00"/>
    <x v="2"/>
    <x v="1"/>
    <x v="1"/>
    <x v="10"/>
    <x v="2"/>
    <n v="103354"/>
    <n v="108457"/>
    <n v="5103"/>
    <n v="4.9373996168508232E-2"/>
  </r>
  <r>
    <x v="3"/>
    <d v="2010-03-03T00:00:00"/>
    <x v="2"/>
    <x v="1"/>
    <x v="1"/>
    <x v="11"/>
    <x v="2"/>
    <n v="118887"/>
    <n v="129993"/>
    <n v="11106"/>
    <n v="9.3416437457417553E-2"/>
  </r>
  <r>
    <x v="3"/>
    <d v="2010-03-03T00:00:00"/>
    <x v="2"/>
    <x v="1"/>
    <x v="1"/>
    <x v="12"/>
    <x v="2"/>
    <n v="17282"/>
    <n v="17884"/>
    <n v="602"/>
    <n v="3.4833931257956252E-2"/>
  </r>
  <r>
    <x v="3"/>
    <d v="2010-03-03T00:00:00"/>
    <x v="2"/>
    <x v="1"/>
    <x v="1"/>
    <x v="26"/>
    <x v="3"/>
    <n v="5641"/>
    <n v="6280"/>
    <n v="639"/>
    <n v="0.11327778762630739"/>
  </r>
  <r>
    <x v="3"/>
    <d v="2010-03-03T00:00:00"/>
    <x v="2"/>
    <x v="1"/>
    <x v="1"/>
    <x v="13"/>
    <x v="3"/>
    <n v="59156"/>
    <n v="67371"/>
    <n v="8215"/>
    <n v="0.13887010615998377"/>
  </r>
  <r>
    <x v="3"/>
    <d v="2010-03-03T00:00:00"/>
    <x v="2"/>
    <x v="1"/>
    <x v="1"/>
    <x v="14"/>
    <x v="3"/>
    <n v="60242"/>
    <n v="69573"/>
    <n v="9331"/>
    <n v="0.15489193585870323"/>
  </r>
  <r>
    <x v="3"/>
    <d v="2010-03-03T00:00:00"/>
    <x v="2"/>
    <x v="1"/>
    <x v="1"/>
    <x v="15"/>
    <x v="3"/>
    <n v="397056"/>
    <n v="435028"/>
    <n v="37972"/>
    <n v="9.5633865248226951E-2"/>
  </r>
  <r>
    <x v="3"/>
    <d v="2010-03-03T00:00:00"/>
    <x v="2"/>
    <x v="1"/>
    <x v="1"/>
    <x v="16"/>
    <x v="3"/>
    <n v="87198"/>
    <n v="98567"/>
    <n v="11369"/>
    <n v="0.1303814307667607"/>
  </r>
  <r>
    <x v="3"/>
    <d v="2010-03-03T00:00:00"/>
    <x v="2"/>
    <x v="1"/>
    <x v="1"/>
    <x v="17"/>
    <x v="4"/>
    <n v="562653"/>
    <n v="673520"/>
    <n v="110867"/>
    <n v="0.1970432931131621"/>
  </r>
  <r>
    <x v="3"/>
    <d v="2010-03-03T00:00:00"/>
    <x v="2"/>
    <x v="1"/>
    <x v="1"/>
    <x v="18"/>
    <x v="5"/>
    <n v="62085"/>
    <n v="71551"/>
    <n v="9466"/>
    <n v="0.15246839011033261"/>
  </r>
  <r>
    <x v="3"/>
    <d v="2010-03-03T00:00:00"/>
    <x v="2"/>
    <x v="1"/>
    <x v="1"/>
    <x v="20"/>
    <x v="5"/>
    <n v="59673"/>
    <n v="106538"/>
    <n v="46865"/>
    <n v="0.78536356476128233"/>
  </r>
  <r>
    <x v="3"/>
    <d v="2010-03-03T00:00:00"/>
    <x v="2"/>
    <x v="1"/>
    <x v="1"/>
    <x v="21"/>
    <x v="5"/>
    <n v="7763"/>
    <n v="8693"/>
    <n v="930"/>
    <n v="0.11979904676027309"/>
  </r>
  <r>
    <x v="3"/>
    <d v="2010-03-03T00:00:00"/>
    <x v="2"/>
    <x v="1"/>
    <x v="1"/>
    <x v="22"/>
    <x v="6"/>
    <n v="5586"/>
    <n v="6939"/>
    <n v="1353"/>
    <n v="0.24221267454350162"/>
  </r>
  <r>
    <x v="3"/>
    <d v="2010-03-03T00:00:00"/>
    <x v="2"/>
    <x v="1"/>
    <x v="1"/>
    <x v="23"/>
    <x v="6"/>
    <n v="164881"/>
    <n v="180794"/>
    <n v="15913"/>
    <n v="9.6512029888222411E-2"/>
  </r>
  <r>
    <x v="3"/>
    <d v="2010-03-03T00:00:00"/>
    <x v="2"/>
    <x v="1"/>
    <x v="1"/>
    <x v="24"/>
    <x v="6"/>
    <n v="261385"/>
    <n v="282374"/>
    <n v="20989"/>
    <n v="8.0299175545651053E-2"/>
  </r>
  <r>
    <x v="3"/>
    <d v="2010-03-03T00:00:00"/>
    <x v="2"/>
    <x v="1"/>
    <x v="1"/>
    <x v="25"/>
    <x v="6"/>
    <n v="344553"/>
    <n v="359604"/>
    <n v="15051"/>
    <n v="4.3682684521684619E-2"/>
  </r>
  <r>
    <x v="3"/>
    <d v="2010-03-04T00:00:00"/>
    <x v="2"/>
    <x v="1"/>
    <x v="1"/>
    <x v="0"/>
    <x v="0"/>
    <n v="9026"/>
    <n v="10412"/>
    <n v="1386"/>
    <n v="0.1535563926434744"/>
  </r>
  <r>
    <x v="3"/>
    <d v="2010-03-04T00:00:00"/>
    <x v="2"/>
    <x v="1"/>
    <x v="1"/>
    <x v="1"/>
    <x v="0"/>
    <n v="241341"/>
    <n v="287926"/>
    <n v="46585"/>
    <n v="0.19302563592593053"/>
  </r>
  <r>
    <x v="3"/>
    <d v="2010-03-04T00:00:00"/>
    <x v="2"/>
    <x v="1"/>
    <x v="1"/>
    <x v="2"/>
    <x v="0"/>
    <n v="204496"/>
    <n v="220975"/>
    <n v="16479"/>
    <n v="8.0583483295516789E-2"/>
  </r>
  <r>
    <x v="3"/>
    <d v="2010-03-04T00:00:00"/>
    <x v="2"/>
    <x v="1"/>
    <x v="1"/>
    <x v="3"/>
    <x v="0"/>
    <n v="1097"/>
    <n v="1370"/>
    <n v="273"/>
    <n v="0.2488605287146764"/>
  </r>
  <r>
    <x v="3"/>
    <d v="2010-03-04T00:00:00"/>
    <x v="2"/>
    <x v="1"/>
    <x v="1"/>
    <x v="4"/>
    <x v="0"/>
    <n v="21301"/>
    <n v="24263"/>
    <n v="2962"/>
    <n v="0.1390545044833576"/>
  </r>
  <r>
    <x v="3"/>
    <d v="2010-03-04T00:00:00"/>
    <x v="2"/>
    <x v="1"/>
    <x v="1"/>
    <x v="5"/>
    <x v="1"/>
    <n v="196252"/>
    <n v="218452"/>
    <n v="22200"/>
    <n v="0.11311986629435623"/>
  </r>
  <r>
    <x v="3"/>
    <d v="2010-03-04T00:00:00"/>
    <x v="2"/>
    <x v="1"/>
    <x v="1"/>
    <x v="6"/>
    <x v="1"/>
    <n v="565673"/>
    <n v="597732"/>
    <n v="32059"/>
    <n v="5.6674085558264226E-2"/>
  </r>
  <r>
    <x v="3"/>
    <d v="2010-03-04T00:00:00"/>
    <x v="2"/>
    <x v="1"/>
    <x v="1"/>
    <x v="7"/>
    <x v="1"/>
    <n v="134631"/>
    <n v="148926"/>
    <n v="14295"/>
    <n v="0.10617911179446042"/>
  </r>
  <r>
    <x v="3"/>
    <d v="2010-03-04T00:00:00"/>
    <x v="2"/>
    <x v="1"/>
    <x v="1"/>
    <x v="8"/>
    <x v="1"/>
    <n v="222372"/>
    <n v="234071"/>
    <n v="11699"/>
    <n v="5.2610040832478909E-2"/>
  </r>
  <r>
    <x v="3"/>
    <d v="2010-03-04T00:00:00"/>
    <x v="2"/>
    <x v="1"/>
    <x v="1"/>
    <x v="9"/>
    <x v="2"/>
    <n v="447707"/>
    <n v="491927"/>
    <n v="44220"/>
    <n v="9.8769954456821088E-2"/>
  </r>
  <r>
    <x v="3"/>
    <d v="2010-03-04T00:00:00"/>
    <x v="2"/>
    <x v="1"/>
    <x v="1"/>
    <x v="10"/>
    <x v="2"/>
    <n v="126543"/>
    <n v="132297"/>
    <n v="5754"/>
    <n v="4.5470709561176832E-2"/>
  </r>
  <r>
    <x v="3"/>
    <d v="2010-03-04T00:00:00"/>
    <x v="2"/>
    <x v="1"/>
    <x v="1"/>
    <x v="11"/>
    <x v="2"/>
    <n v="163223"/>
    <n v="178654"/>
    <n v="15431"/>
    <n v="9.4539372514902922E-2"/>
  </r>
  <r>
    <x v="3"/>
    <d v="2010-03-04T00:00:00"/>
    <x v="2"/>
    <x v="1"/>
    <x v="1"/>
    <x v="12"/>
    <x v="2"/>
    <n v="6090"/>
    <n v="6784"/>
    <n v="694"/>
    <n v="0.11395730706075534"/>
  </r>
  <r>
    <x v="3"/>
    <d v="2010-03-04T00:00:00"/>
    <x v="2"/>
    <x v="1"/>
    <x v="1"/>
    <x v="26"/>
    <x v="3"/>
    <n v="6569"/>
    <n v="7411"/>
    <n v="842"/>
    <n v="0.12817780484091948"/>
  </r>
  <r>
    <x v="3"/>
    <d v="2010-03-04T00:00:00"/>
    <x v="2"/>
    <x v="1"/>
    <x v="1"/>
    <x v="13"/>
    <x v="3"/>
    <n v="109744"/>
    <n v="124752"/>
    <n v="15008"/>
    <n v="0.13675462895465812"/>
  </r>
  <r>
    <x v="3"/>
    <d v="2010-03-04T00:00:00"/>
    <x v="2"/>
    <x v="1"/>
    <x v="1"/>
    <x v="14"/>
    <x v="3"/>
    <n v="126794"/>
    <n v="144299"/>
    <n v="17505"/>
    <n v="0.13805858321371675"/>
  </r>
  <r>
    <x v="3"/>
    <d v="2010-03-04T00:00:00"/>
    <x v="2"/>
    <x v="1"/>
    <x v="1"/>
    <x v="15"/>
    <x v="3"/>
    <n v="483679"/>
    <n v="530349"/>
    <n v="46670"/>
    <n v="9.6489613979519481E-2"/>
  </r>
  <r>
    <x v="3"/>
    <d v="2010-03-04T00:00:00"/>
    <x v="2"/>
    <x v="1"/>
    <x v="1"/>
    <x v="16"/>
    <x v="3"/>
    <n v="122545"/>
    <n v="137966"/>
    <n v="15421"/>
    <n v="0.12583948753519114"/>
  </r>
  <r>
    <x v="3"/>
    <d v="2010-03-04T00:00:00"/>
    <x v="2"/>
    <x v="1"/>
    <x v="1"/>
    <x v="17"/>
    <x v="4"/>
    <n v="764999"/>
    <n v="916934"/>
    <n v="151935"/>
    <n v="0.19860810275568988"/>
  </r>
  <r>
    <x v="3"/>
    <d v="2010-03-04T00:00:00"/>
    <x v="2"/>
    <x v="1"/>
    <x v="1"/>
    <x v="18"/>
    <x v="5"/>
    <n v="88614"/>
    <n v="105164"/>
    <n v="16550"/>
    <n v="0.18676507098201187"/>
  </r>
  <r>
    <x v="3"/>
    <d v="2010-03-04T00:00:00"/>
    <x v="2"/>
    <x v="1"/>
    <x v="1"/>
    <x v="20"/>
    <x v="5"/>
    <n v="74559"/>
    <n v="138604"/>
    <n v="64045"/>
    <n v="0.85898416019528157"/>
  </r>
  <r>
    <x v="3"/>
    <d v="2010-03-04T00:00:00"/>
    <x v="2"/>
    <x v="1"/>
    <x v="1"/>
    <x v="21"/>
    <x v="5"/>
    <n v="6666"/>
    <n v="7465"/>
    <n v="799"/>
    <n v="0.11986198619861986"/>
  </r>
  <r>
    <x v="3"/>
    <d v="2010-03-04T00:00:00"/>
    <x v="2"/>
    <x v="1"/>
    <x v="1"/>
    <x v="22"/>
    <x v="6"/>
    <n v="7218"/>
    <n v="8895"/>
    <n v="1677"/>
    <n v="0.23233582709891937"/>
  </r>
  <r>
    <x v="3"/>
    <d v="2010-03-04T00:00:00"/>
    <x v="2"/>
    <x v="1"/>
    <x v="1"/>
    <x v="23"/>
    <x v="6"/>
    <n v="232431"/>
    <n v="257737"/>
    <n v="25306"/>
    <n v="0.10887532213861317"/>
  </r>
  <r>
    <x v="3"/>
    <d v="2010-03-04T00:00:00"/>
    <x v="2"/>
    <x v="1"/>
    <x v="1"/>
    <x v="24"/>
    <x v="6"/>
    <n v="341604"/>
    <n v="368839"/>
    <n v="27235"/>
    <n v="7.9726818187140669E-2"/>
  </r>
  <r>
    <x v="3"/>
    <d v="2010-03-04T00:00:00"/>
    <x v="2"/>
    <x v="1"/>
    <x v="1"/>
    <x v="25"/>
    <x v="6"/>
    <n v="304881"/>
    <n v="318496"/>
    <n v="13615"/>
    <n v="4.4656767722488444E-2"/>
  </r>
  <r>
    <x v="3"/>
    <d v="2010-03-05T00:00:00"/>
    <x v="2"/>
    <x v="1"/>
    <x v="1"/>
    <x v="0"/>
    <x v="0"/>
    <n v="10778"/>
    <n v="12542"/>
    <n v="1764"/>
    <n v="0.16366672852106143"/>
  </r>
  <r>
    <x v="3"/>
    <d v="2010-03-05T00:00:00"/>
    <x v="2"/>
    <x v="1"/>
    <x v="1"/>
    <x v="1"/>
    <x v="0"/>
    <n v="289460"/>
    <n v="312875"/>
    <n v="23415"/>
    <n v="8.0892005803910733E-2"/>
  </r>
  <r>
    <x v="3"/>
    <d v="2010-03-05T00:00:00"/>
    <x v="2"/>
    <x v="1"/>
    <x v="1"/>
    <x v="2"/>
    <x v="0"/>
    <n v="212280"/>
    <n v="234535"/>
    <n v="22255"/>
    <n v="0.10483794987752025"/>
  </r>
  <r>
    <x v="3"/>
    <d v="2010-03-05T00:00:00"/>
    <x v="2"/>
    <x v="1"/>
    <x v="1"/>
    <x v="3"/>
    <x v="0"/>
    <n v="1650"/>
    <n v="1830"/>
    <n v="180"/>
    <n v="0.10909090909090909"/>
  </r>
  <r>
    <x v="3"/>
    <d v="2010-03-05T00:00:00"/>
    <x v="2"/>
    <x v="1"/>
    <x v="1"/>
    <x v="4"/>
    <x v="0"/>
    <n v="39725"/>
    <n v="44428"/>
    <n v="4703"/>
    <n v="0.11838892385147892"/>
  </r>
  <r>
    <x v="3"/>
    <d v="2010-03-05T00:00:00"/>
    <x v="2"/>
    <x v="1"/>
    <x v="1"/>
    <x v="5"/>
    <x v="1"/>
    <n v="200162"/>
    <n v="222926"/>
    <n v="22764"/>
    <n v="0.11372788041686234"/>
  </r>
  <r>
    <x v="3"/>
    <d v="2010-03-05T00:00:00"/>
    <x v="2"/>
    <x v="1"/>
    <x v="1"/>
    <x v="6"/>
    <x v="1"/>
    <n v="580014"/>
    <n v="611293"/>
    <n v="31279"/>
    <n v="5.3928008634274348E-2"/>
  </r>
  <r>
    <x v="3"/>
    <d v="2010-03-05T00:00:00"/>
    <x v="2"/>
    <x v="1"/>
    <x v="1"/>
    <x v="7"/>
    <x v="1"/>
    <n v="160042"/>
    <n v="176496"/>
    <n v="16454"/>
    <n v="0.10281051224053686"/>
  </r>
  <r>
    <x v="3"/>
    <d v="2010-03-05T00:00:00"/>
    <x v="2"/>
    <x v="1"/>
    <x v="1"/>
    <x v="8"/>
    <x v="1"/>
    <n v="223491"/>
    <n v="235250"/>
    <n v="11759"/>
    <n v="5.2615094120121171E-2"/>
  </r>
  <r>
    <x v="3"/>
    <d v="2010-03-05T00:00:00"/>
    <x v="2"/>
    <x v="1"/>
    <x v="1"/>
    <x v="9"/>
    <x v="2"/>
    <n v="835840"/>
    <n v="909900"/>
    <n v="74060"/>
    <n v="8.8605474732006126E-2"/>
  </r>
  <r>
    <x v="3"/>
    <d v="2010-03-05T00:00:00"/>
    <x v="2"/>
    <x v="1"/>
    <x v="1"/>
    <x v="10"/>
    <x v="2"/>
    <n v="187222"/>
    <n v="194955"/>
    <n v="7733"/>
    <n v="4.1303906592173999E-2"/>
  </r>
  <r>
    <x v="3"/>
    <d v="2010-03-05T00:00:00"/>
    <x v="2"/>
    <x v="1"/>
    <x v="1"/>
    <x v="11"/>
    <x v="2"/>
    <n v="253327"/>
    <n v="273686"/>
    <n v="20359"/>
    <n v="8.0366482846281687E-2"/>
  </r>
  <r>
    <x v="3"/>
    <d v="2010-03-05T00:00:00"/>
    <x v="2"/>
    <x v="1"/>
    <x v="1"/>
    <x v="12"/>
    <x v="2"/>
    <n v="17854"/>
    <n v="18998"/>
    <n v="1144"/>
    <n v="6.4075277248795789E-2"/>
  </r>
  <r>
    <x v="3"/>
    <d v="2010-03-05T00:00:00"/>
    <x v="2"/>
    <x v="1"/>
    <x v="1"/>
    <x v="26"/>
    <x v="3"/>
    <n v="8236"/>
    <n v="9300"/>
    <n v="1064"/>
    <n v="0.12918892666342885"/>
  </r>
  <r>
    <x v="3"/>
    <d v="2010-03-05T00:00:00"/>
    <x v="2"/>
    <x v="1"/>
    <x v="1"/>
    <x v="13"/>
    <x v="3"/>
    <n v="115123"/>
    <n v="131010"/>
    <n v="15887"/>
    <n v="0.13800022584540014"/>
  </r>
  <r>
    <x v="3"/>
    <d v="2010-03-05T00:00:00"/>
    <x v="2"/>
    <x v="1"/>
    <x v="1"/>
    <x v="14"/>
    <x v="3"/>
    <n v="128999"/>
    <n v="148720"/>
    <n v="19721"/>
    <n v="0.15287715408646579"/>
  </r>
  <r>
    <x v="3"/>
    <d v="2010-03-05T00:00:00"/>
    <x v="2"/>
    <x v="1"/>
    <x v="1"/>
    <x v="15"/>
    <x v="3"/>
    <n v="496788"/>
    <n v="546348"/>
    <n v="49560"/>
    <n v="9.9760863788980414E-2"/>
  </r>
  <r>
    <x v="3"/>
    <d v="2010-03-05T00:00:00"/>
    <x v="2"/>
    <x v="1"/>
    <x v="1"/>
    <x v="16"/>
    <x v="3"/>
    <n v="107041"/>
    <n v="121232"/>
    <n v="14191"/>
    <n v="0.13257536831681319"/>
  </r>
  <r>
    <x v="3"/>
    <d v="2010-03-05T00:00:00"/>
    <x v="2"/>
    <x v="1"/>
    <x v="1"/>
    <x v="17"/>
    <x v="4"/>
    <n v="819282"/>
    <n v="981625"/>
    <n v="162343"/>
    <n v="0.19815277279373891"/>
  </r>
  <r>
    <x v="3"/>
    <d v="2010-03-05T00:00:00"/>
    <x v="2"/>
    <x v="1"/>
    <x v="1"/>
    <x v="18"/>
    <x v="5"/>
    <n v="120223"/>
    <n v="143070"/>
    <n v="22847"/>
    <n v="0.19003851176563552"/>
  </r>
  <r>
    <x v="3"/>
    <d v="2010-03-05T00:00:00"/>
    <x v="2"/>
    <x v="1"/>
    <x v="1"/>
    <x v="20"/>
    <x v="5"/>
    <n v="64869"/>
    <n v="137144"/>
    <n v="72275"/>
    <n v="1.1141685550879465"/>
  </r>
  <r>
    <x v="3"/>
    <d v="2010-03-05T00:00:00"/>
    <x v="2"/>
    <x v="1"/>
    <x v="1"/>
    <x v="21"/>
    <x v="5"/>
    <n v="5192"/>
    <n v="5815"/>
    <n v="623"/>
    <n v="0.11999229583975346"/>
  </r>
  <r>
    <x v="3"/>
    <d v="2010-03-05T00:00:00"/>
    <x v="2"/>
    <x v="1"/>
    <x v="1"/>
    <x v="22"/>
    <x v="6"/>
    <n v="10416"/>
    <n v="12944"/>
    <n v="2528"/>
    <n v="0.24270353302611367"/>
  </r>
  <r>
    <x v="3"/>
    <d v="2010-03-05T00:00:00"/>
    <x v="2"/>
    <x v="1"/>
    <x v="1"/>
    <x v="23"/>
    <x v="6"/>
    <n v="243988"/>
    <n v="266795"/>
    <n v="22807"/>
    <n v="9.3475908651245138E-2"/>
  </r>
  <r>
    <x v="3"/>
    <d v="2010-03-05T00:00:00"/>
    <x v="2"/>
    <x v="1"/>
    <x v="1"/>
    <x v="24"/>
    <x v="6"/>
    <n v="352066"/>
    <n v="378925"/>
    <n v="26859"/>
    <n v="7.6289672959047455E-2"/>
  </r>
  <r>
    <x v="3"/>
    <d v="2010-03-05T00:00:00"/>
    <x v="2"/>
    <x v="1"/>
    <x v="1"/>
    <x v="25"/>
    <x v="6"/>
    <n v="343682"/>
    <n v="359770"/>
    <n v="16088"/>
    <n v="4.6810714555897602E-2"/>
  </r>
  <r>
    <x v="3"/>
    <d v="2010-03-06T00:00:00"/>
    <x v="2"/>
    <x v="1"/>
    <x v="1"/>
    <x v="0"/>
    <x v="0"/>
    <n v="16580"/>
    <n v="18766"/>
    <n v="2186"/>
    <n v="0.13184559710494573"/>
  </r>
  <r>
    <x v="3"/>
    <d v="2010-03-06T00:00:00"/>
    <x v="2"/>
    <x v="1"/>
    <x v="1"/>
    <x v="1"/>
    <x v="0"/>
    <n v="411522"/>
    <n v="474542"/>
    <n v="63020"/>
    <n v="0.15313883583380719"/>
  </r>
  <r>
    <x v="3"/>
    <d v="2010-03-06T00:00:00"/>
    <x v="2"/>
    <x v="1"/>
    <x v="1"/>
    <x v="2"/>
    <x v="0"/>
    <n v="317154"/>
    <n v="352992"/>
    <n v="35838"/>
    <n v="0.11299873247696703"/>
  </r>
  <r>
    <x v="3"/>
    <d v="2010-03-06T00:00:00"/>
    <x v="2"/>
    <x v="1"/>
    <x v="1"/>
    <x v="3"/>
    <x v="0"/>
    <n v="4539"/>
    <n v="5513"/>
    <n v="974"/>
    <n v="0.21458471028860981"/>
  </r>
  <r>
    <x v="3"/>
    <d v="2010-03-06T00:00:00"/>
    <x v="2"/>
    <x v="1"/>
    <x v="1"/>
    <x v="4"/>
    <x v="0"/>
    <n v="44734"/>
    <n v="50568"/>
    <n v="5834"/>
    <n v="0.13041534403362096"/>
  </r>
  <r>
    <x v="3"/>
    <d v="2010-03-06T00:00:00"/>
    <x v="2"/>
    <x v="1"/>
    <x v="1"/>
    <x v="5"/>
    <x v="1"/>
    <n v="282899"/>
    <n v="314955"/>
    <n v="32056"/>
    <n v="0.11331252496474006"/>
  </r>
  <r>
    <x v="3"/>
    <d v="2010-03-06T00:00:00"/>
    <x v="2"/>
    <x v="1"/>
    <x v="1"/>
    <x v="6"/>
    <x v="1"/>
    <n v="1028976"/>
    <n v="1086739"/>
    <n v="57763"/>
    <n v="5.6136391908071716E-2"/>
  </r>
  <r>
    <x v="3"/>
    <d v="2010-03-06T00:00:00"/>
    <x v="2"/>
    <x v="1"/>
    <x v="1"/>
    <x v="7"/>
    <x v="1"/>
    <n v="244677"/>
    <n v="270345"/>
    <n v="25668"/>
    <n v="0.10490565112372638"/>
  </r>
  <r>
    <x v="3"/>
    <d v="2010-03-06T00:00:00"/>
    <x v="2"/>
    <x v="1"/>
    <x v="1"/>
    <x v="8"/>
    <x v="1"/>
    <n v="370436"/>
    <n v="392234"/>
    <n v="21798"/>
    <n v="5.884417281257761E-2"/>
  </r>
  <r>
    <x v="3"/>
    <d v="2010-03-06T00:00:00"/>
    <x v="2"/>
    <x v="1"/>
    <x v="1"/>
    <x v="9"/>
    <x v="2"/>
    <n v="732691"/>
    <n v="800591"/>
    <n v="67900"/>
    <n v="9.2672081409489127E-2"/>
  </r>
  <r>
    <x v="3"/>
    <d v="2010-03-06T00:00:00"/>
    <x v="2"/>
    <x v="1"/>
    <x v="1"/>
    <x v="10"/>
    <x v="2"/>
    <n v="264239"/>
    <n v="278825"/>
    <n v="14586"/>
    <n v="5.5200027248059523E-2"/>
  </r>
  <r>
    <x v="3"/>
    <d v="2010-03-06T00:00:00"/>
    <x v="2"/>
    <x v="1"/>
    <x v="1"/>
    <x v="11"/>
    <x v="2"/>
    <n v="318152"/>
    <n v="345397"/>
    <n v="27245"/>
    <n v="8.5635168095752973E-2"/>
  </r>
  <r>
    <x v="3"/>
    <d v="2010-03-06T00:00:00"/>
    <x v="2"/>
    <x v="1"/>
    <x v="1"/>
    <x v="12"/>
    <x v="2"/>
    <n v="20402"/>
    <n v="22015"/>
    <n v="1613"/>
    <n v="7.9060876384668174E-2"/>
  </r>
  <r>
    <x v="3"/>
    <d v="2010-03-06T00:00:00"/>
    <x v="2"/>
    <x v="1"/>
    <x v="1"/>
    <x v="26"/>
    <x v="3"/>
    <n v="7105"/>
    <n v="8169"/>
    <n v="1064"/>
    <n v="0.14975369458128079"/>
  </r>
  <r>
    <x v="3"/>
    <d v="2010-03-06T00:00:00"/>
    <x v="2"/>
    <x v="1"/>
    <x v="1"/>
    <x v="13"/>
    <x v="3"/>
    <n v="150208"/>
    <n v="171118"/>
    <n v="20910"/>
    <n v="0.13920696634000851"/>
  </r>
  <r>
    <x v="3"/>
    <d v="2010-03-06T00:00:00"/>
    <x v="2"/>
    <x v="1"/>
    <x v="1"/>
    <x v="14"/>
    <x v="3"/>
    <n v="252206"/>
    <n v="284398"/>
    <n v="32192"/>
    <n v="0.12764168972982404"/>
  </r>
  <r>
    <x v="3"/>
    <d v="2010-03-06T00:00:00"/>
    <x v="2"/>
    <x v="1"/>
    <x v="1"/>
    <x v="15"/>
    <x v="3"/>
    <n v="897630"/>
    <n v="981236"/>
    <n v="83606"/>
    <n v="9.3140826398404694E-2"/>
  </r>
  <r>
    <x v="3"/>
    <d v="2010-03-06T00:00:00"/>
    <x v="2"/>
    <x v="1"/>
    <x v="1"/>
    <x v="16"/>
    <x v="3"/>
    <n v="216249"/>
    <n v="245085"/>
    <n v="28836"/>
    <n v="0.13334628137008725"/>
  </r>
  <r>
    <x v="3"/>
    <d v="2010-03-06T00:00:00"/>
    <x v="2"/>
    <x v="1"/>
    <x v="1"/>
    <x v="17"/>
    <x v="4"/>
    <n v="1122699"/>
    <n v="1351782"/>
    <n v="229083"/>
    <n v="0.2040466768029543"/>
  </r>
  <r>
    <x v="3"/>
    <d v="2010-03-06T00:00:00"/>
    <x v="2"/>
    <x v="1"/>
    <x v="1"/>
    <x v="18"/>
    <x v="5"/>
    <n v="111888"/>
    <n v="144802"/>
    <n v="32914"/>
    <n v="0.29416916916916919"/>
  </r>
  <r>
    <x v="3"/>
    <d v="2010-03-06T00:00:00"/>
    <x v="2"/>
    <x v="1"/>
    <x v="1"/>
    <x v="20"/>
    <x v="5"/>
    <n v="79570"/>
    <n v="162140"/>
    <n v="82570"/>
    <n v="1.0377026517531733"/>
  </r>
  <r>
    <x v="3"/>
    <d v="2010-03-06T00:00:00"/>
    <x v="2"/>
    <x v="1"/>
    <x v="1"/>
    <x v="21"/>
    <x v="5"/>
    <n v="5988"/>
    <n v="6707"/>
    <n v="719"/>
    <n v="0.12007348029392118"/>
  </r>
  <r>
    <x v="3"/>
    <d v="2010-03-06T00:00:00"/>
    <x v="2"/>
    <x v="1"/>
    <x v="1"/>
    <x v="22"/>
    <x v="6"/>
    <n v="8706"/>
    <n v="10860"/>
    <n v="2154"/>
    <n v="0.24741557546519641"/>
  </r>
  <r>
    <x v="3"/>
    <d v="2010-03-06T00:00:00"/>
    <x v="2"/>
    <x v="1"/>
    <x v="1"/>
    <x v="23"/>
    <x v="6"/>
    <n v="338981"/>
    <n v="372412"/>
    <n v="33431"/>
    <n v="9.8622046663382312E-2"/>
  </r>
  <r>
    <x v="3"/>
    <d v="2010-03-06T00:00:00"/>
    <x v="2"/>
    <x v="1"/>
    <x v="1"/>
    <x v="24"/>
    <x v="6"/>
    <n v="570444"/>
    <n v="615369"/>
    <n v="44925"/>
    <n v="7.8754443906851504E-2"/>
  </r>
  <r>
    <x v="3"/>
    <d v="2010-03-06T00:00:00"/>
    <x v="2"/>
    <x v="1"/>
    <x v="1"/>
    <x v="25"/>
    <x v="6"/>
    <n v="564624"/>
    <n v="602198"/>
    <n v="37574"/>
    <n v="6.6546940973107774E-2"/>
  </r>
  <r>
    <x v="3"/>
    <d v="2010-03-07T00:00:00"/>
    <x v="3"/>
    <x v="1"/>
    <x v="1"/>
    <x v="0"/>
    <x v="0"/>
    <n v="10309"/>
    <n v="11671"/>
    <n v="1362"/>
    <n v="0.13211756717431369"/>
  </r>
  <r>
    <x v="3"/>
    <d v="2010-03-07T00:00:00"/>
    <x v="3"/>
    <x v="1"/>
    <x v="1"/>
    <x v="1"/>
    <x v="0"/>
    <n v="422734"/>
    <n v="499860"/>
    <n v="77126"/>
    <n v="0.18244569871361188"/>
  </r>
  <r>
    <x v="3"/>
    <d v="2010-03-07T00:00:00"/>
    <x v="3"/>
    <x v="1"/>
    <x v="1"/>
    <x v="2"/>
    <x v="0"/>
    <n v="203290"/>
    <n v="228857"/>
    <n v="25567"/>
    <n v="0.12576614688376211"/>
  </r>
  <r>
    <x v="3"/>
    <d v="2010-03-07T00:00:00"/>
    <x v="3"/>
    <x v="1"/>
    <x v="1"/>
    <x v="3"/>
    <x v="0"/>
    <n v="1828"/>
    <n v="2128"/>
    <n v="300"/>
    <n v="0.16411378555798686"/>
  </r>
  <r>
    <x v="3"/>
    <d v="2010-03-07T00:00:00"/>
    <x v="3"/>
    <x v="1"/>
    <x v="1"/>
    <x v="4"/>
    <x v="0"/>
    <n v="25679"/>
    <n v="29222"/>
    <n v="3543"/>
    <n v="0.13797266248685697"/>
  </r>
  <r>
    <x v="3"/>
    <d v="2010-03-07T00:00:00"/>
    <x v="3"/>
    <x v="1"/>
    <x v="1"/>
    <x v="5"/>
    <x v="1"/>
    <n v="167193"/>
    <n v="187633"/>
    <n v="20440"/>
    <n v="0.1222539221139641"/>
  </r>
  <r>
    <x v="3"/>
    <d v="2010-03-07T00:00:00"/>
    <x v="3"/>
    <x v="1"/>
    <x v="1"/>
    <x v="6"/>
    <x v="1"/>
    <n v="688732"/>
    <n v="726547"/>
    <n v="37815"/>
    <n v="5.490524616251314E-2"/>
  </r>
  <r>
    <x v="3"/>
    <d v="2010-03-07T00:00:00"/>
    <x v="3"/>
    <x v="1"/>
    <x v="1"/>
    <x v="7"/>
    <x v="1"/>
    <n v="151234"/>
    <n v="166613"/>
    <n v="15379"/>
    <n v="0.10169009614240183"/>
  </r>
  <r>
    <x v="3"/>
    <d v="2010-03-07T00:00:00"/>
    <x v="3"/>
    <x v="1"/>
    <x v="1"/>
    <x v="8"/>
    <x v="1"/>
    <n v="224023"/>
    <n v="236919"/>
    <n v="12896"/>
    <n v="5.756551782629462E-2"/>
  </r>
  <r>
    <x v="3"/>
    <d v="2010-03-07T00:00:00"/>
    <x v="3"/>
    <x v="1"/>
    <x v="1"/>
    <x v="9"/>
    <x v="2"/>
    <n v="608129"/>
    <n v="682265"/>
    <n v="74136"/>
    <n v="0.12190834510441041"/>
  </r>
  <r>
    <x v="3"/>
    <d v="2010-03-07T00:00:00"/>
    <x v="3"/>
    <x v="1"/>
    <x v="1"/>
    <x v="10"/>
    <x v="2"/>
    <n v="231808"/>
    <n v="244127"/>
    <n v="12319"/>
    <n v="5.3143118442849253E-2"/>
  </r>
  <r>
    <x v="3"/>
    <d v="2010-03-07T00:00:00"/>
    <x v="3"/>
    <x v="1"/>
    <x v="1"/>
    <x v="11"/>
    <x v="2"/>
    <n v="268284"/>
    <n v="289550"/>
    <n v="21266"/>
    <n v="7.9266747178363225E-2"/>
  </r>
  <r>
    <x v="3"/>
    <d v="2010-03-07T00:00:00"/>
    <x v="3"/>
    <x v="1"/>
    <x v="1"/>
    <x v="12"/>
    <x v="2"/>
    <n v="10138"/>
    <n v="11136"/>
    <n v="998"/>
    <n v="9.8441507200631287E-2"/>
  </r>
  <r>
    <x v="3"/>
    <d v="2010-03-07T00:00:00"/>
    <x v="3"/>
    <x v="1"/>
    <x v="1"/>
    <x v="26"/>
    <x v="3"/>
    <n v="3415"/>
    <n v="3960"/>
    <n v="545"/>
    <n v="0.1595900439238653"/>
  </r>
  <r>
    <x v="3"/>
    <d v="2010-03-07T00:00:00"/>
    <x v="3"/>
    <x v="1"/>
    <x v="1"/>
    <x v="13"/>
    <x v="3"/>
    <n v="102116"/>
    <n v="117130"/>
    <n v="15014"/>
    <n v="0.14702886912922558"/>
  </r>
  <r>
    <x v="3"/>
    <d v="2010-03-07T00:00:00"/>
    <x v="3"/>
    <x v="1"/>
    <x v="1"/>
    <x v="14"/>
    <x v="3"/>
    <n v="145184"/>
    <n v="161145"/>
    <n v="15961"/>
    <n v="0.10993635662331937"/>
  </r>
  <r>
    <x v="3"/>
    <d v="2010-03-07T00:00:00"/>
    <x v="3"/>
    <x v="1"/>
    <x v="1"/>
    <x v="15"/>
    <x v="3"/>
    <n v="618737"/>
    <n v="674851"/>
    <n v="56114"/>
    <n v="9.0691198360531217E-2"/>
  </r>
  <r>
    <x v="3"/>
    <d v="2010-03-07T00:00:00"/>
    <x v="3"/>
    <x v="1"/>
    <x v="1"/>
    <x v="16"/>
    <x v="3"/>
    <n v="128231"/>
    <n v="145073"/>
    <n v="16842"/>
    <n v="0.13134109536695496"/>
  </r>
  <r>
    <x v="3"/>
    <d v="2010-03-07T00:00:00"/>
    <x v="3"/>
    <x v="1"/>
    <x v="1"/>
    <x v="17"/>
    <x v="4"/>
    <n v="902757"/>
    <n v="1100927"/>
    <n v="198170"/>
    <n v="0.21951643687060859"/>
  </r>
  <r>
    <x v="3"/>
    <d v="2010-03-07T00:00:00"/>
    <x v="3"/>
    <x v="1"/>
    <x v="1"/>
    <x v="18"/>
    <x v="5"/>
    <n v="78557"/>
    <n v="102138"/>
    <n v="23581"/>
    <n v="0.30017694158381814"/>
  </r>
  <r>
    <x v="3"/>
    <d v="2010-03-07T00:00:00"/>
    <x v="3"/>
    <x v="1"/>
    <x v="1"/>
    <x v="20"/>
    <x v="5"/>
    <n v="76426"/>
    <n v="145938"/>
    <n v="69512"/>
    <n v="0.90953340486221967"/>
  </r>
  <r>
    <x v="3"/>
    <d v="2010-03-07T00:00:00"/>
    <x v="3"/>
    <x v="1"/>
    <x v="1"/>
    <x v="21"/>
    <x v="5"/>
    <n v="3576"/>
    <n v="4005"/>
    <n v="429"/>
    <n v="0.11996644295302013"/>
  </r>
  <r>
    <x v="3"/>
    <d v="2010-03-07T00:00:00"/>
    <x v="3"/>
    <x v="1"/>
    <x v="1"/>
    <x v="22"/>
    <x v="6"/>
    <n v="6039"/>
    <n v="7376"/>
    <n v="1337"/>
    <n v="0.22139427057459846"/>
  </r>
  <r>
    <x v="3"/>
    <d v="2010-03-07T00:00:00"/>
    <x v="3"/>
    <x v="1"/>
    <x v="1"/>
    <x v="23"/>
    <x v="6"/>
    <n v="330405"/>
    <n v="365756"/>
    <n v="35351"/>
    <n v="0.10699293291566411"/>
  </r>
  <r>
    <x v="3"/>
    <d v="2010-03-07T00:00:00"/>
    <x v="3"/>
    <x v="1"/>
    <x v="1"/>
    <x v="24"/>
    <x v="6"/>
    <n v="367278"/>
    <n v="396053"/>
    <n v="28775"/>
    <n v="7.8346647498625022E-2"/>
  </r>
  <r>
    <x v="3"/>
    <d v="2010-03-07T00:00:00"/>
    <x v="3"/>
    <x v="1"/>
    <x v="1"/>
    <x v="25"/>
    <x v="6"/>
    <n v="376346"/>
    <n v="403364"/>
    <n v="27018"/>
    <n v="7.1790320609226618E-2"/>
  </r>
  <r>
    <x v="3"/>
    <d v="2010-03-08T00:00:00"/>
    <x v="3"/>
    <x v="1"/>
    <x v="1"/>
    <x v="0"/>
    <x v="0"/>
    <n v="9801"/>
    <n v="10831"/>
    <n v="1030"/>
    <n v="0.10509131721252933"/>
  </r>
  <r>
    <x v="3"/>
    <d v="2010-03-08T00:00:00"/>
    <x v="3"/>
    <x v="1"/>
    <x v="1"/>
    <x v="1"/>
    <x v="0"/>
    <n v="408987"/>
    <n v="479462"/>
    <n v="70475"/>
    <n v="0.17231599048380511"/>
  </r>
  <r>
    <x v="3"/>
    <d v="2010-03-08T00:00:00"/>
    <x v="3"/>
    <x v="1"/>
    <x v="1"/>
    <x v="2"/>
    <x v="0"/>
    <n v="174478"/>
    <n v="194860"/>
    <n v="20382"/>
    <n v="0.11681701991081971"/>
  </r>
  <r>
    <x v="3"/>
    <d v="2010-03-08T00:00:00"/>
    <x v="3"/>
    <x v="1"/>
    <x v="1"/>
    <x v="3"/>
    <x v="0"/>
    <n v="1179"/>
    <n v="1192"/>
    <n v="13"/>
    <n v="1.102629346904156E-2"/>
  </r>
  <r>
    <x v="3"/>
    <d v="2010-03-08T00:00:00"/>
    <x v="3"/>
    <x v="1"/>
    <x v="1"/>
    <x v="4"/>
    <x v="0"/>
    <n v="14202"/>
    <n v="15601"/>
    <n v="1399"/>
    <n v="9.8507252499647938E-2"/>
  </r>
  <r>
    <x v="3"/>
    <d v="2010-03-08T00:00:00"/>
    <x v="3"/>
    <x v="1"/>
    <x v="1"/>
    <x v="5"/>
    <x v="1"/>
    <n v="121209"/>
    <n v="135015"/>
    <n v="13806"/>
    <n v="0.11390243298764943"/>
  </r>
  <r>
    <x v="3"/>
    <d v="2010-03-08T00:00:00"/>
    <x v="3"/>
    <x v="1"/>
    <x v="1"/>
    <x v="6"/>
    <x v="1"/>
    <n v="412583"/>
    <n v="434181"/>
    <n v="21598"/>
    <n v="5.2348254775402767E-2"/>
  </r>
  <r>
    <x v="3"/>
    <d v="2010-03-08T00:00:00"/>
    <x v="3"/>
    <x v="1"/>
    <x v="1"/>
    <x v="7"/>
    <x v="1"/>
    <n v="83018"/>
    <n v="90572"/>
    <n v="7554"/>
    <n v="9.0992314919655981E-2"/>
  </r>
  <r>
    <x v="3"/>
    <d v="2010-03-08T00:00:00"/>
    <x v="3"/>
    <x v="1"/>
    <x v="1"/>
    <x v="8"/>
    <x v="1"/>
    <n v="129093"/>
    <n v="136668"/>
    <n v="7575"/>
    <n v="5.867862703632265E-2"/>
  </r>
  <r>
    <x v="3"/>
    <d v="2010-03-08T00:00:00"/>
    <x v="3"/>
    <x v="1"/>
    <x v="1"/>
    <x v="9"/>
    <x v="2"/>
    <n v="437523"/>
    <n v="493307"/>
    <n v="55784"/>
    <n v="0.12749958287907151"/>
  </r>
  <r>
    <x v="3"/>
    <d v="2010-03-08T00:00:00"/>
    <x v="3"/>
    <x v="1"/>
    <x v="1"/>
    <x v="10"/>
    <x v="2"/>
    <n v="140041"/>
    <n v="149854"/>
    <n v="9813"/>
    <n v="7.0072335958754936E-2"/>
  </r>
  <r>
    <x v="3"/>
    <d v="2010-03-08T00:00:00"/>
    <x v="3"/>
    <x v="1"/>
    <x v="1"/>
    <x v="11"/>
    <x v="2"/>
    <n v="185083"/>
    <n v="199941"/>
    <n v="14858"/>
    <n v="8.027749712291242E-2"/>
  </r>
  <r>
    <x v="3"/>
    <d v="2010-03-08T00:00:00"/>
    <x v="3"/>
    <x v="1"/>
    <x v="1"/>
    <x v="12"/>
    <x v="2"/>
    <n v="7230"/>
    <n v="7815"/>
    <n v="585"/>
    <n v="8.0912863070539423E-2"/>
  </r>
  <r>
    <x v="3"/>
    <d v="2010-03-08T00:00:00"/>
    <x v="3"/>
    <x v="1"/>
    <x v="1"/>
    <x v="26"/>
    <x v="3"/>
    <n v="887"/>
    <n v="1022"/>
    <n v="135"/>
    <n v="0.15219842164599776"/>
  </r>
  <r>
    <x v="3"/>
    <d v="2010-03-08T00:00:00"/>
    <x v="3"/>
    <x v="1"/>
    <x v="1"/>
    <x v="13"/>
    <x v="3"/>
    <n v="58074"/>
    <n v="66490"/>
    <n v="8416"/>
    <n v="0.14491855219203087"/>
  </r>
  <r>
    <x v="3"/>
    <d v="2010-03-08T00:00:00"/>
    <x v="3"/>
    <x v="1"/>
    <x v="1"/>
    <x v="14"/>
    <x v="3"/>
    <n v="40472"/>
    <n v="46104"/>
    <n v="5632"/>
    <n v="0.13915793635105753"/>
  </r>
  <r>
    <x v="3"/>
    <d v="2010-03-08T00:00:00"/>
    <x v="3"/>
    <x v="1"/>
    <x v="1"/>
    <x v="15"/>
    <x v="3"/>
    <n v="354666"/>
    <n v="380950"/>
    <n v="26284"/>
    <n v="7.4109161859326797E-2"/>
  </r>
  <r>
    <x v="3"/>
    <d v="2010-03-08T00:00:00"/>
    <x v="3"/>
    <x v="1"/>
    <x v="1"/>
    <x v="16"/>
    <x v="3"/>
    <n v="75832"/>
    <n v="85592"/>
    <n v="9760"/>
    <n v="0.1287055596581918"/>
  </r>
  <r>
    <x v="3"/>
    <d v="2010-03-08T00:00:00"/>
    <x v="3"/>
    <x v="1"/>
    <x v="1"/>
    <x v="17"/>
    <x v="4"/>
    <n v="481273"/>
    <n v="581224"/>
    <n v="99951"/>
    <n v="0.20768046410249486"/>
  </r>
  <r>
    <x v="3"/>
    <d v="2010-03-08T00:00:00"/>
    <x v="3"/>
    <x v="1"/>
    <x v="1"/>
    <x v="18"/>
    <x v="5"/>
    <n v="78559"/>
    <n v="100701"/>
    <n v="22142"/>
    <n v="0.28185185656640233"/>
  </r>
  <r>
    <x v="3"/>
    <d v="2010-03-08T00:00:00"/>
    <x v="3"/>
    <x v="1"/>
    <x v="1"/>
    <x v="20"/>
    <x v="5"/>
    <n v="49883"/>
    <n v="103800"/>
    <n v="53917"/>
    <n v="1.0808692340075778"/>
  </r>
  <r>
    <x v="3"/>
    <d v="2010-03-08T00:00:00"/>
    <x v="3"/>
    <x v="1"/>
    <x v="1"/>
    <x v="21"/>
    <x v="5"/>
    <n v="3820"/>
    <n v="4278"/>
    <n v="458"/>
    <n v="0.11989528795811519"/>
  </r>
  <r>
    <x v="3"/>
    <d v="2010-03-08T00:00:00"/>
    <x v="3"/>
    <x v="1"/>
    <x v="1"/>
    <x v="22"/>
    <x v="6"/>
    <n v="3165"/>
    <n v="3943"/>
    <n v="778"/>
    <n v="0.24581358609794629"/>
  </r>
  <r>
    <x v="3"/>
    <d v="2010-03-08T00:00:00"/>
    <x v="3"/>
    <x v="1"/>
    <x v="1"/>
    <x v="23"/>
    <x v="6"/>
    <n v="233999"/>
    <n v="260006"/>
    <n v="26007"/>
    <n v="0.11114150060470344"/>
  </r>
  <r>
    <x v="3"/>
    <d v="2010-03-08T00:00:00"/>
    <x v="3"/>
    <x v="1"/>
    <x v="1"/>
    <x v="24"/>
    <x v="6"/>
    <n v="200872"/>
    <n v="217988"/>
    <n v="17116"/>
    <n v="8.5208490979330115E-2"/>
  </r>
  <r>
    <x v="3"/>
    <d v="2010-03-08T00:00:00"/>
    <x v="3"/>
    <x v="1"/>
    <x v="1"/>
    <x v="25"/>
    <x v="6"/>
    <n v="225934"/>
    <n v="240666"/>
    <n v="14732"/>
    <n v="6.5204882841891881E-2"/>
  </r>
  <r>
    <x v="3"/>
    <d v="2010-03-09T00:00:00"/>
    <x v="3"/>
    <x v="1"/>
    <x v="1"/>
    <x v="0"/>
    <x v="0"/>
    <n v="1968"/>
    <n v="2406"/>
    <n v="438"/>
    <n v="0.2225609756097561"/>
  </r>
  <r>
    <x v="3"/>
    <d v="2010-03-09T00:00:00"/>
    <x v="3"/>
    <x v="1"/>
    <x v="1"/>
    <x v="1"/>
    <x v="0"/>
    <n v="88531"/>
    <n v="92190"/>
    <n v="3659"/>
    <n v="4.1330155538737846E-2"/>
  </r>
  <r>
    <x v="3"/>
    <d v="2010-03-09T00:00:00"/>
    <x v="3"/>
    <x v="1"/>
    <x v="1"/>
    <x v="2"/>
    <x v="0"/>
    <n v="61254"/>
    <n v="68182"/>
    <n v="6928"/>
    <n v="0.1131028177751657"/>
  </r>
  <r>
    <x v="3"/>
    <d v="2010-03-09T00:00:00"/>
    <x v="3"/>
    <x v="1"/>
    <x v="1"/>
    <x v="3"/>
    <x v="0"/>
    <n v="479"/>
    <n v="585"/>
    <n v="106"/>
    <n v="0.22129436325678498"/>
  </r>
  <r>
    <x v="3"/>
    <d v="2010-03-09T00:00:00"/>
    <x v="3"/>
    <x v="1"/>
    <x v="1"/>
    <x v="4"/>
    <x v="0"/>
    <n v="12360"/>
    <n v="14349"/>
    <n v="1989"/>
    <n v="0.16092233009708737"/>
  </r>
  <r>
    <x v="3"/>
    <d v="2010-03-09T00:00:00"/>
    <x v="3"/>
    <x v="1"/>
    <x v="1"/>
    <x v="5"/>
    <x v="1"/>
    <n v="74640"/>
    <n v="84048"/>
    <n v="9408"/>
    <n v="0.12604501607717042"/>
  </r>
  <r>
    <x v="3"/>
    <d v="2010-03-09T00:00:00"/>
    <x v="3"/>
    <x v="1"/>
    <x v="1"/>
    <x v="6"/>
    <x v="1"/>
    <n v="266913"/>
    <n v="280205"/>
    <n v="13292"/>
    <n v="4.9798998175435441E-2"/>
  </r>
  <r>
    <x v="3"/>
    <d v="2010-03-09T00:00:00"/>
    <x v="3"/>
    <x v="1"/>
    <x v="1"/>
    <x v="7"/>
    <x v="1"/>
    <n v="47859"/>
    <n v="52870"/>
    <n v="5011"/>
    <n v="0.10470339956956894"/>
  </r>
  <r>
    <x v="3"/>
    <d v="2010-03-09T00:00:00"/>
    <x v="3"/>
    <x v="1"/>
    <x v="1"/>
    <x v="8"/>
    <x v="1"/>
    <n v="84878"/>
    <n v="89902"/>
    <n v="5024"/>
    <n v="5.9190838615424492E-2"/>
  </r>
  <r>
    <x v="3"/>
    <d v="2010-03-09T00:00:00"/>
    <x v="3"/>
    <x v="1"/>
    <x v="1"/>
    <x v="9"/>
    <x v="2"/>
    <n v="146592"/>
    <n v="156776"/>
    <n v="10184"/>
    <n v="6.9471731063086656E-2"/>
  </r>
  <r>
    <x v="3"/>
    <d v="2010-03-09T00:00:00"/>
    <x v="3"/>
    <x v="1"/>
    <x v="1"/>
    <x v="10"/>
    <x v="2"/>
    <n v="67069"/>
    <n v="71409"/>
    <n v="4340"/>
    <n v="6.4709478298468737E-2"/>
  </r>
  <r>
    <x v="3"/>
    <d v="2010-03-09T00:00:00"/>
    <x v="3"/>
    <x v="1"/>
    <x v="1"/>
    <x v="11"/>
    <x v="2"/>
    <n v="85269"/>
    <n v="92208"/>
    <n v="6939"/>
    <n v="8.1377757449952501E-2"/>
  </r>
  <r>
    <x v="3"/>
    <d v="2010-03-09T00:00:00"/>
    <x v="3"/>
    <x v="1"/>
    <x v="1"/>
    <x v="12"/>
    <x v="2"/>
    <n v="4056"/>
    <n v="4470"/>
    <n v="414"/>
    <n v="0.10207100591715976"/>
  </r>
  <r>
    <x v="3"/>
    <d v="2010-03-09T00:00:00"/>
    <x v="3"/>
    <x v="1"/>
    <x v="1"/>
    <x v="26"/>
    <x v="3"/>
    <n v="299"/>
    <n v="335"/>
    <n v="36"/>
    <n v="0.12040133779264214"/>
  </r>
  <r>
    <x v="3"/>
    <d v="2010-03-09T00:00:00"/>
    <x v="3"/>
    <x v="1"/>
    <x v="1"/>
    <x v="13"/>
    <x v="3"/>
    <n v="47219"/>
    <n v="53584"/>
    <n v="6365"/>
    <n v="0.13479743323662086"/>
  </r>
  <r>
    <x v="3"/>
    <d v="2010-03-09T00:00:00"/>
    <x v="3"/>
    <x v="1"/>
    <x v="1"/>
    <x v="14"/>
    <x v="3"/>
    <n v="26628"/>
    <n v="30627"/>
    <n v="3999"/>
    <n v="0.15018026137899954"/>
  </r>
  <r>
    <x v="3"/>
    <d v="2010-03-09T00:00:00"/>
    <x v="3"/>
    <x v="1"/>
    <x v="1"/>
    <x v="15"/>
    <x v="3"/>
    <n v="254238"/>
    <n v="276210"/>
    <n v="21972"/>
    <n v="8.642295801571756E-2"/>
  </r>
  <r>
    <x v="3"/>
    <d v="2010-03-09T00:00:00"/>
    <x v="3"/>
    <x v="1"/>
    <x v="1"/>
    <x v="16"/>
    <x v="3"/>
    <n v="37075"/>
    <n v="41737"/>
    <n v="4662"/>
    <n v="0.12574511126095753"/>
  </r>
  <r>
    <x v="3"/>
    <d v="2010-03-09T00:00:00"/>
    <x v="3"/>
    <x v="1"/>
    <x v="1"/>
    <x v="17"/>
    <x v="4"/>
    <n v="262467"/>
    <n v="313642"/>
    <n v="51175"/>
    <n v="0.1949768923331314"/>
  </r>
  <r>
    <x v="3"/>
    <d v="2010-03-09T00:00:00"/>
    <x v="3"/>
    <x v="1"/>
    <x v="1"/>
    <x v="18"/>
    <x v="5"/>
    <n v="38318"/>
    <n v="48954"/>
    <n v="10636"/>
    <n v="0.27757189832454721"/>
  </r>
  <r>
    <x v="3"/>
    <d v="2010-03-09T00:00:00"/>
    <x v="3"/>
    <x v="1"/>
    <x v="1"/>
    <x v="20"/>
    <x v="5"/>
    <n v="36868"/>
    <n v="72937"/>
    <n v="36069"/>
    <n v="0.97832808940002169"/>
  </r>
  <r>
    <x v="3"/>
    <d v="2010-03-09T00:00:00"/>
    <x v="3"/>
    <x v="1"/>
    <x v="1"/>
    <x v="21"/>
    <x v="5"/>
    <n v="2111"/>
    <n v="2345"/>
    <n v="234"/>
    <n v="0.11084793936522976"/>
  </r>
  <r>
    <x v="3"/>
    <d v="2010-03-09T00:00:00"/>
    <x v="3"/>
    <x v="1"/>
    <x v="1"/>
    <x v="22"/>
    <x v="6"/>
    <n v="1274"/>
    <n v="1574"/>
    <n v="300"/>
    <n v="0.23547880690737832"/>
  </r>
  <r>
    <x v="3"/>
    <d v="2010-03-09T00:00:00"/>
    <x v="3"/>
    <x v="1"/>
    <x v="1"/>
    <x v="23"/>
    <x v="6"/>
    <n v="70160"/>
    <n v="76296"/>
    <n v="6136"/>
    <n v="8.7457240592930446E-2"/>
  </r>
  <r>
    <x v="3"/>
    <d v="2010-03-09T00:00:00"/>
    <x v="3"/>
    <x v="1"/>
    <x v="1"/>
    <x v="24"/>
    <x v="6"/>
    <n v="158232"/>
    <n v="171135"/>
    <n v="12903"/>
    <n v="8.1544820263916282E-2"/>
  </r>
  <r>
    <x v="3"/>
    <d v="2010-03-09T00:00:00"/>
    <x v="3"/>
    <x v="1"/>
    <x v="1"/>
    <x v="25"/>
    <x v="6"/>
    <n v="211698"/>
    <n v="224401"/>
    <n v="12703"/>
    <n v="6.0005290555413843E-2"/>
  </r>
  <r>
    <x v="3"/>
    <d v="2010-03-10T00:00:00"/>
    <x v="3"/>
    <x v="1"/>
    <x v="1"/>
    <x v="0"/>
    <x v="0"/>
    <n v="12653"/>
    <n v="14530"/>
    <n v="1877"/>
    <n v="0.14834426618193314"/>
  </r>
  <r>
    <x v="3"/>
    <d v="2010-03-10T00:00:00"/>
    <x v="3"/>
    <x v="1"/>
    <x v="1"/>
    <x v="1"/>
    <x v="0"/>
    <n v="106189"/>
    <n v="127407"/>
    <n v="21218"/>
    <n v="0.19981354000885215"/>
  </r>
  <r>
    <x v="3"/>
    <d v="2010-03-10T00:00:00"/>
    <x v="3"/>
    <x v="1"/>
    <x v="1"/>
    <x v="2"/>
    <x v="0"/>
    <n v="69075"/>
    <n v="76472"/>
    <n v="7397"/>
    <n v="0.10708650018096272"/>
  </r>
  <r>
    <x v="3"/>
    <d v="2010-03-10T00:00:00"/>
    <x v="3"/>
    <x v="1"/>
    <x v="1"/>
    <x v="3"/>
    <x v="0"/>
    <n v="1362"/>
    <n v="1549"/>
    <n v="187"/>
    <n v="0.13729809104258445"/>
  </r>
  <r>
    <x v="3"/>
    <d v="2010-03-10T00:00:00"/>
    <x v="3"/>
    <x v="1"/>
    <x v="1"/>
    <x v="4"/>
    <x v="0"/>
    <n v="12378"/>
    <n v="14233"/>
    <n v="1855"/>
    <n v="0.14986265955727904"/>
  </r>
  <r>
    <x v="3"/>
    <d v="2010-03-10T00:00:00"/>
    <x v="3"/>
    <x v="1"/>
    <x v="1"/>
    <x v="5"/>
    <x v="1"/>
    <n v="106987"/>
    <n v="119588"/>
    <n v="12601"/>
    <n v="0.11778066494060026"/>
  </r>
  <r>
    <x v="3"/>
    <d v="2010-03-10T00:00:00"/>
    <x v="3"/>
    <x v="1"/>
    <x v="1"/>
    <x v="6"/>
    <x v="1"/>
    <n v="407177"/>
    <n v="430750"/>
    <n v="23573"/>
    <n v="5.7893741542375921E-2"/>
  </r>
  <r>
    <x v="3"/>
    <d v="2010-03-10T00:00:00"/>
    <x v="3"/>
    <x v="1"/>
    <x v="1"/>
    <x v="7"/>
    <x v="1"/>
    <n v="82697"/>
    <n v="91303"/>
    <n v="8606"/>
    <n v="0.10406665296201797"/>
  </r>
  <r>
    <x v="3"/>
    <d v="2010-03-10T00:00:00"/>
    <x v="3"/>
    <x v="1"/>
    <x v="1"/>
    <x v="8"/>
    <x v="1"/>
    <n v="130882"/>
    <n v="138620"/>
    <n v="7738"/>
    <n v="5.9121957182805884E-2"/>
  </r>
  <r>
    <x v="3"/>
    <d v="2010-03-10T00:00:00"/>
    <x v="3"/>
    <x v="1"/>
    <x v="1"/>
    <x v="9"/>
    <x v="2"/>
    <n v="275177"/>
    <n v="293354"/>
    <n v="18177"/>
    <n v="6.6055665989526738E-2"/>
  </r>
  <r>
    <x v="3"/>
    <d v="2010-03-10T00:00:00"/>
    <x v="3"/>
    <x v="1"/>
    <x v="1"/>
    <x v="10"/>
    <x v="2"/>
    <n v="99349"/>
    <n v="105031"/>
    <n v="5682"/>
    <n v="5.7192322016326284E-2"/>
  </r>
  <r>
    <x v="3"/>
    <d v="2010-03-10T00:00:00"/>
    <x v="3"/>
    <x v="1"/>
    <x v="1"/>
    <x v="11"/>
    <x v="2"/>
    <n v="87342"/>
    <n v="95427"/>
    <n v="8085"/>
    <n v="9.2567149824826542E-2"/>
  </r>
  <r>
    <x v="3"/>
    <d v="2010-03-10T00:00:00"/>
    <x v="3"/>
    <x v="1"/>
    <x v="1"/>
    <x v="12"/>
    <x v="2"/>
    <n v="6408"/>
    <n v="6937"/>
    <n v="529"/>
    <n v="8.2553058676654176E-2"/>
  </r>
  <r>
    <x v="3"/>
    <d v="2010-03-10T00:00:00"/>
    <x v="3"/>
    <x v="1"/>
    <x v="1"/>
    <x v="26"/>
    <x v="3"/>
    <n v="9139"/>
    <n v="10262"/>
    <n v="1123"/>
    <n v="0.12287996498522814"/>
  </r>
  <r>
    <x v="3"/>
    <d v="2010-03-10T00:00:00"/>
    <x v="3"/>
    <x v="1"/>
    <x v="1"/>
    <x v="13"/>
    <x v="3"/>
    <n v="78296"/>
    <n v="88041"/>
    <n v="9745"/>
    <n v="0.12446357412894656"/>
  </r>
  <r>
    <x v="3"/>
    <d v="2010-03-10T00:00:00"/>
    <x v="3"/>
    <x v="1"/>
    <x v="1"/>
    <x v="14"/>
    <x v="3"/>
    <n v="56914"/>
    <n v="65821"/>
    <n v="8907"/>
    <n v="0.15649927961485752"/>
  </r>
  <r>
    <x v="3"/>
    <d v="2010-03-10T00:00:00"/>
    <x v="3"/>
    <x v="1"/>
    <x v="1"/>
    <x v="15"/>
    <x v="3"/>
    <n v="358442"/>
    <n v="391030"/>
    <n v="32588"/>
    <n v="9.0915685103866176E-2"/>
  </r>
  <r>
    <x v="3"/>
    <d v="2010-03-10T00:00:00"/>
    <x v="3"/>
    <x v="1"/>
    <x v="1"/>
    <x v="16"/>
    <x v="3"/>
    <n v="65654"/>
    <n v="74188"/>
    <n v="8534"/>
    <n v="0.12998446400828587"/>
  </r>
  <r>
    <x v="3"/>
    <d v="2010-03-10T00:00:00"/>
    <x v="3"/>
    <x v="1"/>
    <x v="1"/>
    <x v="17"/>
    <x v="4"/>
    <n v="379206"/>
    <n v="435569"/>
    <n v="56363"/>
    <n v="0.14863425156774945"/>
  </r>
  <r>
    <x v="3"/>
    <d v="2010-03-10T00:00:00"/>
    <x v="3"/>
    <x v="1"/>
    <x v="1"/>
    <x v="18"/>
    <x v="5"/>
    <n v="45231"/>
    <n v="60245"/>
    <n v="15014"/>
    <n v="0.33194048329685394"/>
  </r>
  <r>
    <x v="3"/>
    <d v="2010-03-10T00:00:00"/>
    <x v="3"/>
    <x v="1"/>
    <x v="1"/>
    <x v="20"/>
    <x v="5"/>
    <n v="46342"/>
    <n v="92930"/>
    <n v="46588"/>
    <n v="1.0053083595874153"/>
  </r>
  <r>
    <x v="3"/>
    <d v="2010-03-10T00:00:00"/>
    <x v="3"/>
    <x v="1"/>
    <x v="1"/>
    <x v="21"/>
    <x v="5"/>
    <n v="3878"/>
    <n v="4308"/>
    <n v="430"/>
    <n v="0.11088189788550799"/>
  </r>
  <r>
    <x v="3"/>
    <d v="2010-03-10T00:00:00"/>
    <x v="3"/>
    <x v="1"/>
    <x v="1"/>
    <x v="22"/>
    <x v="6"/>
    <n v="1033"/>
    <n v="1260"/>
    <n v="227"/>
    <n v="0.2197483059051307"/>
  </r>
  <r>
    <x v="3"/>
    <d v="2010-03-10T00:00:00"/>
    <x v="3"/>
    <x v="1"/>
    <x v="1"/>
    <x v="23"/>
    <x v="6"/>
    <n v="108549"/>
    <n v="119011"/>
    <n v="10462"/>
    <n v="9.6380436484905435E-2"/>
  </r>
  <r>
    <x v="3"/>
    <d v="2010-03-10T00:00:00"/>
    <x v="3"/>
    <x v="1"/>
    <x v="1"/>
    <x v="24"/>
    <x v="6"/>
    <n v="162752"/>
    <n v="176508"/>
    <n v="13756"/>
    <n v="8.4521234762092015E-2"/>
  </r>
  <r>
    <x v="3"/>
    <d v="2010-03-10T00:00:00"/>
    <x v="3"/>
    <x v="1"/>
    <x v="1"/>
    <x v="25"/>
    <x v="6"/>
    <n v="270023"/>
    <n v="285983"/>
    <n v="15960"/>
    <n v="5.9106076149068786E-2"/>
  </r>
  <r>
    <x v="3"/>
    <d v="2010-03-11T00:00:00"/>
    <x v="3"/>
    <x v="1"/>
    <x v="1"/>
    <x v="0"/>
    <x v="0"/>
    <n v="5306"/>
    <n v="6355"/>
    <n v="1049"/>
    <n v="0.19770071617037316"/>
  </r>
  <r>
    <x v="3"/>
    <d v="2010-03-11T00:00:00"/>
    <x v="3"/>
    <x v="1"/>
    <x v="1"/>
    <x v="1"/>
    <x v="0"/>
    <n v="120895"/>
    <n v="139612"/>
    <n v="18717"/>
    <n v="0.15482029860622853"/>
  </r>
  <r>
    <x v="3"/>
    <d v="2010-03-11T00:00:00"/>
    <x v="3"/>
    <x v="1"/>
    <x v="1"/>
    <x v="2"/>
    <x v="0"/>
    <n v="67350"/>
    <n v="76576"/>
    <n v="9226"/>
    <n v="0.13698589458054936"/>
  </r>
  <r>
    <x v="3"/>
    <d v="2010-03-11T00:00:00"/>
    <x v="3"/>
    <x v="1"/>
    <x v="1"/>
    <x v="4"/>
    <x v="0"/>
    <n v="14232"/>
    <n v="16537"/>
    <n v="2305"/>
    <n v="0.16195896571107363"/>
  </r>
  <r>
    <x v="3"/>
    <d v="2010-03-11T00:00:00"/>
    <x v="3"/>
    <x v="1"/>
    <x v="1"/>
    <x v="5"/>
    <x v="1"/>
    <n v="105462"/>
    <n v="119246"/>
    <n v="13784"/>
    <n v="0.13070110561149989"/>
  </r>
  <r>
    <x v="3"/>
    <d v="2010-03-11T00:00:00"/>
    <x v="3"/>
    <x v="1"/>
    <x v="1"/>
    <x v="6"/>
    <x v="1"/>
    <n v="467870"/>
    <n v="491004"/>
    <n v="23134"/>
    <n v="4.9445358753499903E-2"/>
  </r>
  <r>
    <x v="3"/>
    <d v="2010-03-11T00:00:00"/>
    <x v="3"/>
    <x v="1"/>
    <x v="1"/>
    <x v="7"/>
    <x v="1"/>
    <n v="72436"/>
    <n v="80902"/>
    <n v="8466"/>
    <n v="0.11687558672483296"/>
  </r>
  <r>
    <x v="3"/>
    <d v="2010-03-11T00:00:00"/>
    <x v="3"/>
    <x v="1"/>
    <x v="1"/>
    <x v="8"/>
    <x v="1"/>
    <n v="115999"/>
    <n v="124352"/>
    <n v="8353"/>
    <n v="7.2009241458978093E-2"/>
  </r>
  <r>
    <x v="3"/>
    <d v="2010-03-11T00:00:00"/>
    <x v="3"/>
    <x v="1"/>
    <x v="1"/>
    <x v="9"/>
    <x v="2"/>
    <n v="223206"/>
    <n v="245470"/>
    <n v="22264"/>
    <n v="9.9746422587206438E-2"/>
  </r>
  <r>
    <x v="3"/>
    <d v="2010-03-11T00:00:00"/>
    <x v="3"/>
    <x v="1"/>
    <x v="1"/>
    <x v="10"/>
    <x v="2"/>
    <n v="101490"/>
    <n v="108050"/>
    <n v="6560"/>
    <n v="6.4636910040398066E-2"/>
  </r>
  <r>
    <x v="3"/>
    <d v="2010-03-11T00:00:00"/>
    <x v="3"/>
    <x v="1"/>
    <x v="1"/>
    <x v="11"/>
    <x v="2"/>
    <n v="95147"/>
    <n v="103410"/>
    <n v="8263"/>
    <n v="8.6844566828171141E-2"/>
  </r>
  <r>
    <x v="3"/>
    <d v="2010-03-11T00:00:00"/>
    <x v="3"/>
    <x v="1"/>
    <x v="1"/>
    <x v="12"/>
    <x v="2"/>
    <n v="7664"/>
    <n v="8397"/>
    <n v="733"/>
    <n v="9.5641962421711899E-2"/>
  </r>
  <r>
    <x v="3"/>
    <d v="2010-03-11T00:00:00"/>
    <x v="3"/>
    <x v="1"/>
    <x v="1"/>
    <x v="26"/>
    <x v="3"/>
    <n v="15291"/>
    <n v="17045"/>
    <n v="1754"/>
    <n v="0.1147079981688575"/>
  </r>
  <r>
    <x v="3"/>
    <d v="2010-03-11T00:00:00"/>
    <x v="3"/>
    <x v="1"/>
    <x v="1"/>
    <x v="13"/>
    <x v="3"/>
    <n v="85204"/>
    <n v="96237"/>
    <n v="11033"/>
    <n v="0.12948922585794095"/>
  </r>
  <r>
    <x v="3"/>
    <d v="2010-03-11T00:00:00"/>
    <x v="3"/>
    <x v="1"/>
    <x v="1"/>
    <x v="14"/>
    <x v="3"/>
    <n v="71978"/>
    <n v="81358"/>
    <n v="9380"/>
    <n v="0.13031759704354109"/>
  </r>
  <r>
    <x v="3"/>
    <d v="2010-03-11T00:00:00"/>
    <x v="3"/>
    <x v="1"/>
    <x v="1"/>
    <x v="15"/>
    <x v="3"/>
    <n v="386862"/>
    <n v="424475"/>
    <n v="37613"/>
    <n v="9.7225884165412987E-2"/>
  </r>
  <r>
    <x v="3"/>
    <d v="2010-03-11T00:00:00"/>
    <x v="3"/>
    <x v="1"/>
    <x v="1"/>
    <x v="16"/>
    <x v="3"/>
    <n v="71726"/>
    <n v="80656"/>
    <n v="8930"/>
    <n v="0.12450157543986839"/>
  </r>
  <r>
    <x v="3"/>
    <d v="2010-03-11T00:00:00"/>
    <x v="3"/>
    <x v="1"/>
    <x v="1"/>
    <x v="17"/>
    <x v="4"/>
    <n v="383152"/>
    <n v="425797"/>
    <n v="42645"/>
    <n v="0.11130047605127991"/>
  </r>
  <r>
    <x v="3"/>
    <d v="2010-03-11T00:00:00"/>
    <x v="3"/>
    <x v="1"/>
    <x v="1"/>
    <x v="18"/>
    <x v="5"/>
    <n v="37820"/>
    <n v="48068"/>
    <n v="10248"/>
    <n v="0.2709677419354839"/>
  </r>
  <r>
    <x v="3"/>
    <d v="2010-03-11T00:00:00"/>
    <x v="3"/>
    <x v="1"/>
    <x v="1"/>
    <x v="20"/>
    <x v="5"/>
    <n v="48838"/>
    <n v="96988"/>
    <n v="48150"/>
    <n v="0.98591260903394895"/>
  </r>
  <r>
    <x v="3"/>
    <d v="2010-03-11T00:00:00"/>
    <x v="3"/>
    <x v="1"/>
    <x v="1"/>
    <x v="21"/>
    <x v="5"/>
    <n v="2469"/>
    <n v="2743"/>
    <n v="274"/>
    <n v="0.11097610368570271"/>
  </r>
  <r>
    <x v="3"/>
    <d v="2010-03-11T00:00:00"/>
    <x v="3"/>
    <x v="1"/>
    <x v="1"/>
    <x v="22"/>
    <x v="6"/>
    <n v="3625"/>
    <n v="4270"/>
    <n v="645"/>
    <n v="0.17793103448275863"/>
  </r>
  <r>
    <x v="3"/>
    <d v="2010-03-11T00:00:00"/>
    <x v="3"/>
    <x v="1"/>
    <x v="1"/>
    <x v="23"/>
    <x v="6"/>
    <n v="138049"/>
    <n v="143870"/>
    <n v="5821"/>
    <n v="4.2166187368253304E-2"/>
  </r>
  <r>
    <x v="3"/>
    <d v="2010-03-11T00:00:00"/>
    <x v="3"/>
    <x v="1"/>
    <x v="1"/>
    <x v="24"/>
    <x v="6"/>
    <n v="217668"/>
    <n v="239560"/>
    <n v="21892"/>
    <n v="0.10057518790083982"/>
  </r>
  <r>
    <x v="3"/>
    <d v="2010-03-11T00:00:00"/>
    <x v="3"/>
    <x v="1"/>
    <x v="1"/>
    <x v="25"/>
    <x v="6"/>
    <n v="254791"/>
    <n v="268425"/>
    <n v="13634"/>
    <n v="5.3510524312083238E-2"/>
  </r>
  <r>
    <x v="3"/>
    <d v="2010-03-12T00:00:00"/>
    <x v="3"/>
    <x v="1"/>
    <x v="1"/>
    <x v="0"/>
    <x v="0"/>
    <n v="6180"/>
    <n v="7388"/>
    <n v="1208"/>
    <n v="0.19546925566343043"/>
  </r>
  <r>
    <x v="3"/>
    <d v="2010-03-12T00:00:00"/>
    <x v="3"/>
    <x v="1"/>
    <x v="1"/>
    <x v="1"/>
    <x v="0"/>
    <n v="134389"/>
    <n v="147186"/>
    <n v="12797"/>
    <n v="9.5223567405070361E-2"/>
  </r>
  <r>
    <x v="3"/>
    <d v="2010-03-12T00:00:00"/>
    <x v="3"/>
    <x v="1"/>
    <x v="1"/>
    <x v="2"/>
    <x v="0"/>
    <n v="69561"/>
    <n v="77829"/>
    <n v="8268"/>
    <n v="0.11885970586966835"/>
  </r>
  <r>
    <x v="3"/>
    <d v="2010-03-12T00:00:00"/>
    <x v="3"/>
    <x v="1"/>
    <x v="1"/>
    <x v="3"/>
    <x v="0"/>
    <n v="479"/>
    <n v="660"/>
    <n v="181"/>
    <n v="0.37787056367432148"/>
  </r>
  <r>
    <x v="3"/>
    <d v="2010-03-12T00:00:00"/>
    <x v="3"/>
    <x v="1"/>
    <x v="1"/>
    <x v="4"/>
    <x v="0"/>
    <n v="5318"/>
    <n v="6202"/>
    <n v="884"/>
    <n v="0.16622790522752914"/>
  </r>
  <r>
    <x v="3"/>
    <d v="2010-03-12T00:00:00"/>
    <x v="3"/>
    <x v="1"/>
    <x v="1"/>
    <x v="5"/>
    <x v="1"/>
    <n v="93925"/>
    <n v="105037"/>
    <n v="11112"/>
    <n v="0.11830715996805963"/>
  </r>
  <r>
    <x v="3"/>
    <d v="2010-03-12T00:00:00"/>
    <x v="3"/>
    <x v="1"/>
    <x v="1"/>
    <x v="6"/>
    <x v="1"/>
    <n v="328775"/>
    <n v="347223"/>
    <n v="18448"/>
    <n v="5.611132233290244E-2"/>
  </r>
  <r>
    <x v="3"/>
    <d v="2010-03-12T00:00:00"/>
    <x v="3"/>
    <x v="1"/>
    <x v="1"/>
    <x v="7"/>
    <x v="1"/>
    <n v="133747"/>
    <n v="147737"/>
    <n v="13990"/>
    <n v="0.10460047702004531"/>
  </r>
  <r>
    <x v="3"/>
    <d v="2010-03-12T00:00:00"/>
    <x v="3"/>
    <x v="1"/>
    <x v="1"/>
    <x v="8"/>
    <x v="1"/>
    <n v="99806"/>
    <n v="107015"/>
    <n v="7209"/>
    <n v="7.2230126445303883E-2"/>
  </r>
  <r>
    <x v="3"/>
    <d v="2010-03-12T00:00:00"/>
    <x v="3"/>
    <x v="1"/>
    <x v="1"/>
    <x v="9"/>
    <x v="2"/>
    <n v="318119"/>
    <n v="341399"/>
    <n v="23280"/>
    <n v="7.3180162140582608E-2"/>
  </r>
  <r>
    <x v="3"/>
    <d v="2010-03-12T00:00:00"/>
    <x v="3"/>
    <x v="1"/>
    <x v="1"/>
    <x v="10"/>
    <x v="2"/>
    <n v="115804"/>
    <n v="121776"/>
    <n v="5972"/>
    <n v="5.1569893958757898E-2"/>
  </r>
  <r>
    <x v="3"/>
    <d v="2010-03-12T00:00:00"/>
    <x v="3"/>
    <x v="1"/>
    <x v="1"/>
    <x v="11"/>
    <x v="2"/>
    <n v="98776"/>
    <n v="107744"/>
    <n v="8968"/>
    <n v="9.0791285332469426E-2"/>
  </r>
  <r>
    <x v="3"/>
    <d v="2010-03-12T00:00:00"/>
    <x v="3"/>
    <x v="1"/>
    <x v="1"/>
    <x v="12"/>
    <x v="2"/>
    <n v="7820"/>
    <n v="8487"/>
    <n v="667"/>
    <n v="8.5294117647058826E-2"/>
  </r>
  <r>
    <x v="3"/>
    <d v="2010-03-12T00:00:00"/>
    <x v="3"/>
    <x v="1"/>
    <x v="1"/>
    <x v="26"/>
    <x v="3"/>
    <n v="13595"/>
    <n v="15202"/>
    <n v="1607"/>
    <n v="0.1182052225082751"/>
  </r>
  <r>
    <x v="3"/>
    <d v="2010-03-12T00:00:00"/>
    <x v="3"/>
    <x v="1"/>
    <x v="1"/>
    <x v="13"/>
    <x v="3"/>
    <n v="99546"/>
    <n v="113116"/>
    <n v="13570"/>
    <n v="0.13631888775038675"/>
  </r>
  <r>
    <x v="3"/>
    <d v="2010-03-12T00:00:00"/>
    <x v="3"/>
    <x v="1"/>
    <x v="1"/>
    <x v="14"/>
    <x v="3"/>
    <n v="74911"/>
    <n v="84720"/>
    <n v="9809"/>
    <n v="0.13094205123413116"/>
  </r>
  <r>
    <x v="3"/>
    <d v="2010-03-12T00:00:00"/>
    <x v="3"/>
    <x v="1"/>
    <x v="1"/>
    <x v="15"/>
    <x v="3"/>
    <n v="411975"/>
    <n v="447758"/>
    <n v="35783"/>
    <n v="8.6857212209478729E-2"/>
  </r>
  <r>
    <x v="3"/>
    <d v="2010-03-12T00:00:00"/>
    <x v="3"/>
    <x v="1"/>
    <x v="1"/>
    <x v="16"/>
    <x v="3"/>
    <n v="69577"/>
    <n v="78294"/>
    <n v="8717"/>
    <n v="0.12528565474222803"/>
  </r>
  <r>
    <x v="3"/>
    <d v="2010-03-12T00:00:00"/>
    <x v="3"/>
    <x v="1"/>
    <x v="1"/>
    <x v="17"/>
    <x v="4"/>
    <n v="419781"/>
    <n v="491876"/>
    <n v="72095"/>
    <n v="0.17174431429721687"/>
  </r>
  <r>
    <x v="3"/>
    <d v="2010-03-12T00:00:00"/>
    <x v="3"/>
    <x v="1"/>
    <x v="1"/>
    <x v="18"/>
    <x v="5"/>
    <n v="40671"/>
    <n v="49110"/>
    <n v="8439"/>
    <n v="0.20749428339603157"/>
  </r>
  <r>
    <x v="3"/>
    <d v="2010-03-12T00:00:00"/>
    <x v="3"/>
    <x v="1"/>
    <x v="1"/>
    <x v="19"/>
    <x v="5"/>
    <n v="574"/>
    <n v="643"/>
    <n v="69"/>
    <n v="0.12020905923344948"/>
  </r>
  <r>
    <x v="3"/>
    <d v="2010-03-12T00:00:00"/>
    <x v="3"/>
    <x v="1"/>
    <x v="1"/>
    <x v="20"/>
    <x v="5"/>
    <n v="47149"/>
    <n v="89997"/>
    <n v="42848"/>
    <n v="0.90877855309762667"/>
  </r>
  <r>
    <x v="3"/>
    <d v="2010-03-12T00:00:00"/>
    <x v="3"/>
    <x v="1"/>
    <x v="1"/>
    <x v="21"/>
    <x v="5"/>
    <n v="3234"/>
    <n v="3593"/>
    <n v="359"/>
    <n v="0.11100803957946816"/>
  </r>
  <r>
    <x v="3"/>
    <d v="2010-03-12T00:00:00"/>
    <x v="3"/>
    <x v="1"/>
    <x v="1"/>
    <x v="22"/>
    <x v="6"/>
    <n v="1020"/>
    <n v="1273"/>
    <n v="253"/>
    <n v="0.24803921568627452"/>
  </r>
  <r>
    <x v="3"/>
    <d v="2010-03-12T00:00:00"/>
    <x v="3"/>
    <x v="1"/>
    <x v="1"/>
    <x v="23"/>
    <x v="6"/>
    <n v="94313"/>
    <n v="99236"/>
    <n v="4923"/>
    <n v="5.2198530425286015E-2"/>
  </r>
  <r>
    <x v="3"/>
    <d v="2010-03-12T00:00:00"/>
    <x v="3"/>
    <x v="1"/>
    <x v="1"/>
    <x v="24"/>
    <x v="6"/>
    <n v="144525"/>
    <n v="154261"/>
    <n v="9736"/>
    <n v="6.7365507697630167E-2"/>
  </r>
  <r>
    <x v="3"/>
    <d v="2010-03-12T00:00:00"/>
    <x v="3"/>
    <x v="1"/>
    <x v="1"/>
    <x v="25"/>
    <x v="6"/>
    <n v="229915"/>
    <n v="236603"/>
    <n v="6688"/>
    <n v="2.9089011156296894E-2"/>
  </r>
  <r>
    <x v="3"/>
    <d v="2010-03-13T00:00:00"/>
    <x v="3"/>
    <x v="1"/>
    <x v="1"/>
    <x v="0"/>
    <x v="0"/>
    <n v="5601"/>
    <n v="6721"/>
    <n v="1120"/>
    <n v="0.19996429209069808"/>
  </r>
  <r>
    <x v="3"/>
    <d v="2010-03-13T00:00:00"/>
    <x v="3"/>
    <x v="1"/>
    <x v="1"/>
    <x v="1"/>
    <x v="0"/>
    <n v="157365"/>
    <n v="185246"/>
    <n v="27881"/>
    <n v="0.1771740857242716"/>
  </r>
  <r>
    <x v="3"/>
    <d v="2010-03-13T00:00:00"/>
    <x v="3"/>
    <x v="1"/>
    <x v="1"/>
    <x v="2"/>
    <x v="0"/>
    <n v="105832"/>
    <n v="118420"/>
    <n v="12588"/>
    <n v="0.11894323078086023"/>
  </r>
  <r>
    <x v="3"/>
    <d v="2010-03-13T00:00:00"/>
    <x v="3"/>
    <x v="1"/>
    <x v="1"/>
    <x v="3"/>
    <x v="0"/>
    <n v="1362"/>
    <n v="1565"/>
    <n v="203"/>
    <n v="0.14904552129221732"/>
  </r>
  <r>
    <x v="3"/>
    <d v="2010-03-13T00:00:00"/>
    <x v="3"/>
    <x v="1"/>
    <x v="1"/>
    <x v="4"/>
    <x v="0"/>
    <n v="10655"/>
    <n v="12196"/>
    <n v="1541"/>
    <n v="0.14462693571093382"/>
  </r>
  <r>
    <x v="3"/>
    <d v="2010-03-13T00:00:00"/>
    <x v="3"/>
    <x v="1"/>
    <x v="1"/>
    <x v="5"/>
    <x v="1"/>
    <n v="100304"/>
    <n v="112249"/>
    <n v="11945"/>
    <n v="0.11908797256340724"/>
  </r>
  <r>
    <x v="3"/>
    <d v="2010-03-13T00:00:00"/>
    <x v="3"/>
    <x v="1"/>
    <x v="1"/>
    <x v="6"/>
    <x v="1"/>
    <n v="355729"/>
    <n v="379975"/>
    <n v="24246"/>
    <n v="6.8158626370073847E-2"/>
  </r>
  <r>
    <x v="3"/>
    <d v="2010-03-13T00:00:00"/>
    <x v="3"/>
    <x v="1"/>
    <x v="1"/>
    <x v="7"/>
    <x v="1"/>
    <n v="116355"/>
    <n v="130525"/>
    <n v="14170"/>
    <n v="0.12178247604314382"/>
  </r>
  <r>
    <x v="3"/>
    <d v="2010-03-13T00:00:00"/>
    <x v="3"/>
    <x v="1"/>
    <x v="1"/>
    <x v="8"/>
    <x v="1"/>
    <n v="139921"/>
    <n v="154978"/>
    <n v="15057"/>
    <n v="0.10761072319380222"/>
  </r>
  <r>
    <x v="3"/>
    <d v="2010-03-13T00:00:00"/>
    <x v="3"/>
    <x v="1"/>
    <x v="1"/>
    <x v="9"/>
    <x v="2"/>
    <n v="367323"/>
    <n v="396729"/>
    <n v="29406"/>
    <n v="8.0054883576579736E-2"/>
  </r>
  <r>
    <x v="3"/>
    <d v="2010-03-13T00:00:00"/>
    <x v="3"/>
    <x v="1"/>
    <x v="1"/>
    <x v="10"/>
    <x v="2"/>
    <n v="134785"/>
    <n v="142726"/>
    <n v="7941"/>
    <n v="5.8916051489409059E-2"/>
  </r>
  <r>
    <x v="3"/>
    <d v="2010-03-13T00:00:00"/>
    <x v="3"/>
    <x v="1"/>
    <x v="1"/>
    <x v="11"/>
    <x v="2"/>
    <n v="140624"/>
    <n v="151968"/>
    <n v="11344"/>
    <n v="8.0669018090795311E-2"/>
  </r>
  <r>
    <x v="3"/>
    <d v="2010-03-13T00:00:00"/>
    <x v="3"/>
    <x v="1"/>
    <x v="1"/>
    <x v="12"/>
    <x v="2"/>
    <n v="10644"/>
    <n v="11555"/>
    <n v="911"/>
    <n v="8.5588124765125895E-2"/>
  </r>
  <r>
    <x v="3"/>
    <d v="2010-03-13T00:00:00"/>
    <x v="3"/>
    <x v="1"/>
    <x v="1"/>
    <x v="26"/>
    <x v="3"/>
    <n v="21113"/>
    <n v="23505"/>
    <n v="2392"/>
    <n v="0.11329512622554824"/>
  </r>
  <r>
    <x v="3"/>
    <d v="2010-03-13T00:00:00"/>
    <x v="3"/>
    <x v="1"/>
    <x v="1"/>
    <x v="13"/>
    <x v="3"/>
    <n v="98786"/>
    <n v="111858"/>
    <n v="13072"/>
    <n v="0.13232644301824145"/>
  </r>
  <r>
    <x v="3"/>
    <d v="2010-03-13T00:00:00"/>
    <x v="3"/>
    <x v="1"/>
    <x v="1"/>
    <x v="14"/>
    <x v="3"/>
    <n v="112475"/>
    <n v="126157"/>
    <n v="13682"/>
    <n v="0.1216448099577684"/>
  </r>
  <r>
    <x v="3"/>
    <d v="2010-03-13T00:00:00"/>
    <x v="3"/>
    <x v="1"/>
    <x v="1"/>
    <x v="15"/>
    <x v="3"/>
    <n v="519216"/>
    <n v="569720"/>
    <n v="50504"/>
    <n v="9.7269729746386854E-2"/>
  </r>
  <r>
    <x v="3"/>
    <d v="2010-03-13T00:00:00"/>
    <x v="3"/>
    <x v="1"/>
    <x v="1"/>
    <x v="16"/>
    <x v="3"/>
    <n v="99861"/>
    <n v="112720"/>
    <n v="12859"/>
    <n v="0.12876898889456345"/>
  </r>
  <r>
    <x v="3"/>
    <d v="2010-03-13T00:00:00"/>
    <x v="3"/>
    <x v="1"/>
    <x v="1"/>
    <x v="17"/>
    <x v="4"/>
    <n v="568449"/>
    <n v="693142"/>
    <n v="124693"/>
    <n v="0.21935652978543368"/>
  </r>
  <r>
    <x v="3"/>
    <d v="2010-03-13T00:00:00"/>
    <x v="3"/>
    <x v="1"/>
    <x v="1"/>
    <x v="18"/>
    <x v="5"/>
    <n v="47270"/>
    <n v="58500"/>
    <n v="11230"/>
    <n v="0.23757139834990479"/>
  </r>
  <r>
    <x v="3"/>
    <d v="2010-03-13T00:00:00"/>
    <x v="3"/>
    <x v="1"/>
    <x v="1"/>
    <x v="20"/>
    <x v="5"/>
    <n v="57165"/>
    <n v="114653"/>
    <n v="57488"/>
    <n v="1.0056503105046795"/>
  </r>
  <r>
    <x v="3"/>
    <d v="2010-03-13T00:00:00"/>
    <x v="3"/>
    <x v="1"/>
    <x v="1"/>
    <x v="21"/>
    <x v="5"/>
    <n v="4412"/>
    <n v="4901"/>
    <n v="489"/>
    <n v="0.11083408884859475"/>
  </r>
  <r>
    <x v="3"/>
    <d v="2010-03-13T00:00:00"/>
    <x v="3"/>
    <x v="1"/>
    <x v="1"/>
    <x v="22"/>
    <x v="6"/>
    <n v="4639"/>
    <n v="5693"/>
    <n v="1054"/>
    <n v="0.22720413882302221"/>
  </r>
  <r>
    <x v="3"/>
    <d v="2010-03-13T00:00:00"/>
    <x v="3"/>
    <x v="1"/>
    <x v="1"/>
    <x v="23"/>
    <x v="6"/>
    <n v="143095"/>
    <n v="149182"/>
    <n v="6087"/>
    <n v="4.2538173940389251E-2"/>
  </r>
  <r>
    <x v="3"/>
    <d v="2010-03-13T00:00:00"/>
    <x v="3"/>
    <x v="1"/>
    <x v="1"/>
    <x v="24"/>
    <x v="6"/>
    <n v="236191"/>
    <n v="255393"/>
    <n v="19202"/>
    <n v="8.12986100232439E-2"/>
  </r>
  <r>
    <x v="3"/>
    <d v="2010-03-13T00:00:00"/>
    <x v="3"/>
    <x v="1"/>
    <x v="1"/>
    <x v="25"/>
    <x v="6"/>
    <n v="412685"/>
    <n v="424840"/>
    <n v="12155"/>
    <n v="2.9453457237360214E-2"/>
  </r>
  <r>
    <x v="3"/>
    <d v="2010-03-14T00:00:00"/>
    <x v="4"/>
    <x v="1"/>
    <x v="1"/>
    <x v="0"/>
    <x v="0"/>
    <n v="3314"/>
    <n v="3965"/>
    <n v="651"/>
    <n v="0.1964393482196741"/>
  </r>
  <r>
    <x v="3"/>
    <d v="2010-03-14T00:00:00"/>
    <x v="4"/>
    <x v="1"/>
    <x v="1"/>
    <x v="1"/>
    <x v="0"/>
    <n v="120958"/>
    <n v="146055"/>
    <n v="25097"/>
    <n v="0.20748524281155442"/>
  </r>
  <r>
    <x v="3"/>
    <d v="2010-03-14T00:00:00"/>
    <x v="4"/>
    <x v="1"/>
    <x v="1"/>
    <x v="2"/>
    <x v="0"/>
    <n v="62712"/>
    <n v="70548"/>
    <n v="7836"/>
    <n v="0.12495216226559511"/>
  </r>
  <r>
    <x v="3"/>
    <d v="2010-03-14T00:00:00"/>
    <x v="4"/>
    <x v="1"/>
    <x v="1"/>
    <x v="3"/>
    <x v="0"/>
    <n v="788"/>
    <n v="1015"/>
    <n v="227"/>
    <n v="0.28807106598984772"/>
  </r>
  <r>
    <x v="3"/>
    <d v="2010-03-14T00:00:00"/>
    <x v="4"/>
    <x v="1"/>
    <x v="1"/>
    <x v="4"/>
    <x v="0"/>
    <n v="15367"/>
    <n v="17615"/>
    <n v="2248"/>
    <n v="0.14628749918656861"/>
  </r>
  <r>
    <x v="3"/>
    <d v="2010-03-14T00:00:00"/>
    <x v="4"/>
    <x v="1"/>
    <x v="1"/>
    <x v="5"/>
    <x v="1"/>
    <n v="106264"/>
    <n v="118478"/>
    <n v="12214"/>
    <n v="0.11494014906271173"/>
  </r>
  <r>
    <x v="3"/>
    <d v="2010-03-14T00:00:00"/>
    <x v="4"/>
    <x v="1"/>
    <x v="1"/>
    <x v="6"/>
    <x v="1"/>
    <n v="280999"/>
    <n v="298385"/>
    <n v="17386"/>
    <n v="6.1872106306428136E-2"/>
  </r>
  <r>
    <x v="3"/>
    <d v="2010-03-14T00:00:00"/>
    <x v="4"/>
    <x v="1"/>
    <x v="1"/>
    <x v="7"/>
    <x v="1"/>
    <n v="107798"/>
    <n v="118227"/>
    <n v="10429"/>
    <n v="9.6745765227555236E-2"/>
  </r>
  <r>
    <x v="3"/>
    <d v="2010-03-14T00:00:00"/>
    <x v="4"/>
    <x v="1"/>
    <x v="1"/>
    <x v="8"/>
    <x v="1"/>
    <n v="102505"/>
    <n v="111296"/>
    <n v="8791"/>
    <n v="8.5761670162431095E-2"/>
  </r>
  <r>
    <x v="3"/>
    <d v="2010-03-14T00:00:00"/>
    <x v="4"/>
    <x v="1"/>
    <x v="1"/>
    <x v="9"/>
    <x v="2"/>
    <n v="381883"/>
    <n v="404808"/>
    <n v="22925"/>
    <n v="6.0031475609021612E-2"/>
  </r>
  <r>
    <x v="3"/>
    <d v="2010-03-14T00:00:00"/>
    <x v="4"/>
    <x v="1"/>
    <x v="1"/>
    <x v="10"/>
    <x v="2"/>
    <n v="133406"/>
    <n v="139076"/>
    <n v="5670"/>
    <n v="4.2501836499107985E-2"/>
  </r>
  <r>
    <x v="3"/>
    <d v="2010-03-14T00:00:00"/>
    <x v="4"/>
    <x v="1"/>
    <x v="1"/>
    <x v="11"/>
    <x v="2"/>
    <n v="138518"/>
    <n v="147434"/>
    <n v="8916"/>
    <n v="6.4367085866096824E-2"/>
  </r>
  <r>
    <x v="3"/>
    <d v="2010-03-14T00:00:00"/>
    <x v="4"/>
    <x v="1"/>
    <x v="1"/>
    <x v="12"/>
    <x v="2"/>
    <n v="13260"/>
    <n v="13753"/>
    <n v="493"/>
    <n v="3.7179487179487179E-2"/>
  </r>
  <r>
    <x v="3"/>
    <d v="2010-03-14T00:00:00"/>
    <x v="4"/>
    <x v="1"/>
    <x v="1"/>
    <x v="26"/>
    <x v="3"/>
    <n v="16759"/>
    <n v="18678"/>
    <n v="1919"/>
    <n v="0.1145056387612626"/>
  </r>
  <r>
    <x v="3"/>
    <d v="2010-03-14T00:00:00"/>
    <x v="4"/>
    <x v="1"/>
    <x v="1"/>
    <x v="13"/>
    <x v="3"/>
    <n v="65170"/>
    <n v="73671"/>
    <n v="8501"/>
    <n v="0.1304434555777198"/>
  </r>
  <r>
    <x v="3"/>
    <d v="2010-03-14T00:00:00"/>
    <x v="4"/>
    <x v="1"/>
    <x v="1"/>
    <x v="14"/>
    <x v="3"/>
    <n v="78447"/>
    <n v="87572"/>
    <n v="9125"/>
    <n v="0.11632057312580468"/>
  </r>
  <r>
    <x v="3"/>
    <d v="2010-03-14T00:00:00"/>
    <x v="4"/>
    <x v="1"/>
    <x v="1"/>
    <x v="15"/>
    <x v="3"/>
    <n v="441463"/>
    <n v="484538"/>
    <n v="43075"/>
    <n v="9.7573296063316745E-2"/>
  </r>
  <r>
    <x v="3"/>
    <d v="2010-03-14T00:00:00"/>
    <x v="4"/>
    <x v="1"/>
    <x v="1"/>
    <x v="16"/>
    <x v="3"/>
    <n v="83536"/>
    <n v="94442"/>
    <n v="10906"/>
    <n v="0.1305544914767286"/>
  </r>
  <r>
    <x v="3"/>
    <d v="2010-03-14T00:00:00"/>
    <x v="4"/>
    <x v="1"/>
    <x v="1"/>
    <x v="17"/>
    <x v="4"/>
    <n v="394410"/>
    <n v="483189"/>
    <n v="88779"/>
    <n v="0.22509317715068075"/>
  </r>
  <r>
    <x v="3"/>
    <d v="2010-03-14T00:00:00"/>
    <x v="4"/>
    <x v="1"/>
    <x v="1"/>
    <x v="18"/>
    <x v="5"/>
    <n v="66822"/>
    <n v="80532"/>
    <n v="13710"/>
    <n v="0.20517194935799588"/>
  </r>
  <r>
    <x v="3"/>
    <d v="2010-03-14T00:00:00"/>
    <x v="4"/>
    <x v="1"/>
    <x v="1"/>
    <x v="20"/>
    <x v="5"/>
    <n v="42533"/>
    <n v="85924"/>
    <n v="43391"/>
    <n v="1.0201725718853596"/>
  </r>
  <r>
    <x v="3"/>
    <d v="2010-03-14T00:00:00"/>
    <x v="4"/>
    <x v="1"/>
    <x v="1"/>
    <x v="22"/>
    <x v="6"/>
    <n v="2997"/>
    <n v="3713"/>
    <n v="716"/>
    <n v="0.23890557223890557"/>
  </r>
  <r>
    <x v="3"/>
    <d v="2010-03-14T00:00:00"/>
    <x v="4"/>
    <x v="1"/>
    <x v="1"/>
    <x v="23"/>
    <x v="6"/>
    <n v="123548"/>
    <n v="130204"/>
    <n v="6656"/>
    <n v="5.387379803800952E-2"/>
  </r>
  <r>
    <x v="3"/>
    <d v="2010-03-14T00:00:00"/>
    <x v="4"/>
    <x v="1"/>
    <x v="1"/>
    <x v="24"/>
    <x v="6"/>
    <n v="203912"/>
    <n v="218474"/>
    <n v="14562"/>
    <n v="7.1413158617442823E-2"/>
  </r>
  <r>
    <x v="3"/>
    <d v="2010-03-14T00:00:00"/>
    <x v="4"/>
    <x v="1"/>
    <x v="1"/>
    <x v="25"/>
    <x v="6"/>
    <n v="296422"/>
    <n v="308068"/>
    <n v="11646"/>
    <n v="3.9288581819163219E-2"/>
  </r>
  <r>
    <x v="3"/>
    <d v="2010-03-15T00:00:00"/>
    <x v="4"/>
    <x v="1"/>
    <x v="1"/>
    <x v="0"/>
    <x v="0"/>
    <n v="3315"/>
    <n v="4065"/>
    <n v="750"/>
    <n v="0.22624434389140272"/>
  </r>
  <r>
    <x v="3"/>
    <d v="2010-03-15T00:00:00"/>
    <x v="4"/>
    <x v="1"/>
    <x v="1"/>
    <x v="1"/>
    <x v="0"/>
    <n v="119547"/>
    <n v="146989"/>
    <n v="27442"/>
    <n v="0.22954988414598443"/>
  </r>
  <r>
    <x v="3"/>
    <d v="2010-03-15T00:00:00"/>
    <x v="4"/>
    <x v="1"/>
    <x v="1"/>
    <x v="2"/>
    <x v="0"/>
    <n v="64474"/>
    <n v="72970"/>
    <n v="8496"/>
    <n v="0.13177404845364021"/>
  </r>
  <r>
    <x v="3"/>
    <d v="2010-03-15T00:00:00"/>
    <x v="4"/>
    <x v="1"/>
    <x v="1"/>
    <x v="3"/>
    <x v="0"/>
    <n v="435"/>
    <n v="500"/>
    <n v="65"/>
    <n v="0.14942528735632185"/>
  </r>
  <r>
    <x v="3"/>
    <d v="2010-03-15T00:00:00"/>
    <x v="4"/>
    <x v="1"/>
    <x v="1"/>
    <x v="4"/>
    <x v="0"/>
    <n v="18122"/>
    <n v="20413"/>
    <n v="2291"/>
    <n v="0.1264209248427326"/>
  </r>
  <r>
    <x v="3"/>
    <d v="2010-03-15T00:00:00"/>
    <x v="4"/>
    <x v="1"/>
    <x v="1"/>
    <x v="5"/>
    <x v="1"/>
    <n v="89424"/>
    <n v="100524"/>
    <n v="11100"/>
    <n v="0.12412775093934514"/>
  </r>
  <r>
    <x v="3"/>
    <d v="2010-03-15T00:00:00"/>
    <x v="4"/>
    <x v="1"/>
    <x v="1"/>
    <x v="6"/>
    <x v="1"/>
    <n v="243047"/>
    <n v="253607"/>
    <n v="10560"/>
    <n v="4.3448386526062859E-2"/>
  </r>
  <r>
    <x v="3"/>
    <d v="2010-03-15T00:00:00"/>
    <x v="4"/>
    <x v="1"/>
    <x v="1"/>
    <x v="7"/>
    <x v="1"/>
    <n v="68299"/>
    <n v="75546"/>
    <n v="7247"/>
    <n v="0.10610697081948491"/>
  </r>
  <r>
    <x v="3"/>
    <d v="2010-03-15T00:00:00"/>
    <x v="4"/>
    <x v="1"/>
    <x v="1"/>
    <x v="8"/>
    <x v="1"/>
    <n v="71274"/>
    <n v="76929"/>
    <n v="5655"/>
    <n v="7.9341695428908163E-2"/>
  </r>
  <r>
    <x v="3"/>
    <d v="2010-03-15T00:00:00"/>
    <x v="4"/>
    <x v="1"/>
    <x v="1"/>
    <x v="9"/>
    <x v="2"/>
    <n v="261795"/>
    <n v="280302"/>
    <n v="18507"/>
    <n v="7.0692717584369444E-2"/>
  </r>
  <r>
    <x v="3"/>
    <d v="2010-03-15T00:00:00"/>
    <x v="4"/>
    <x v="1"/>
    <x v="1"/>
    <x v="10"/>
    <x v="2"/>
    <n v="169603"/>
    <n v="178336"/>
    <n v="8733"/>
    <n v="5.1490834478163709E-2"/>
  </r>
  <r>
    <x v="3"/>
    <d v="2010-03-15T00:00:00"/>
    <x v="4"/>
    <x v="1"/>
    <x v="1"/>
    <x v="11"/>
    <x v="2"/>
    <n v="99457"/>
    <n v="107353"/>
    <n v="7896"/>
    <n v="7.9391093638456825E-2"/>
  </r>
  <r>
    <x v="3"/>
    <d v="2010-03-15T00:00:00"/>
    <x v="4"/>
    <x v="1"/>
    <x v="1"/>
    <x v="12"/>
    <x v="2"/>
    <n v="11344"/>
    <n v="11951"/>
    <n v="607"/>
    <n v="5.3508462623413258E-2"/>
  </r>
  <r>
    <x v="3"/>
    <d v="2010-03-15T00:00:00"/>
    <x v="4"/>
    <x v="1"/>
    <x v="1"/>
    <x v="26"/>
    <x v="3"/>
    <n v="11894"/>
    <n v="13291"/>
    <n v="1397"/>
    <n v="0.117454178577434"/>
  </r>
  <r>
    <x v="3"/>
    <d v="2010-03-15T00:00:00"/>
    <x v="4"/>
    <x v="1"/>
    <x v="1"/>
    <x v="13"/>
    <x v="3"/>
    <n v="59981"/>
    <n v="67795"/>
    <n v="7814"/>
    <n v="0.13027458695253497"/>
  </r>
  <r>
    <x v="3"/>
    <d v="2010-03-15T00:00:00"/>
    <x v="4"/>
    <x v="1"/>
    <x v="1"/>
    <x v="14"/>
    <x v="3"/>
    <n v="63256"/>
    <n v="70896"/>
    <n v="7640"/>
    <n v="0.12077905653218667"/>
  </r>
  <r>
    <x v="3"/>
    <d v="2010-03-15T00:00:00"/>
    <x v="4"/>
    <x v="1"/>
    <x v="1"/>
    <x v="15"/>
    <x v="3"/>
    <n v="334111"/>
    <n v="368999"/>
    <n v="34888"/>
    <n v="0.10442038723657707"/>
  </r>
  <r>
    <x v="3"/>
    <d v="2010-03-15T00:00:00"/>
    <x v="4"/>
    <x v="1"/>
    <x v="1"/>
    <x v="16"/>
    <x v="3"/>
    <n v="57216"/>
    <n v="64864"/>
    <n v="7648"/>
    <n v="0.13366890380313198"/>
  </r>
  <r>
    <x v="3"/>
    <d v="2010-03-15T00:00:00"/>
    <x v="4"/>
    <x v="1"/>
    <x v="1"/>
    <x v="17"/>
    <x v="4"/>
    <n v="347093"/>
    <n v="410872"/>
    <n v="63779"/>
    <n v="0.18375190510900538"/>
  </r>
  <r>
    <x v="3"/>
    <d v="2010-03-15T00:00:00"/>
    <x v="4"/>
    <x v="1"/>
    <x v="1"/>
    <x v="18"/>
    <x v="5"/>
    <n v="45158"/>
    <n v="57045"/>
    <n v="11887"/>
    <n v="0.26323132113911157"/>
  </r>
  <r>
    <x v="3"/>
    <d v="2010-03-15T00:00:00"/>
    <x v="4"/>
    <x v="1"/>
    <x v="1"/>
    <x v="20"/>
    <x v="5"/>
    <n v="48609"/>
    <n v="94509"/>
    <n v="45900"/>
    <n v="0.94426957970746161"/>
  </r>
  <r>
    <x v="3"/>
    <d v="2010-03-15T00:00:00"/>
    <x v="4"/>
    <x v="1"/>
    <x v="1"/>
    <x v="21"/>
    <x v="5"/>
    <n v="10954"/>
    <n v="12171"/>
    <n v="1217"/>
    <n v="0.11110096768303816"/>
  </r>
  <r>
    <x v="3"/>
    <d v="2010-03-15T00:00:00"/>
    <x v="4"/>
    <x v="1"/>
    <x v="1"/>
    <x v="22"/>
    <x v="6"/>
    <n v="1783"/>
    <n v="2238"/>
    <n v="455"/>
    <n v="0.25518788558609085"/>
  </r>
  <r>
    <x v="3"/>
    <d v="2010-03-15T00:00:00"/>
    <x v="4"/>
    <x v="1"/>
    <x v="1"/>
    <x v="23"/>
    <x v="6"/>
    <n v="90237"/>
    <n v="88880"/>
    <n v="-1357"/>
    <n v="-1.5038177244367609E-2"/>
  </r>
  <r>
    <x v="3"/>
    <d v="2010-03-15T00:00:00"/>
    <x v="4"/>
    <x v="1"/>
    <x v="1"/>
    <x v="24"/>
    <x v="6"/>
    <n v="142322"/>
    <n v="154191"/>
    <n v="11869"/>
    <n v="8.339539916527311E-2"/>
  </r>
  <r>
    <x v="3"/>
    <d v="2010-03-15T00:00:00"/>
    <x v="4"/>
    <x v="1"/>
    <x v="1"/>
    <x v="25"/>
    <x v="6"/>
    <n v="224923"/>
    <n v="226263"/>
    <n v="1340"/>
    <n v="5.9575943767422633E-3"/>
  </r>
  <r>
    <x v="3"/>
    <d v="2010-03-16T00:00:00"/>
    <x v="4"/>
    <x v="1"/>
    <x v="1"/>
    <x v="0"/>
    <x v="0"/>
    <n v="2841.55"/>
    <n v="3853.23"/>
    <n v="1011.6799999999998"/>
    <n v="0.35603103939751185"/>
  </r>
  <r>
    <x v="3"/>
    <d v="2010-03-16T00:00:00"/>
    <x v="4"/>
    <x v="1"/>
    <x v="1"/>
    <x v="1"/>
    <x v="0"/>
    <n v="84275.87"/>
    <n v="107098.21"/>
    <n v="22822.340000000011"/>
    <n v="0.27080515454779658"/>
  </r>
  <r>
    <x v="3"/>
    <d v="2010-03-16T00:00:00"/>
    <x v="4"/>
    <x v="1"/>
    <x v="1"/>
    <x v="2"/>
    <x v="0"/>
    <n v="59530.91"/>
    <n v="65616.39"/>
    <n v="6085.4799999999959"/>
    <n v="0.10222386991900503"/>
  </r>
  <r>
    <x v="3"/>
    <d v="2010-03-16T00:00:00"/>
    <x v="4"/>
    <x v="1"/>
    <x v="1"/>
    <x v="3"/>
    <x v="0"/>
    <n v="744"/>
    <n v="838.92"/>
    <n v="94.919999999999959"/>
    <n v="0.12758064516129028"/>
  </r>
  <r>
    <x v="3"/>
    <d v="2010-03-16T00:00:00"/>
    <x v="4"/>
    <x v="1"/>
    <x v="1"/>
    <x v="4"/>
    <x v="0"/>
    <n v="8532.6"/>
    <n v="9391.14"/>
    <n v="858.53999999999905"/>
    <n v="0.10061880317839803"/>
  </r>
  <r>
    <x v="3"/>
    <d v="2010-03-16T00:00:00"/>
    <x v="4"/>
    <x v="1"/>
    <x v="1"/>
    <x v="5"/>
    <x v="1"/>
    <n v="73948.899999999994"/>
    <n v="82557.7"/>
    <n v="8608.8000000000029"/>
    <n v="0.1164155247745403"/>
  </r>
  <r>
    <x v="3"/>
    <d v="2010-03-16T00:00:00"/>
    <x v="4"/>
    <x v="1"/>
    <x v="1"/>
    <x v="6"/>
    <x v="1"/>
    <n v="189371.02"/>
    <n v="205264.43"/>
    <n v="15893.410000000003"/>
    <n v="8.3927361219261559E-2"/>
  </r>
  <r>
    <x v="3"/>
    <d v="2010-03-16T00:00:00"/>
    <x v="4"/>
    <x v="1"/>
    <x v="1"/>
    <x v="7"/>
    <x v="1"/>
    <n v="44972.21"/>
    <n v="50223.87"/>
    <n v="5251.6600000000035"/>
    <n v="0.11677567101994774"/>
  </r>
  <r>
    <x v="3"/>
    <d v="2010-03-16T00:00:00"/>
    <x v="4"/>
    <x v="1"/>
    <x v="1"/>
    <x v="8"/>
    <x v="1"/>
    <n v="67126.929999999993"/>
    <n v="73004.539999999994"/>
    <n v="5877.6100000000006"/>
    <n v="8.7559642605434224E-2"/>
  </r>
  <r>
    <x v="3"/>
    <d v="2010-03-16T00:00:00"/>
    <x v="4"/>
    <x v="1"/>
    <x v="1"/>
    <x v="9"/>
    <x v="2"/>
    <n v="206294.96"/>
    <n v="220652.46"/>
    <n v="14357.5"/>
    <n v="6.9596949920637904E-2"/>
  </r>
  <r>
    <x v="3"/>
    <d v="2010-03-16T00:00:00"/>
    <x v="4"/>
    <x v="1"/>
    <x v="1"/>
    <x v="10"/>
    <x v="2"/>
    <n v="97813.27"/>
    <n v="102733.7"/>
    <n v="4920.429999999993"/>
    <n v="5.030431964906186E-2"/>
  </r>
  <r>
    <x v="3"/>
    <d v="2010-03-16T00:00:00"/>
    <x v="4"/>
    <x v="1"/>
    <x v="1"/>
    <x v="11"/>
    <x v="2"/>
    <n v="98083"/>
    <n v="105329.11"/>
    <n v="7246.1100000000006"/>
    <n v="7.3877328385143201E-2"/>
  </r>
  <r>
    <x v="3"/>
    <d v="2010-03-16T00:00:00"/>
    <x v="4"/>
    <x v="1"/>
    <x v="1"/>
    <x v="12"/>
    <x v="2"/>
    <n v="12206"/>
    <n v="12841.98"/>
    <n v="635.97999999999956"/>
    <n v="5.2103883336064194E-2"/>
  </r>
  <r>
    <x v="3"/>
    <d v="2010-03-16T00:00:00"/>
    <x v="4"/>
    <x v="1"/>
    <x v="1"/>
    <x v="26"/>
    <x v="3"/>
    <n v="5238.45"/>
    <n v="5820.8"/>
    <n v="582.35000000000036"/>
    <n v="0.11116837995972098"/>
  </r>
  <r>
    <x v="3"/>
    <d v="2010-03-16T00:00:00"/>
    <x v="4"/>
    <x v="1"/>
    <x v="1"/>
    <x v="13"/>
    <x v="3"/>
    <n v="38828.089999999997"/>
    <n v="44006.66"/>
    <n v="5178.570000000007"/>
    <n v="0.13337174195279777"/>
  </r>
  <r>
    <x v="3"/>
    <d v="2010-03-16T00:00:00"/>
    <x v="4"/>
    <x v="1"/>
    <x v="1"/>
    <x v="14"/>
    <x v="3"/>
    <n v="63265.03"/>
    <n v="68783.73"/>
    <n v="5518.6999999999971"/>
    <n v="8.7231445239178695E-2"/>
  </r>
  <r>
    <x v="3"/>
    <d v="2010-03-16T00:00:00"/>
    <x v="4"/>
    <x v="1"/>
    <x v="1"/>
    <x v="15"/>
    <x v="3"/>
    <n v="263216.86"/>
    <n v="288861.57"/>
    <n v="25644.710000000021"/>
    <n v="9.7428067487774231E-2"/>
  </r>
  <r>
    <x v="3"/>
    <d v="2010-03-16T00:00:00"/>
    <x v="4"/>
    <x v="1"/>
    <x v="1"/>
    <x v="16"/>
    <x v="3"/>
    <n v="51087.78"/>
    <n v="57920.25"/>
    <n v="6832.4700000000012"/>
    <n v="0.13373981018552775"/>
  </r>
  <r>
    <x v="3"/>
    <d v="2010-03-16T00:00:00"/>
    <x v="4"/>
    <x v="1"/>
    <x v="1"/>
    <x v="17"/>
    <x v="4"/>
    <n v="276988.5"/>
    <n v="328044.27"/>
    <n v="51055.770000000019"/>
    <n v="0.18432451166745195"/>
  </r>
  <r>
    <x v="3"/>
    <d v="2010-03-16T00:00:00"/>
    <x v="4"/>
    <x v="1"/>
    <x v="1"/>
    <x v="18"/>
    <x v="5"/>
    <n v="28974.59"/>
    <n v="35322.74"/>
    <n v="6348.1499999999978"/>
    <n v="0.21909369554495844"/>
  </r>
  <r>
    <x v="3"/>
    <d v="2010-03-16T00:00:00"/>
    <x v="4"/>
    <x v="1"/>
    <x v="1"/>
    <x v="20"/>
    <x v="5"/>
    <n v="31823.63"/>
    <n v="61443.29"/>
    <n v="29619.66"/>
    <n v="0.93074422999513251"/>
  </r>
  <r>
    <x v="3"/>
    <d v="2010-03-16T00:00:00"/>
    <x v="4"/>
    <x v="1"/>
    <x v="1"/>
    <x v="21"/>
    <x v="5"/>
    <n v="3522.31"/>
    <n v="3913.04"/>
    <n v="390.73"/>
    <n v="0.11093004306832732"/>
  </r>
  <r>
    <x v="3"/>
    <d v="2010-03-16T00:00:00"/>
    <x v="4"/>
    <x v="1"/>
    <x v="1"/>
    <x v="22"/>
    <x v="6"/>
    <n v="1110"/>
    <n v="1390.06"/>
    <n v="280.05999999999995"/>
    <n v="0.25230630630630624"/>
  </r>
  <r>
    <x v="3"/>
    <d v="2010-03-16T00:00:00"/>
    <x v="4"/>
    <x v="1"/>
    <x v="1"/>
    <x v="23"/>
    <x v="6"/>
    <n v="67505.440000000002"/>
    <n v="71387.360000000001"/>
    <n v="3881.9199999999983"/>
    <n v="5.750529142540213E-2"/>
  </r>
  <r>
    <x v="3"/>
    <d v="2010-03-16T00:00:00"/>
    <x v="4"/>
    <x v="1"/>
    <x v="1"/>
    <x v="24"/>
    <x v="6"/>
    <n v="136180.81"/>
    <n v="145451.31"/>
    <n v="9270.5"/>
    <n v="6.8074936549430129E-2"/>
  </r>
  <r>
    <x v="3"/>
    <d v="2010-03-16T00:00:00"/>
    <x v="4"/>
    <x v="1"/>
    <x v="1"/>
    <x v="25"/>
    <x v="6"/>
    <n v="141142.94"/>
    <n v="145464.32000000001"/>
    <n v="4321.3800000000047"/>
    <n v="3.0617046803757982E-2"/>
  </r>
  <r>
    <x v="3"/>
    <d v="2010-03-17T00:00:00"/>
    <x v="4"/>
    <x v="1"/>
    <x v="1"/>
    <x v="0"/>
    <x v="0"/>
    <n v="8203"/>
    <n v="9523"/>
    <n v="1320"/>
    <n v="0.1609167377788614"/>
  </r>
  <r>
    <x v="3"/>
    <d v="2010-03-17T00:00:00"/>
    <x v="4"/>
    <x v="1"/>
    <x v="1"/>
    <x v="1"/>
    <x v="0"/>
    <n v="92660"/>
    <n v="118278"/>
    <n v="25618"/>
    <n v="0.27647312756313402"/>
  </r>
  <r>
    <x v="3"/>
    <d v="2010-03-17T00:00:00"/>
    <x v="4"/>
    <x v="1"/>
    <x v="1"/>
    <x v="2"/>
    <x v="0"/>
    <n v="134735"/>
    <n v="144340"/>
    <n v="9605"/>
    <n v="7.1288084016773667E-2"/>
  </r>
  <r>
    <x v="3"/>
    <d v="2010-03-17T00:00:00"/>
    <x v="4"/>
    <x v="1"/>
    <x v="1"/>
    <x v="4"/>
    <x v="0"/>
    <n v="3581"/>
    <n v="3906"/>
    <n v="325"/>
    <n v="9.0756771851438142E-2"/>
  </r>
  <r>
    <x v="3"/>
    <d v="2010-03-17T00:00:00"/>
    <x v="4"/>
    <x v="1"/>
    <x v="1"/>
    <x v="5"/>
    <x v="1"/>
    <n v="57058"/>
    <n v="65387"/>
    <n v="8329"/>
    <n v="0.14597427179361352"/>
  </r>
  <r>
    <x v="3"/>
    <d v="2010-03-17T00:00:00"/>
    <x v="4"/>
    <x v="1"/>
    <x v="1"/>
    <x v="6"/>
    <x v="1"/>
    <n v="248750"/>
    <n v="262958"/>
    <n v="14208"/>
    <n v="5.711758793969849E-2"/>
  </r>
  <r>
    <x v="3"/>
    <d v="2010-03-17T00:00:00"/>
    <x v="4"/>
    <x v="1"/>
    <x v="1"/>
    <x v="7"/>
    <x v="1"/>
    <n v="69728"/>
    <n v="75804"/>
    <n v="6076"/>
    <n v="8.7138595686094542E-2"/>
  </r>
  <r>
    <x v="3"/>
    <d v="2010-03-17T00:00:00"/>
    <x v="4"/>
    <x v="1"/>
    <x v="1"/>
    <x v="8"/>
    <x v="1"/>
    <n v="69203"/>
    <n v="75567"/>
    <n v="6364"/>
    <n v="9.1961331156163756E-2"/>
  </r>
  <r>
    <x v="3"/>
    <d v="2010-03-17T00:00:00"/>
    <x v="4"/>
    <x v="1"/>
    <x v="1"/>
    <x v="9"/>
    <x v="2"/>
    <n v="217560"/>
    <n v="237534"/>
    <n v="19974"/>
    <n v="9.1809156094870378E-2"/>
  </r>
  <r>
    <x v="3"/>
    <d v="2010-03-17T00:00:00"/>
    <x v="4"/>
    <x v="1"/>
    <x v="1"/>
    <x v="10"/>
    <x v="2"/>
    <n v="135530"/>
    <n v="142201"/>
    <n v="6671"/>
    <n v="4.9221574559138198E-2"/>
  </r>
  <r>
    <x v="3"/>
    <d v="2010-03-17T00:00:00"/>
    <x v="4"/>
    <x v="1"/>
    <x v="1"/>
    <x v="11"/>
    <x v="2"/>
    <n v="121136"/>
    <n v="129928"/>
    <n v="8792"/>
    <n v="7.2579579976225064E-2"/>
  </r>
  <r>
    <x v="3"/>
    <d v="2010-03-17T00:00:00"/>
    <x v="4"/>
    <x v="1"/>
    <x v="1"/>
    <x v="12"/>
    <x v="2"/>
    <n v="12214"/>
    <n v="12956"/>
    <n v="742"/>
    <n v="6.0749959063369906E-2"/>
  </r>
  <r>
    <x v="3"/>
    <d v="2010-03-17T00:00:00"/>
    <x v="4"/>
    <x v="1"/>
    <x v="1"/>
    <x v="26"/>
    <x v="3"/>
    <n v="5693"/>
    <n v="6365"/>
    <n v="672"/>
    <n v="0.11803969787458282"/>
  </r>
  <r>
    <x v="3"/>
    <d v="2010-03-17T00:00:00"/>
    <x v="4"/>
    <x v="1"/>
    <x v="1"/>
    <x v="13"/>
    <x v="3"/>
    <n v="32564"/>
    <n v="36845"/>
    <n v="4281"/>
    <n v="0.13146419358801131"/>
  </r>
  <r>
    <x v="3"/>
    <d v="2010-03-17T00:00:00"/>
    <x v="4"/>
    <x v="1"/>
    <x v="1"/>
    <x v="14"/>
    <x v="3"/>
    <n v="48392"/>
    <n v="54443"/>
    <n v="6051"/>
    <n v="0.12504132914531327"/>
  </r>
  <r>
    <x v="3"/>
    <d v="2010-03-17T00:00:00"/>
    <x v="4"/>
    <x v="1"/>
    <x v="1"/>
    <x v="15"/>
    <x v="3"/>
    <n v="296724"/>
    <n v="324337"/>
    <n v="27613"/>
    <n v="9.305954354888718E-2"/>
  </r>
  <r>
    <x v="3"/>
    <d v="2010-03-17T00:00:00"/>
    <x v="4"/>
    <x v="1"/>
    <x v="1"/>
    <x v="16"/>
    <x v="3"/>
    <n v="60529"/>
    <n v="67070"/>
    <n v="6541"/>
    <n v="0.10806390325298618"/>
  </r>
  <r>
    <x v="3"/>
    <d v="2010-03-17T00:00:00"/>
    <x v="4"/>
    <x v="1"/>
    <x v="1"/>
    <x v="17"/>
    <x v="4"/>
    <n v="312852"/>
    <n v="373705"/>
    <n v="60853"/>
    <n v="0.19451050336900516"/>
  </r>
  <r>
    <x v="3"/>
    <d v="2010-03-17T00:00:00"/>
    <x v="4"/>
    <x v="1"/>
    <x v="1"/>
    <x v="18"/>
    <x v="5"/>
    <n v="24339"/>
    <n v="30137"/>
    <n v="5798"/>
    <n v="0.23821849706232795"/>
  </r>
  <r>
    <x v="3"/>
    <d v="2010-03-17T00:00:00"/>
    <x v="4"/>
    <x v="1"/>
    <x v="1"/>
    <x v="20"/>
    <x v="5"/>
    <n v="39882"/>
    <n v="76086"/>
    <n v="36204"/>
    <n v="0.90777794493756581"/>
  </r>
  <r>
    <x v="3"/>
    <d v="2010-03-17T00:00:00"/>
    <x v="4"/>
    <x v="1"/>
    <x v="1"/>
    <x v="21"/>
    <x v="5"/>
    <n v="1175"/>
    <n v="1305"/>
    <n v="130"/>
    <n v="0.11063829787234042"/>
  </r>
  <r>
    <x v="3"/>
    <d v="2010-03-17T00:00:00"/>
    <x v="4"/>
    <x v="1"/>
    <x v="1"/>
    <x v="22"/>
    <x v="6"/>
    <n v="2991"/>
    <n v="3457"/>
    <n v="466"/>
    <n v="0.15580073553995319"/>
  </r>
  <r>
    <x v="3"/>
    <d v="2010-03-17T00:00:00"/>
    <x v="4"/>
    <x v="1"/>
    <x v="1"/>
    <x v="23"/>
    <x v="6"/>
    <n v="146437"/>
    <n v="152466"/>
    <n v="6029"/>
    <n v="4.1171288677042006E-2"/>
  </r>
  <r>
    <x v="3"/>
    <d v="2010-03-17T00:00:00"/>
    <x v="4"/>
    <x v="1"/>
    <x v="1"/>
    <x v="24"/>
    <x v="6"/>
    <n v="145622"/>
    <n v="159343"/>
    <n v="13721"/>
    <n v="9.4223400310392655E-2"/>
  </r>
  <r>
    <x v="3"/>
    <d v="2010-03-17T00:00:00"/>
    <x v="4"/>
    <x v="1"/>
    <x v="1"/>
    <x v="25"/>
    <x v="6"/>
    <n v="219633"/>
    <n v="225627"/>
    <n v="5994"/>
    <n v="2.7290980863531437E-2"/>
  </r>
  <r>
    <x v="3"/>
    <d v="2010-03-18T00:00:00"/>
    <x v="4"/>
    <x v="1"/>
    <x v="1"/>
    <x v="0"/>
    <x v="0"/>
    <n v="10854"/>
    <n v="12493"/>
    <n v="1639"/>
    <n v="0.15100423806891469"/>
  </r>
  <r>
    <x v="3"/>
    <d v="2010-03-18T00:00:00"/>
    <x v="4"/>
    <x v="1"/>
    <x v="1"/>
    <x v="1"/>
    <x v="0"/>
    <n v="120953"/>
    <n v="147869"/>
    <n v="26916"/>
    <n v="0.22253271932072788"/>
  </r>
  <r>
    <x v="3"/>
    <d v="2010-03-18T00:00:00"/>
    <x v="4"/>
    <x v="1"/>
    <x v="1"/>
    <x v="2"/>
    <x v="0"/>
    <n v="89508"/>
    <n v="98934"/>
    <n v="9426"/>
    <n v="0.10530902265719265"/>
  </r>
  <r>
    <x v="3"/>
    <d v="2010-03-18T00:00:00"/>
    <x v="4"/>
    <x v="1"/>
    <x v="1"/>
    <x v="3"/>
    <x v="0"/>
    <n v="870"/>
    <n v="877"/>
    <n v="7"/>
    <n v="8.0459770114942528E-3"/>
  </r>
  <r>
    <x v="3"/>
    <d v="2010-03-18T00:00:00"/>
    <x v="4"/>
    <x v="1"/>
    <x v="1"/>
    <x v="4"/>
    <x v="0"/>
    <n v="6765"/>
    <n v="7556"/>
    <n v="791"/>
    <n v="0.11692535107169254"/>
  </r>
  <r>
    <x v="3"/>
    <d v="2010-03-18T00:00:00"/>
    <x v="4"/>
    <x v="1"/>
    <x v="1"/>
    <x v="5"/>
    <x v="1"/>
    <n v="58956"/>
    <n v="66453"/>
    <n v="7497"/>
    <n v="0.12716262975778547"/>
  </r>
  <r>
    <x v="3"/>
    <d v="2010-03-18T00:00:00"/>
    <x v="4"/>
    <x v="1"/>
    <x v="1"/>
    <x v="6"/>
    <x v="1"/>
    <n v="371186"/>
    <n v="383253"/>
    <n v="12067"/>
    <n v="3.2509308001918175E-2"/>
  </r>
  <r>
    <x v="3"/>
    <d v="2010-03-18T00:00:00"/>
    <x v="4"/>
    <x v="1"/>
    <x v="1"/>
    <x v="7"/>
    <x v="1"/>
    <n v="86102"/>
    <n v="96456"/>
    <n v="10354"/>
    <n v="0.1202527235139718"/>
  </r>
  <r>
    <x v="3"/>
    <d v="2010-03-18T00:00:00"/>
    <x v="4"/>
    <x v="1"/>
    <x v="1"/>
    <x v="8"/>
    <x v="1"/>
    <n v="96426"/>
    <n v="101799"/>
    <n v="5373"/>
    <n v="5.5721485906290835E-2"/>
  </r>
  <r>
    <x v="3"/>
    <d v="2010-03-18T00:00:00"/>
    <x v="4"/>
    <x v="1"/>
    <x v="1"/>
    <x v="9"/>
    <x v="2"/>
    <n v="220122"/>
    <n v="248674"/>
    <n v="28552"/>
    <n v="0.12970988815293338"/>
  </r>
  <r>
    <x v="3"/>
    <d v="2010-03-18T00:00:00"/>
    <x v="4"/>
    <x v="1"/>
    <x v="1"/>
    <x v="10"/>
    <x v="2"/>
    <n v="91438"/>
    <n v="97026"/>
    <n v="5588"/>
    <n v="6.1112447778822812E-2"/>
  </r>
  <r>
    <x v="3"/>
    <d v="2010-03-18T00:00:00"/>
    <x v="4"/>
    <x v="1"/>
    <x v="1"/>
    <x v="11"/>
    <x v="2"/>
    <n v="92511"/>
    <n v="102481"/>
    <n v="9970"/>
    <n v="0.10777096777680492"/>
  </r>
  <r>
    <x v="3"/>
    <d v="2010-03-18T00:00:00"/>
    <x v="4"/>
    <x v="1"/>
    <x v="1"/>
    <x v="12"/>
    <x v="2"/>
    <n v="4630"/>
    <n v="4963"/>
    <n v="333"/>
    <n v="7.1922246220302383E-2"/>
  </r>
  <r>
    <x v="3"/>
    <d v="2010-03-18T00:00:00"/>
    <x v="4"/>
    <x v="1"/>
    <x v="1"/>
    <x v="26"/>
    <x v="3"/>
    <n v="7943"/>
    <n v="8906"/>
    <n v="963"/>
    <n v="0.12123882663980863"/>
  </r>
  <r>
    <x v="3"/>
    <d v="2010-03-18T00:00:00"/>
    <x v="4"/>
    <x v="1"/>
    <x v="1"/>
    <x v="13"/>
    <x v="3"/>
    <n v="64807"/>
    <n v="72769"/>
    <n v="7962"/>
    <n v="0.12285709877019457"/>
  </r>
  <r>
    <x v="3"/>
    <d v="2010-03-18T00:00:00"/>
    <x v="4"/>
    <x v="1"/>
    <x v="1"/>
    <x v="14"/>
    <x v="3"/>
    <n v="55889"/>
    <n v="64117"/>
    <n v="8228"/>
    <n v="0.14722038325967543"/>
  </r>
  <r>
    <x v="3"/>
    <d v="2010-03-18T00:00:00"/>
    <x v="4"/>
    <x v="1"/>
    <x v="1"/>
    <x v="15"/>
    <x v="3"/>
    <n v="372500"/>
    <n v="406335"/>
    <n v="33835"/>
    <n v="9.0832214765100672E-2"/>
  </r>
  <r>
    <x v="3"/>
    <d v="2010-03-18T00:00:00"/>
    <x v="4"/>
    <x v="1"/>
    <x v="1"/>
    <x v="16"/>
    <x v="3"/>
    <n v="62079"/>
    <n v="70469"/>
    <n v="8390"/>
    <n v="0.1351503729119348"/>
  </r>
  <r>
    <x v="3"/>
    <d v="2010-03-18T00:00:00"/>
    <x v="4"/>
    <x v="1"/>
    <x v="1"/>
    <x v="17"/>
    <x v="4"/>
    <n v="381735"/>
    <n v="456795"/>
    <n v="75060"/>
    <n v="0.19662855122008724"/>
  </r>
  <r>
    <x v="3"/>
    <d v="2010-03-18T00:00:00"/>
    <x v="4"/>
    <x v="1"/>
    <x v="1"/>
    <x v="18"/>
    <x v="5"/>
    <n v="31265"/>
    <n v="39322"/>
    <n v="8057"/>
    <n v="0.25770030385414999"/>
  </r>
  <r>
    <x v="3"/>
    <d v="2010-03-18T00:00:00"/>
    <x v="4"/>
    <x v="1"/>
    <x v="1"/>
    <x v="20"/>
    <x v="5"/>
    <n v="44703"/>
    <n v="82629"/>
    <n v="37926"/>
    <n v="0.84839943627944436"/>
  </r>
  <r>
    <x v="3"/>
    <d v="2010-03-18T00:00:00"/>
    <x v="4"/>
    <x v="1"/>
    <x v="1"/>
    <x v="21"/>
    <x v="5"/>
    <n v="4255"/>
    <n v="4728"/>
    <n v="473"/>
    <n v="0.11116333725029377"/>
  </r>
  <r>
    <x v="3"/>
    <d v="2010-03-18T00:00:00"/>
    <x v="4"/>
    <x v="1"/>
    <x v="1"/>
    <x v="22"/>
    <x v="6"/>
    <n v="1553"/>
    <n v="1941"/>
    <n v="388"/>
    <n v="0.2498390212491951"/>
  </r>
  <r>
    <x v="3"/>
    <d v="2010-03-18T00:00:00"/>
    <x v="4"/>
    <x v="1"/>
    <x v="1"/>
    <x v="23"/>
    <x v="6"/>
    <n v="81837"/>
    <n v="87097"/>
    <n v="5260"/>
    <n v="6.4274105844544641E-2"/>
  </r>
  <r>
    <x v="3"/>
    <d v="2010-03-18T00:00:00"/>
    <x v="4"/>
    <x v="1"/>
    <x v="1"/>
    <x v="24"/>
    <x v="6"/>
    <n v="197813"/>
    <n v="211838"/>
    <n v="14025"/>
    <n v="7.0900294722793744E-2"/>
  </r>
  <r>
    <x v="3"/>
    <d v="2010-03-18T00:00:00"/>
    <x v="4"/>
    <x v="1"/>
    <x v="1"/>
    <x v="25"/>
    <x v="6"/>
    <n v="203876"/>
    <n v="211848"/>
    <n v="7972"/>
    <n v="3.910219937609135E-2"/>
  </r>
  <r>
    <x v="3"/>
    <d v="2010-03-19T00:00:00"/>
    <x v="4"/>
    <x v="1"/>
    <x v="1"/>
    <x v="0"/>
    <x v="0"/>
    <n v="7744"/>
    <n v="8950"/>
    <n v="1206"/>
    <n v="0.15573347107438015"/>
  </r>
  <r>
    <x v="3"/>
    <d v="2010-03-19T00:00:00"/>
    <x v="4"/>
    <x v="1"/>
    <x v="1"/>
    <x v="1"/>
    <x v="0"/>
    <n v="157211"/>
    <n v="195094"/>
    <n v="37883"/>
    <n v="0.24096914338055225"/>
  </r>
  <r>
    <x v="3"/>
    <d v="2010-03-19T00:00:00"/>
    <x v="4"/>
    <x v="1"/>
    <x v="1"/>
    <x v="2"/>
    <x v="0"/>
    <n v="100435"/>
    <n v="111961"/>
    <n v="11526"/>
    <n v="0.11476079056105939"/>
  </r>
  <r>
    <x v="3"/>
    <d v="2010-03-19T00:00:00"/>
    <x v="4"/>
    <x v="1"/>
    <x v="1"/>
    <x v="3"/>
    <x v="0"/>
    <n v="309"/>
    <n v="355"/>
    <n v="46"/>
    <n v="0.14886731391585761"/>
  </r>
  <r>
    <x v="3"/>
    <d v="2010-03-19T00:00:00"/>
    <x v="4"/>
    <x v="1"/>
    <x v="1"/>
    <x v="4"/>
    <x v="0"/>
    <n v="6025"/>
    <n v="6783"/>
    <n v="758"/>
    <n v="0.1258091286307054"/>
  </r>
  <r>
    <x v="3"/>
    <d v="2010-03-19T00:00:00"/>
    <x v="4"/>
    <x v="1"/>
    <x v="1"/>
    <x v="5"/>
    <x v="1"/>
    <n v="95512"/>
    <n v="107424"/>
    <n v="11912"/>
    <n v="0.1247173130077896"/>
  </r>
  <r>
    <x v="3"/>
    <d v="2010-03-19T00:00:00"/>
    <x v="4"/>
    <x v="1"/>
    <x v="1"/>
    <x v="6"/>
    <x v="1"/>
    <n v="394184"/>
    <n v="415092"/>
    <n v="20908"/>
    <n v="5.3041219329044306E-2"/>
  </r>
  <r>
    <x v="3"/>
    <d v="2010-03-19T00:00:00"/>
    <x v="4"/>
    <x v="1"/>
    <x v="1"/>
    <x v="7"/>
    <x v="1"/>
    <n v="101110"/>
    <n v="112216"/>
    <n v="11106"/>
    <n v="0.10984076748096133"/>
  </r>
  <r>
    <x v="3"/>
    <d v="2010-03-19T00:00:00"/>
    <x v="4"/>
    <x v="1"/>
    <x v="1"/>
    <x v="8"/>
    <x v="1"/>
    <n v="138177"/>
    <n v="146763"/>
    <n v="8586"/>
    <n v="6.2137692959030807E-2"/>
  </r>
  <r>
    <x v="3"/>
    <d v="2010-03-19T00:00:00"/>
    <x v="4"/>
    <x v="1"/>
    <x v="1"/>
    <x v="9"/>
    <x v="2"/>
    <n v="435845"/>
    <n v="469653"/>
    <n v="33808"/>
    <n v="7.7568860489394167E-2"/>
  </r>
  <r>
    <x v="3"/>
    <d v="2010-03-19T00:00:00"/>
    <x v="4"/>
    <x v="1"/>
    <x v="1"/>
    <x v="10"/>
    <x v="2"/>
    <n v="168436"/>
    <n v="175664"/>
    <n v="7228"/>
    <n v="4.2912441520815026E-2"/>
  </r>
  <r>
    <x v="3"/>
    <d v="2010-03-19T00:00:00"/>
    <x v="4"/>
    <x v="1"/>
    <x v="1"/>
    <x v="11"/>
    <x v="2"/>
    <n v="152900"/>
    <n v="166570"/>
    <n v="13670"/>
    <n v="8.9404839764551991E-2"/>
  </r>
  <r>
    <x v="3"/>
    <d v="2010-03-19T00:00:00"/>
    <x v="4"/>
    <x v="1"/>
    <x v="1"/>
    <x v="12"/>
    <x v="2"/>
    <n v="6098"/>
    <n v="6481"/>
    <n v="383"/>
    <n v="6.2807477861593963E-2"/>
  </r>
  <r>
    <x v="3"/>
    <d v="2010-03-19T00:00:00"/>
    <x v="4"/>
    <x v="1"/>
    <x v="1"/>
    <x v="26"/>
    <x v="3"/>
    <n v="14306"/>
    <n v="16107"/>
    <n v="1801"/>
    <n v="0.12589123444708514"/>
  </r>
  <r>
    <x v="3"/>
    <d v="2010-03-19T00:00:00"/>
    <x v="4"/>
    <x v="1"/>
    <x v="1"/>
    <x v="13"/>
    <x v="3"/>
    <n v="52423"/>
    <n v="58993"/>
    <n v="6570"/>
    <n v="0.12532666959159147"/>
  </r>
  <r>
    <x v="3"/>
    <d v="2010-03-19T00:00:00"/>
    <x v="4"/>
    <x v="1"/>
    <x v="1"/>
    <x v="14"/>
    <x v="3"/>
    <n v="61712"/>
    <n v="72004"/>
    <n v="10292"/>
    <n v="0.16677469535908737"/>
  </r>
  <r>
    <x v="3"/>
    <d v="2010-03-19T00:00:00"/>
    <x v="4"/>
    <x v="1"/>
    <x v="1"/>
    <x v="15"/>
    <x v="3"/>
    <n v="391731"/>
    <n v="428221"/>
    <n v="36490"/>
    <n v="9.3150656955921285E-2"/>
  </r>
  <r>
    <x v="3"/>
    <d v="2010-03-19T00:00:00"/>
    <x v="4"/>
    <x v="1"/>
    <x v="1"/>
    <x v="16"/>
    <x v="3"/>
    <n v="73037"/>
    <n v="82706"/>
    <n v="9669"/>
    <n v="0.13238495557046429"/>
  </r>
  <r>
    <x v="3"/>
    <d v="2010-03-19T00:00:00"/>
    <x v="4"/>
    <x v="1"/>
    <x v="1"/>
    <x v="17"/>
    <x v="4"/>
    <n v="427785"/>
    <n v="499582"/>
    <n v="71797"/>
    <n v="0.16783430929088211"/>
  </r>
  <r>
    <x v="3"/>
    <d v="2010-03-19T00:00:00"/>
    <x v="4"/>
    <x v="1"/>
    <x v="1"/>
    <x v="18"/>
    <x v="5"/>
    <n v="47146"/>
    <n v="58611"/>
    <n v="11465"/>
    <n v="0.24318075764645994"/>
  </r>
  <r>
    <x v="3"/>
    <d v="2010-03-19T00:00:00"/>
    <x v="4"/>
    <x v="1"/>
    <x v="1"/>
    <x v="20"/>
    <x v="5"/>
    <n v="51528"/>
    <n v="96521"/>
    <n v="44993"/>
    <n v="0.87317574910728146"/>
  </r>
  <r>
    <x v="3"/>
    <d v="2010-03-19T00:00:00"/>
    <x v="4"/>
    <x v="1"/>
    <x v="1"/>
    <x v="21"/>
    <x v="5"/>
    <n v="3994"/>
    <n v="4437"/>
    <n v="443"/>
    <n v="0.11091637456184276"/>
  </r>
  <r>
    <x v="3"/>
    <d v="2010-03-19T00:00:00"/>
    <x v="4"/>
    <x v="1"/>
    <x v="1"/>
    <x v="22"/>
    <x v="6"/>
    <n v="823"/>
    <n v="1009"/>
    <n v="186"/>
    <n v="0.22600243013365734"/>
  </r>
  <r>
    <x v="3"/>
    <d v="2010-03-19T00:00:00"/>
    <x v="4"/>
    <x v="1"/>
    <x v="1"/>
    <x v="23"/>
    <x v="6"/>
    <n v="92853"/>
    <n v="100371"/>
    <n v="7518"/>
    <n v="8.096668928306032E-2"/>
  </r>
  <r>
    <x v="3"/>
    <d v="2010-03-19T00:00:00"/>
    <x v="4"/>
    <x v="1"/>
    <x v="1"/>
    <x v="24"/>
    <x v="6"/>
    <n v="500950"/>
    <n v="358810"/>
    <n v="-142140"/>
    <n v="-0.28374089230462124"/>
  </r>
  <r>
    <x v="3"/>
    <d v="2010-03-19T00:00:00"/>
    <x v="4"/>
    <x v="1"/>
    <x v="1"/>
    <x v="25"/>
    <x v="6"/>
    <n v="242025"/>
    <n v="255136"/>
    <n v="13111"/>
    <n v="5.4172089660159073E-2"/>
  </r>
  <r>
    <x v="3"/>
    <d v="2010-03-20T00:00:00"/>
    <x v="4"/>
    <x v="1"/>
    <x v="1"/>
    <x v="0"/>
    <x v="0"/>
    <n v="14375"/>
    <n v="16635"/>
    <n v="2260"/>
    <n v="0.15721739130434784"/>
  </r>
  <r>
    <x v="3"/>
    <d v="2010-03-20T00:00:00"/>
    <x v="4"/>
    <x v="1"/>
    <x v="1"/>
    <x v="1"/>
    <x v="0"/>
    <n v="231849"/>
    <n v="287760"/>
    <n v="55911"/>
    <n v="0.24115264676578291"/>
  </r>
  <r>
    <x v="3"/>
    <d v="2010-03-20T00:00:00"/>
    <x v="4"/>
    <x v="1"/>
    <x v="1"/>
    <x v="2"/>
    <x v="0"/>
    <n v="128233"/>
    <n v="144741"/>
    <n v="16508"/>
    <n v="0.12873441313858366"/>
  </r>
  <r>
    <x v="3"/>
    <d v="2010-03-20T00:00:00"/>
    <x v="4"/>
    <x v="1"/>
    <x v="1"/>
    <x v="3"/>
    <x v="0"/>
    <n v="1740"/>
    <n v="1845"/>
    <n v="105"/>
    <n v="6.0344827586206899E-2"/>
  </r>
  <r>
    <x v="3"/>
    <d v="2010-03-20T00:00:00"/>
    <x v="4"/>
    <x v="1"/>
    <x v="1"/>
    <x v="4"/>
    <x v="0"/>
    <n v="11880"/>
    <n v="13747"/>
    <n v="1867"/>
    <n v="0.15715488215488216"/>
  </r>
  <r>
    <x v="3"/>
    <d v="2010-03-20T00:00:00"/>
    <x v="4"/>
    <x v="1"/>
    <x v="1"/>
    <x v="5"/>
    <x v="1"/>
    <n v="133602"/>
    <n v="148018"/>
    <n v="14416"/>
    <n v="0.1079025763087379"/>
  </r>
  <r>
    <x v="3"/>
    <d v="2010-03-20T00:00:00"/>
    <x v="4"/>
    <x v="1"/>
    <x v="1"/>
    <x v="6"/>
    <x v="1"/>
    <n v="646951"/>
    <n v="677763"/>
    <n v="30812"/>
    <n v="4.7626481758278445E-2"/>
  </r>
  <r>
    <x v="3"/>
    <d v="2010-03-20T00:00:00"/>
    <x v="4"/>
    <x v="1"/>
    <x v="1"/>
    <x v="7"/>
    <x v="1"/>
    <n v="163816"/>
    <n v="182535"/>
    <n v="18719"/>
    <n v="0.11426844752649314"/>
  </r>
  <r>
    <x v="3"/>
    <d v="2010-03-20T00:00:00"/>
    <x v="4"/>
    <x v="1"/>
    <x v="1"/>
    <x v="8"/>
    <x v="1"/>
    <n v="225819"/>
    <n v="240010"/>
    <n v="14191"/>
    <n v="6.2842364902864684E-2"/>
  </r>
  <r>
    <x v="3"/>
    <d v="2010-03-20T00:00:00"/>
    <x v="4"/>
    <x v="1"/>
    <x v="1"/>
    <x v="9"/>
    <x v="2"/>
    <n v="543762"/>
    <n v="587939"/>
    <n v="44177"/>
    <n v="8.1243264516461244E-2"/>
  </r>
  <r>
    <x v="3"/>
    <d v="2010-03-20T00:00:00"/>
    <x v="4"/>
    <x v="1"/>
    <x v="1"/>
    <x v="10"/>
    <x v="2"/>
    <n v="172653"/>
    <n v="181154"/>
    <n v="8501"/>
    <n v="4.9237487909274673E-2"/>
  </r>
  <r>
    <x v="3"/>
    <d v="2010-03-20T00:00:00"/>
    <x v="4"/>
    <x v="1"/>
    <x v="1"/>
    <x v="11"/>
    <x v="2"/>
    <n v="184296"/>
    <n v="199757"/>
    <n v="15461"/>
    <n v="8.3892216868515862E-2"/>
  </r>
  <r>
    <x v="3"/>
    <d v="2010-03-20T00:00:00"/>
    <x v="4"/>
    <x v="1"/>
    <x v="1"/>
    <x v="12"/>
    <x v="2"/>
    <n v="905"/>
    <n v="9849"/>
    <n v="8944"/>
    <n v="9.8828729281767949"/>
  </r>
  <r>
    <x v="3"/>
    <d v="2010-03-20T00:00:00"/>
    <x v="4"/>
    <x v="1"/>
    <x v="1"/>
    <x v="26"/>
    <x v="3"/>
    <n v="10665"/>
    <n v="11990"/>
    <n v="1325"/>
    <n v="0.12423816221284575"/>
  </r>
  <r>
    <x v="3"/>
    <d v="2010-03-20T00:00:00"/>
    <x v="4"/>
    <x v="1"/>
    <x v="1"/>
    <x v="13"/>
    <x v="3"/>
    <n v="103793"/>
    <n v="117728"/>
    <n v="13935"/>
    <n v="0.13425760889462682"/>
  </r>
  <r>
    <x v="3"/>
    <d v="2010-03-20T00:00:00"/>
    <x v="4"/>
    <x v="1"/>
    <x v="1"/>
    <x v="14"/>
    <x v="3"/>
    <n v="116045"/>
    <n v="136949"/>
    <n v="20904"/>
    <n v="0.18013701581283123"/>
  </r>
  <r>
    <x v="3"/>
    <d v="2010-03-20T00:00:00"/>
    <x v="4"/>
    <x v="1"/>
    <x v="1"/>
    <x v="15"/>
    <x v="3"/>
    <n v="480643"/>
    <n v="525391"/>
    <n v="44748"/>
    <n v="9.3100284410674861E-2"/>
  </r>
  <r>
    <x v="3"/>
    <d v="2010-03-20T00:00:00"/>
    <x v="4"/>
    <x v="1"/>
    <x v="1"/>
    <x v="16"/>
    <x v="3"/>
    <n v="116471"/>
    <n v="131701"/>
    <n v="15230"/>
    <n v="0.13076216397214757"/>
  </r>
  <r>
    <x v="3"/>
    <d v="2010-03-20T00:00:00"/>
    <x v="4"/>
    <x v="1"/>
    <x v="1"/>
    <x v="17"/>
    <x v="4"/>
    <n v="866122"/>
    <n v="996132"/>
    <n v="130010"/>
    <n v="0.15010587423018928"/>
  </r>
  <r>
    <x v="3"/>
    <d v="2010-03-20T00:00:00"/>
    <x v="4"/>
    <x v="1"/>
    <x v="1"/>
    <x v="18"/>
    <x v="5"/>
    <n v="71634"/>
    <n v="90381"/>
    <n v="18747"/>
    <n v="0.26170533545523078"/>
  </r>
  <r>
    <x v="3"/>
    <d v="2010-03-20T00:00:00"/>
    <x v="4"/>
    <x v="1"/>
    <x v="1"/>
    <x v="20"/>
    <x v="5"/>
    <n v="62850"/>
    <n v="121572"/>
    <n v="58722"/>
    <n v="0.93431980906921241"/>
  </r>
  <r>
    <x v="3"/>
    <d v="2010-03-20T00:00:00"/>
    <x v="4"/>
    <x v="1"/>
    <x v="1"/>
    <x v="21"/>
    <x v="5"/>
    <n v="5110"/>
    <n v="5677"/>
    <n v="567"/>
    <n v="0.11095890410958904"/>
  </r>
  <r>
    <x v="3"/>
    <d v="2010-03-20T00:00:00"/>
    <x v="4"/>
    <x v="1"/>
    <x v="1"/>
    <x v="22"/>
    <x v="6"/>
    <n v="3922"/>
    <n v="4458"/>
    <n v="536"/>
    <n v="0.1366649668536461"/>
  </r>
  <r>
    <x v="3"/>
    <d v="2010-03-20T00:00:00"/>
    <x v="4"/>
    <x v="1"/>
    <x v="1"/>
    <x v="23"/>
    <x v="6"/>
    <n v="138332"/>
    <n v="151481"/>
    <n v="13149"/>
    <n v="9.505392823063355E-2"/>
  </r>
  <r>
    <x v="3"/>
    <d v="2010-03-20T00:00:00"/>
    <x v="4"/>
    <x v="1"/>
    <x v="1"/>
    <x v="24"/>
    <x v="6"/>
    <n v="388693"/>
    <n v="346788"/>
    <n v="-41905"/>
    <n v="-0.10781001973279683"/>
  </r>
  <r>
    <x v="3"/>
    <d v="2010-03-20T00:00:00"/>
    <x v="4"/>
    <x v="1"/>
    <x v="1"/>
    <x v="25"/>
    <x v="6"/>
    <n v="338554"/>
    <n v="360894"/>
    <n v="22340"/>
    <n v="6.5986519137272048E-2"/>
  </r>
  <r>
    <x v="3"/>
    <d v="2010-03-21T00:00:00"/>
    <x v="5"/>
    <x v="1"/>
    <x v="1"/>
    <x v="0"/>
    <x v="0"/>
    <n v="9563.98"/>
    <n v="11032.89"/>
    <n v="1468.9099999999999"/>
    <n v="0.15358773230391531"/>
  </r>
  <r>
    <x v="3"/>
    <d v="2010-03-21T00:00:00"/>
    <x v="5"/>
    <x v="1"/>
    <x v="1"/>
    <x v="1"/>
    <x v="0"/>
    <n v="209681"/>
    <n v="262257"/>
    <n v="52576"/>
    <n v="0.25074279500765451"/>
  </r>
  <r>
    <x v="3"/>
    <d v="2010-03-21T00:00:00"/>
    <x v="5"/>
    <x v="1"/>
    <x v="1"/>
    <x v="2"/>
    <x v="0"/>
    <n v="121618"/>
    <n v="138146"/>
    <n v="16528"/>
    <n v="0.13590093571675246"/>
  </r>
  <r>
    <x v="3"/>
    <d v="2010-03-21T00:00:00"/>
    <x v="5"/>
    <x v="1"/>
    <x v="1"/>
    <x v="3"/>
    <x v="0"/>
    <n v="2232"/>
    <n v="2426"/>
    <n v="194"/>
    <n v="8.6917562724014338E-2"/>
  </r>
  <r>
    <x v="3"/>
    <d v="2010-03-21T00:00:00"/>
    <x v="5"/>
    <x v="1"/>
    <x v="1"/>
    <x v="4"/>
    <x v="0"/>
    <n v="8474.5499999999993"/>
    <n v="9488.48"/>
    <n v="1013.9300000000003"/>
    <n v="0.11964411089674383"/>
  </r>
  <r>
    <x v="3"/>
    <d v="2010-03-21T00:00:00"/>
    <x v="5"/>
    <x v="1"/>
    <x v="1"/>
    <x v="5"/>
    <x v="1"/>
    <n v="134757"/>
    <n v="150741"/>
    <n v="15984"/>
    <n v="0.11861350430775396"/>
  </r>
  <r>
    <x v="3"/>
    <d v="2010-03-21T00:00:00"/>
    <x v="5"/>
    <x v="1"/>
    <x v="1"/>
    <x v="6"/>
    <x v="1"/>
    <n v="496487"/>
    <n v="521870"/>
    <n v="25383"/>
    <n v="5.112520569521458E-2"/>
  </r>
  <r>
    <x v="3"/>
    <d v="2010-03-21T00:00:00"/>
    <x v="5"/>
    <x v="1"/>
    <x v="1"/>
    <x v="7"/>
    <x v="1"/>
    <n v="132293"/>
    <n v="147508"/>
    <n v="15215"/>
    <n v="0.11500986446750773"/>
  </r>
  <r>
    <x v="3"/>
    <d v="2010-03-21T00:00:00"/>
    <x v="5"/>
    <x v="1"/>
    <x v="1"/>
    <x v="8"/>
    <x v="1"/>
    <n v="204868"/>
    <n v="217190"/>
    <n v="12322"/>
    <n v="6.0146045258410295E-2"/>
  </r>
  <r>
    <x v="3"/>
    <d v="2010-03-21T00:00:00"/>
    <x v="5"/>
    <x v="1"/>
    <x v="1"/>
    <x v="9"/>
    <x v="2"/>
    <n v="417718"/>
    <n v="457824"/>
    <n v="40106"/>
    <n v="9.6012142162894581E-2"/>
  </r>
  <r>
    <x v="3"/>
    <d v="2010-03-21T00:00:00"/>
    <x v="5"/>
    <x v="1"/>
    <x v="1"/>
    <x v="10"/>
    <x v="2"/>
    <n v="122595"/>
    <n v="130932"/>
    <n v="8337"/>
    <n v="6.8004404747338792E-2"/>
  </r>
  <r>
    <x v="3"/>
    <d v="2010-03-21T00:00:00"/>
    <x v="5"/>
    <x v="1"/>
    <x v="1"/>
    <x v="11"/>
    <x v="2"/>
    <n v="154873"/>
    <n v="167741"/>
    <n v="12868"/>
    <n v="8.3087432928915947E-2"/>
  </r>
  <r>
    <x v="3"/>
    <d v="2010-03-21T00:00:00"/>
    <x v="5"/>
    <x v="1"/>
    <x v="1"/>
    <x v="12"/>
    <x v="2"/>
    <n v="5822"/>
    <n v="6466.54"/>
    <n v="644.54"/>
    <n v="0.11070766059773274"/>
  </r>
  <r>
    <x v="3"/>
    <d v="2010-03-21T00:00:00"/>
    <x v="5"/>
    <x v="1"/>
    <x v="1"/>
    <x v="26"/>
    <x v="3"/>
    <n v="3331"/>
    <n v="3764"/>
    <n v="433"/>
    <n v="0.12999099369558692"/>
  </r>
  <r>
    <x v="3"/>
    <d v="2010-03-21T00:00:00"/>
    <x v="5"/>
    <x v="1"/>
    <x v="1"/>
    <x v="13"/>
    <x v="3"/>
    <n v="103679"/>
    <n v="117972"/>
    <n v="14293"/>
    <n v="0.13785819693476981"/>
  </r>
  <r>
    <x v="3"/>
    <d v="2010-03-21T00:00:00"/>
    <x v="5"/>
    <x v="1"/>
    <x v="1"/>
    <x v="14"/>
    <x v="3"/>
    <n v="94954"/>
    <n v="111876"/>
    <n v="16922"/>
    <n v="0.17821260821029131"/>
  </r>
  <r>
    <x v="3"/>
    <d v="2010-03-21T00:00:00"/>
    <x v="5"/>
    <x v="1"/>
    <x v="1"/>
    <x v="15"/>
    <x v="3"/>
    <n v="425912"/>
    <n v="463064"/>
    <n v="37152"/>
    <n v="8.7229286801029315E-2"/>
  </r>
  <r>
    <x v="3"/>
    <d v="2010-03-21T00:00:00"/>
    <x v="5"/>
    <x v="1"/>
    <x v="1"/>
    <x v="16"/>
    <x v="3"/>
    <n v="111173"/>
    <n v="126373"/>
    <n v="15200"/>
    <n v="0.13672384481843614"/>
  </r>
  <r>
    <x v="3"/>
    <d v="2010-03-21T00:00:00"/>
    <x v="5"/>
    <x v="1"/>
    <x v="1"/>
    <x v="17"/>
    <x v="4"/>
    <n v="726860"/>
    <n v="850382"/>
    <n v="123522"/>
    <n v="0.16993919049060341"/>
  </r>
  <r>
    <x v="3"/>
    <d v="2010-03-21T00:00:00"/>
    <x v="5"/>
    <x v="1"/>
    <x v="1"/>
    <x v="18"/>
    <x v="5"/>
    <n v="80441"/>
    <n v="95504"/>
    <n v="15063"/>
    <n v="0.18725525540458224"/>
  </r>
  <r>
    <x v="3"/>
    <d v="2010-03-21T00:00:00"/>
    <x v="5"/>
    <x v="1"/>
    <x v="1"/>
    <x v="20"/>
    <x v="5"/>
    <n v="62570"/>
    <n v="122062"/>
    <n v="59492"/>
    <n v="0.95080709605242131"/>
  </r>
  <r>
    <x v="3"/>
    <d v="2010-03-21T00:00:00"/>
    <x v="5"/>
    <x v="1"/>
    <x v="1"/>
    <x v="21"/>
    <x v="5"/>
    <n v="5609"/>
    <n v="6231"/>
    <n v="622"/>
    <n v="0.11089320734533785"/>
  </r>
  <r>
    <x v="3"/>
    <d v="2010-03-21T00:00:00"/>
    <x v="5"/>
    <x v="1"/>
    <x v="1"/>
    <x v="22"/>
    <x v="6"/>
    <n v="1620"/>
    <n v="1994"/>
    <n v="374"/>
    <n v="0.23086419753086421"/>
  </r>
  <r>
    <x v="3"/>
    <d v="2010-03-21T00:00:00"/>
    <x v="5"/>
    <x v="1"/>
    <x v="1"/>
    <x v="23"/>
    <x v="6"/>
    <n v="126803"/>
    <n v="135152"/>
    <n v="8349"/>
    <n v="6.584229079753634E-2"/>
  </r>
  <r>
    <x v="3"/>
    <d v="2010-03-21T00:00:00"/>
    <x v="5"/>
    <x v="1"/>
    <x v="1"/>
    <x v="24"/>
    <x v="6"/>
    <n v="326114"/>
    <n v="330166"/>
    <n v="4052"/>
    <n v="1.242510287813464E-2"/>
  </r>
  <r>
    <x v="3"/>
    <d v="2010-03-21T00:00:00"/>
    <x v="5"/>
    <x v="1"/>
    <x v="1"/>
    <x v="25"/>
    <x v="6"/>
    <n v="314703"/>
    <n v="330796"/>
    <n v="16093"/>
    <n v="5.1137103872540141E-2"/>
  </r>
  <r>
    <x v="3"/>
    <d v="2010-03-22T00:00:00"/>
    <x v="5"/>
    <x v="1"/>
    <x v="1"/>
    <x v="0"/>
    <x v="0"/>
    <n v="9704"/>
    <n v="10993"/>
    <n v="1289"/>
    <n v="0.1328318219291014"/>
  </r>
  <r>
    <x v="3"/>
    <d v="2010-03-22T00:00:00"/>
    <x v="5"/>
    <x v="1"/>
    <x v="1"/>
    <x v="1"/>
    <x v="0"/>
    <n v="166420"/>
    <n v="220531"/>
    <n v="54111"/>
    <n v="0.32514721788246603"/>
  </r>
  <r>
    <x v="3"/>
    <d v="2010-03-22T00:00:00"/>
    <x v="5"/>
    <x v="1"/>
    <x v="1"/>
    <x v="2"/>
    <x v="0"/>
    <n v="66282"/>
    <n v="75082"/>
    <n v="8800"/>
    <n v="0.13276606016716455"/>
  </r>
  <r>
    <x v="3"/>
    <d v="2010-03-22T00:00:00"/>
    <x v="5"/>
    <x v="1"/>
    <x v="1"/>
    <x v="3"/>
    <x v="0"/>
    <n v="744"/>
    <n v="839"/>
    <n v="95"/>
    <n v="0.12768817204301075"/>
  </r>
  <r>
    <x v="3"/>
    <d v="2010-03-22T00:00:00"/>
    <x v="5"/>
    <x v="1"/>
    <x v="1"/>
    <x v="4"/>
    <x v="0"/>
    <n v="5345"/>
    <n v="6267"/>
    <n v="922"/>
    <n v="0.17249766136576239"/>
  </r>
  <r>
    <x v="3"/>
    <d v="2010-03-22T00:00:00"/>
    <x v="5"/>
    <x v="1"/>
    <x v="1"/>
    <x v="5"/>
    <x v="1"/>
    <n v="90030"/>
    <n v="99440"/>
    <n v="9410"/>
    <n v="0.10452071531711651"/>
  </r>
  <r>
    <x v="3"/>
    <d v="2010-03-22T00:00:00"/>
    <x v="5"/>
    <x v="1"/>
    <x v="1"/>
    <x v="6"/>
    <x v="1"/>
    <n v="347894"/>
    <n v="367961"/>
    <n v="20067"/>
    <n v="5.7681362713930102E-2"/>
  </r>
  <r>
    <x v="3"/>
    <d v="2010-03-22T00:00:00"/>
    <x v="5"/>
    <x v="1"/>
    <x v="1"/>
    <x v="7"/>
    <x v="1"/>
    <n v="87406"/>
    <n v="96795"/>
    <n v="9389"/>
    <n v="0.10741825503969979"/>
  </r>
  <r>
    <x v="3"/>
    <d v="2010-03-22T00:00:00"/>
    <x v="5"/>
    <x v="1"/>
    <x v="1"/>
    <x v="8"/>
    <x v="1"/>
    <n v="116333"/>
    <n v="124522"/>
    <n v="8189"/>
    <n v="7.0392751841695828E-2"/>
  </r>
  <r>
    <x v="3"/>
    <d v="2010-03-22T00:00:00"/>
    <x v="5"/>
    <x v="1"/>
    <x v="1"/>
    <x v="9"/>
    <x v="2"/>
    <n v="389685"/>
    <n v="423188"/>
    <n v="33503"/>
    <n v="8.5974569203330894E-2"/>
  </r>
  <r>
    <x v="3"/>
    <d v="2010-03-22T00:00:00"/>
    <x v="5"/>
    <x v="1"/>
    <x v="1"/>
    <x v="10"/>
    <x v="2"/>
    <n v="99146"/>
    <n v="106827"/>
    <n v="7681"/>
    <n v="7.7471607528291617E-2"/>
  </r>
  <r>
    <x v="3"/>
    <d v="2010-03-22T00:00:00"/>
    <x v="5"/>
    <x v="1"/>
    <x v="1"/>
    <x v="11"/>
    <x v="2"/>
    <n v="119466"/>
    <n v="130189"/>
    <n v="10723"/>
    <n v="8.9757755344616885E-2"/>
  </r>
  <r>
    <x v="3"/>
    <d v="2010-03-22T00:00:00"/>
    <x v="5"/>
    <x v="1"/>
    <x v="1"/>
    <x v="12"/>
    <x v="2"/>
    <n v="6326"/>
    <n v="6826"/>
    <n v="500"/>
    <n v="7.9038887132469177E-2"/>
  </r>
  <r>
    <x v="3"/>
    <d v="2010-03-22T00:00:00"/>
    <x v="5"/>
    <x v="1"/>
    <x v="1"/>
    <x v="26"/>
    <x v="3"/>
    <n v="3295"/>
    <n v="3763"/>
    <n v="468"/>
    <n v="0.14203338391502277"/>
  </r>
  <r>
    <x v="3"/>
    <d v="2010-03-22T00:00:00"/>
    <x v="5"/>
    <x v="1"/>
    <x v="1"/>
    <x v="13"/>
    <x v="3"/>
    <n v="40676"/>
    <n v="46423"/>
    <n v="5747"/>
    <n v="0.14128724555020158"/>
  </r>
  <r>
    <x v="3"/>
    <d v="2010-03-22T00:00:00"/>
    <x v="5"/>
    <x v="1"/>
    <x v="1"/>
    <x v="14"/>
    <x v="3"/>
    <n v="56052"/>
    <n v="65480"/>
    <n v="9428"/>
    <n v="0.16820095625490616"/>
  </r>
  <r>
    <x v="3"/>
    <d v="2010-03-22T00:00:00"/>
    <x v="5"/>
    <x v="1"/>
    <x v="1"/>
    <x v="15"/>
    <x v="3"/>
    <n v="241614"/>
    <n v="262439"/>
    <n v="20825"/>
    <n v="8.619119752994446E-2"/>
  </r>
  <r>
    <x v="3"/>
    <d v="2010-03-22T00:00:00"/>
    <x v="5"/>
    <x v="1"/>
    <x v="1"/>
    <x v="16"/>
    <x v="3"/>
    <n v="56780"/>
    <n v="64183"/>
    <n v="7403"/>
    <n v="0.1303804156393096"/>
  </r>
  <r>
    <x v="3"/>
    <d v="2010-03-22T00:00:00"/>
    <x v="5"/>
    <x v="1"/>
    <x v="1"/>
    <x v="17"/>
    <x v="4"/>
    <n v="355467"/>
    <n v="423737"/>
    <n v="68270"/>
    <n v="0.1920572092486785"/>
  </r>
  <r>
    <x v="3"/>
    <d v="2010-03-22T00:00:00"/>
    <x v="5"/>
    <x v="1"/>
    <x v="1"/>
    <x v="18"/>
    <x v="5"/>
    <n v="76676"/>
    <n v="89287"/>
    <n v="12611"/>
    <n v="0.16447128175700348"/>
  </r>
  <r>
    <x v="3"/>
    <d v="2010-03-22T00:00:00"/>
    <x v="5"/>
    <x v="1"/>
    <x v="1"/>
    <x v="20"/>
    <x v="5"/>
    <n v="51317"/>
    <n v="97054"/>
    <n v="45737"/>
    <n v="0.89126410351345553"/>
  </r>
  <r>
    <x v="3"/>
    <d v="2010-03-22T00:00:00"/>
    <x v="5"/>
    <x v="1"/>
    <x v="1"/>
    <x v="21"/>
    <x v="5"/>
    <n v="5542"/>
    <n v="6157"/>
    <n v="615"/>
    <n v="0.11097076867556839"/>
  </r>
  <r>
    <x v="3"/>
    <d v="2010-03-22T00:00:00"/>
    <x v="5"/>
    <x v="1"/>
    <x v="1"/>
    <x v="22"/>
    <x v="6"/>
    <n v="709"/>
    <n v="861"/>
    <n v="152"/>
    <n v="0.21438645980253879"/>
  </r>
  <r>
    <x v="3"/>
    <d v="2010-03-22T00:00:00"/>
    <x v="5"/>
    <x v="1"/>
    <x v="1"/>
    <x v="23"/>
    <x v="6"/>
    <n v="102068"/>
    <n v="110641"/>
    <n v="8573"/>
    <n v="8.3993024258337573E-2"/>
  </r>
  <r>
    <x v="3"/>
    <d v="2010-03-22T00:00:00"/>
    <x v="5"/>
    <x v="1"/>
    <x v="1"/>
    <x v="24"/>
    <x v="6"/>
    <n v="177578"/>
    <n v="191457"/>
    <n v="13879"/>
    <n v="7.8157204158172747E-2"/>
  </r>
  <r>
    <x v="3"/>
    <d v="2010-03-22T00:00:00"/>
    <x v="5"/>
    <x v="1"/>
    <x v="1"/>
    <x v="25"/>
    <x v="6"/>
    <n v="226101"/>
    <n v="239004"/>
    <n v="12903"/>
    <n v="5.7067416773919619E-2"/>
  </r>
  <r>
    <x v="3"/>
    <d v="2010-03-23T00:00:00"/>
    <x v="5"/>
    <x v="1"/>
    <x v="1"/>
    <x v="0"/>
    <x v="0"/>
    <n v="8454"/>
    <n v="9684.7000000000007"/>
    <n v="1230.7000000000007"/>
    <n v="0.14557605867045195"/>
  </r>
  <r>
    <x v="3"/>
    <d v="2010-03-23T00:00:00"/>
    <x v="5"/>
    <x v="1"/>
    <x v="1"/>
    <x v="1"/>
    <x v="0"/>
    <n v="110109.34"/>
    <n v="135379"/>
    <n v="25269.660000000003"/>
    <n v="0.22949606273182643"/>
  </r>
  <r>
    <x v="3"/>
    <d v="2010-03-23T00:00:00"/>
    <x v="5"/>
    <x v="1"/>
    <x v="1"/>
    <x v="2"/>
    <x v="0"/>
    <n v="52085.46"/>
    <n v="59622"/>
    <n v="7536.5400000000009"/>
    <n v="0.14469565978681961"/>
  </r>
  <r>
    <x v="3"/>
    <d v="2010-03-23T00:00:00"/>
    <x v="5"/>
    <x v="1"/>
    <x v="1"/>
    <x v="4"/>
    <x v="0"/>
    <n v="5606.84"/>
    <n v="6212.67"/>
    <n v="605.82999999999993"/>
    <n v="0.10805195083148439"/>
  </r>
  <r>
    <x v="3"/>
    <d v="2010-03-23T00:00:00"/>
    <x v="5"/>
    <x v="1"/>
    <x v="1"/>
    <x v="5"/>
    <x v="1"/>
    <n v="92194"/>
    <n v="99402"/>
    <n v="7208"/>
    <n v="7.818296201488166E-2"/>
  </r>
  <r>
    <x v="3"/>
    <d v="2010-03-23T00:00:00"/>
    <x v="5"/>
    <x v="1"/>
    <x v="1"/>
    <x v="6"/>
    <x v="1"/>
    <n v="256327"/>
    <n v="268772"/>
    <n v="12445"/>
    <n v="4.8551264595614194E-2"/>
  </r>
  <r>
    <x v="3"/>
    <d v="2010-03-23T00:00:00"/>
    <x v="5"/>
    <x v="1"/>
    <x v="1"/>
    <x v="7"/>
    <x v="1"/>
    <n v="56524"/>
    <n v="69955"/>
    <n v="13431"/>
    <n v="0.23761587998018541"/>
  </r>
  <r>
    <x v="3"/>
    <d v="2010-03-23T00:00:00"/>
    <x v="5"/>
    <x v="1"/>
    <x v="1"/>
    <x v="8"/>
    <x v="1"/>
    <n v="96223"/>
    <n v="102267"/>
    <n v="6044"/>
    <n v="6.2812425303721567E-2"/>
  </r>
  <r>
    <x v="3"/>
    <d v="2010-03-23T00:00:00"/>
    <x v="5"/>
    <x v="1"/>
    <x v="1"/>
    <x v="9"/>
    <x v="2"/>
    <n v="217973.88"/>
    <n v="238586"/>
    <n v="20612.119999999995"/>
    <n v="9.4562339304140458E-2"/>
  </r>
  <r>
    <x v="3"/>
    <d v="2010-03-23T00:00:00"/>
    <x v="5"/>
    <x v="1"/>
    <x v="1"/>
    <x v="10"/>
    <x v="2"/>
    <n v="70713.899999999994"/>
    <n v="75581.95"/>
    <n v="4868.0500000000029"/>
    <n v="6.8841486610129038E-2"/>
  </r>
  <r>
    <x v="3"/>
    <d v="2010-03-23T00:00:00"/>
    <x v="5"/>
    <x v="1"/>
    <x v="1"/>
    <x v="11"/>
    <x v="2"/>
    <n v="83975"/>
    <n v="91205.13"/>
    <n v="7230.1300000000047"/>
    <n v="8.6098600774039954E-2"/>
  </r>
  <r>
    <x v="3"/>
    <d v="2010-03-23T00:00:00"/>
    <x v="5"/>
    <x v="1"/>
    <x v="1"/>
    <x v="12"/>
    <x v="2"/>
    <n v="4928"/>
    <n v="5311.38"/>
    <n v="383.38000000000011"/>
    <n v="7.7796266233766259E-2"/>
  </r>
  <r>
    <x v="3"/>
    <d v="2010-03-23T00:00:00"/>
    <x v="5"/>
    <x v="1"/>
    <x v="1"/>
    <x v="26"/>
    <x v="3"/>
    <n v="590"/>
    <n v="688.82"/>
    <n v="98.82000000000005"/>
    <n v="0.16749152542372889"/>
  </r>
  <r>
    <x v="3"/>
    <d v="2010-03-23T00:00:00"/>
    <x v="5"/>
    <x v="1"/>
    <x v="1"/>
    <x v="13"/>
    <x v="3"/>
    <n v="29971.759999999998"/>
    <n v="33934.42"/>
    <n v="3962.66"/>
    <n v="0.13221312328672058"/>
  </r>
  <r>
    <x v="3"/>
    <d v="2010-03-23T00:00:00"/>
    <x v="5"/>
    <x v="1"/>
    <x v="1"/>
    <x v="14"/>
    <x v="3"/>
    <n v="39842"/>
    <n v="46765"/>
    <n v="6923"/>
    <n v="0.17376135736157824"/>
  </r>
  <r>
    <x v="3"/>
    <d v="2010-03-23T00:00:00"/>
    <x v="5"/>
    <x v="1"/>
    <x v="1"/>
    <x v="15"/>
    <x v="3"/>
    <n v="158399"/>
    <n v="171154"/>
    <n v="12755"/>
    <n v="8.0524498260721347E-2"/>
  </r>
  <r>
    <x v="3"/>
    <d v="2010-03-23T00:00:00"/>
    <x v="5"/>
    <x v="1"/>
    <x v="1"/>
    <x v="16"/>
    <x v="3"/>
    <n v="37735.360000000001"/>
    <n v="42477.72"/>
    <n v="4742.3600000000006"/>
    <n v="0.12567416873722684"/>
  </r>
  <r>
    <x v="3"/>
    <d v="2010-03-23T00:00:00"/>
    <x v="5"/>
    <x v="1"/>
    <x v="1"/>
    <x v="17"/>
    <x v="4"/>
    <n v="184150.33"/>
    <n v="213534.46"/>
    <n v="29384.130000000005"/>
    <n v="0.15956599154614606"/>
  </r>
  <r>
    <x v="3"/>
    <d v="2010-03-23T00:00:00"/>
    <x v="5"/>
    <x v="1"/>
    <x v="1"/>
    <x v="18"/>
    <x v="5"/>
    <n v="35341.72"/>
    <n v="43824.62"/>
    <n v="8482.9000000000015"/>
    <n v="0.24002510347543926"/>
  </r>
  <r>
    <x v="3"/>
    <d v="2010-03-23T00:00:00"/>
    <x v="5"/>
    <x v="1"/>
    <x v="1"/>
    <x v="20"/>
    <x v="5"/>
    <n v="32043.09"/>
    <n v="65193.760000000002"/>
    <n v="33150.67"/>
    <n v="1.0345653306219842"/>
  </r>
  <r>
    <x v="3"/>
    <d v="2010-03-23T00:00:00"/>
    <x v="5"/>
    <x v="1"/>
    <x v="1"/>
    <x v="21"/>
    <x v="5"/>
    <n v="1080.54"/>
    <n v="1200.55"/>
    <n v="120.00999999999999"/>
    <n v="0.11106483795139467"/>
  </r>
  <r>
    <x v="3"/>
    <d v="2010-03-23T00:00:00"/>
    <x v="5"/>
    <x v="1"/>
    <x v="1"/>
    <x v="22"/>
    <x v="6"/>
    <n v="861.52"/>
    <n v="1064.894"/>
    <n v="203.37400000000002"/>
    <n v="0.23606416566069277"/>
  </r>
  <r>
    <x v="3"/>
    <d v="2010-03-23T00:00:00"/>
    <x v="5"/>
    <x v="1"/>
    <x v="1"/>
    <x v="23"/>
    <x v="6"/>
    <n v="83981.58"/>
    <n v="87205.74"/>
    <n v="3224.1600000000035"/>
    <n v="3.8391275801193586E-2"/>
  </r>
  <r>
    <x v="3"/>
    <d v="2010-03-23T00:00:00"/>
    <x v="5"/>
    <x v="1"/>
    <x v="1"/>
    <x v="24"/>
    <x v="6"/>
    <n v="144279.57999999999"/>
    <n v="158190.60999999999"/>
    <n v="13911.029999999999"/>
    <n v="9.6417178369939807E-2"/>
  </r>
  <r>
    <x v="3"/>
    <d v="2010-03-23T00:00:00"/>
    <x v="5"/>
    <x v="1"/>
    <x v="1"/>
    <x v="25"/>
    <x v="6"/>
    <n v="167078.95000000001"/>
    <n v="173693"/>
    <n v="6614.0499999999884"/>
    <n v="3.9586375183707986E-2"/>
  </r>
  <r>
    <x v="3"/>
    <d v="2010-03-24T00:00:00"/>
    <x v="5"/>
    <x v="1"/>
    <x v="1"/>
    <x v="0"/>
    <x v="0"/>
    <n v="3368.99"/>
    <n v="3897.07"/>
    <n v="528.08000000000038"/>
    <n v="0.15674727440568254"/>
  </r>
  <r>
    <x v="3"/>
    <d v="2010-03-24T00:00:00"/>
    <x v="5"/>
    <x v="1"/>
    <x v="1"/>
    <x v="1"/>
    <x v="0"/>
    <n v="70525.789999999994"/>
    <n v="89887.66"/>
    <n v="19361.87000000001"/>
    <n v="0.27453602433946522"/>
  </r>
  <r>
    <x v="3"/>
    <d v="2010-03-24T00:00:00"/>
    <x v="5"/>
    <x v="1"/>
    <x v="1"/>
    <x v="2"/>
    <x v="0"/>
    <n v="38686.68"/>
    <n v="44234.1"/>
    <n v="5547.4199999999983"/>
    <n v="0.14339354010217464"/>
  </r>
  <r>
    <x v="3"/>
    <d v="2010-03-24T00:00:00"/>
    <x v="5"/>
    <x v="1"/>
    <x v="1"/>
    <x v="3"/>
    <x v="0"/>
    <n v="574"/>
    <n v="660"/>
    <n v="86"/>
    <n v="0.14982578397212543"/>
  </r>
  <r>
    <x v="3"/>
    <d v="2010-03-24T00:00:00"/>
    <x v="5"/>
    <x v="1"/>
    <x v="1"/>
    <x v="4"/>
    <x v="0"/>
    <n v="3303"/>
    <n v="3794.74"/>
    <n v="491.73999999999978"/>
    <n v="0.14887677868604293"/>
  </r>
  <r>
    <x v="3"/>
    <d v="2010-03-24T00:00:00"/>
    <x v="5"/>
    <x v="1"/>
    <x v="1"/>
    <x v="5"/>
    <x v="1"/>
    <n v="84366.44"/>
    <n v="91999.22"/>
    <n v="7632.7799999999988"/>
    <n v="9.0471756304995196E-2"/>
  </r>
  <r>
    <x v="3"/>
    <d v="2010-03-24T00:00:00"/>
    <x v="5"/>
    <x v="1"/>
    <x v="1"/>
    <x v="6"/>
    <x v="1"/>
    <n v="213886.4"/>
    <n v="222288.49"/>
    <n v="8402.0899999999965"/>
    <n v="3.9282955812057228E-2"/>
  </r>
  <r>
    <x v="3"/>
    <d v="2010-03-24T00:00:00"/>
    <x v="5"/>
    <x v="1"/>
    <x v="1"/>
    <x v="7"/>
    <x v="1"/>
    <n v="44423.13"/>
    <n v="48495.06"/>
    <n v="4071.9300000000003"/>
    <n v="9.1662383987800966E-2"/>
  </r>
  <r>
    <x v="3"/>
    <d v="2010-03-24T00:00:00"/>
    <x v="5"/>
    <x v="1"/>
    <x v="1"/>
    <x v="8"/>
    <x v="1"/>
    <n v="91036.98"/>
    <n v="96412.19"/>
    <n v="5375.2100000000064"/>
    <n v="5.9044247733174002E-2"/>
  </r>
  <r>
    <x v="3"/>
    <d v="2010-03-24T00:00:00"/>
    <x v="5"/>
    <x v="1"/>
    <x v="1"/>
    <x v="9"/>
    <x v="2"/>
    <n v="116690.43"/>
    <n v="125526.57"/>
    <n v="8836.140000000014"/>
    <n v="7.5722919180261944E-2"/>
  </r>
  <r>
    <x v="3"/>
    <d v="2010-03-24T00:00:00"/>
    <x v="5"/>
    <x v="1"/>
    <x v="1"/>
    <x v="10"/>
    <x v="2"/>
    <n v="58210.29"/>
    <n v="62046.94"/>
    <n v="3836.6500000000015"/>
    <n v="6.5910168116324469E-2"/>
  </r>
  <r>
    <x v="3"/>
    <d v="2010-03-24T00:00:00"/>
    <x v="5"/>
    <x v="1"/>
    <x v="1"/>
    <x v="11"/>
    <x v="2"/>
    <n v="67229"/>
    <n v="72607.02"/>
    <n v="5378.0200000000041"/>
    <n v="7.9995537640006609E-2"/>
  </r>
  <r>
    <x v="3"/>
    <d v="2010-03-24T00:00:00"/>
    <x v="5"/>
    <x v="1"/>
    <x v="1"/>
    <x v="12"/>
    <x v="2"/>
    <n v="6612"/>
    <n v="7098.68"/>
    <n v="486.68000000000029"/>
    <n v="7.3605565638233561E-2"/>
  </r>
  <r>
    <x v="3"/>
    <d v="2010-03-24T00:00:00"/>
    <x v="5"/>
    <x v="1"/>
    <x v="1"/>
    <x v="26"/>
    <x v="3"/>
    <n v="681"/>
    <n v="762.97"/>
    <n v="81.970000000000027"/>
    <n v="0.12036710719530107"/>
  </r>
  <r>
    <x v="3"/>
    <d v="2010-03-24T00:00:00"/>
    <x v="5"/>
    <x v="1"/>
    <x v="1"/>
    <x v="13"/>
    <x v="3"/>
    <n v="40706.400000000001"/>
    <n v="45605.02"/>
    <n v="4898.6199999999953"/>
    <n v="0.12034029047029447"/>
  </r>
  <r>
    <x v="3"/>
    <d v="2010-03-24T00:00:00"/>
    <x v="5"/>
    <x v="1"/>
    <x v="1"/>
    <x v="14"/>
    <x v="3"/>
    <n v="23198.69"/>
    <n v="27831.01"/>
    <n v="4632.32"/>
    <n v="0.19968024056530778"/>
  </r>
  <r>
    <x v="3"/>
    <d v="2010-03-24T00:00:00"/>
    <x v="5"/>
    <x v="1"/>
    <x v="1"/>
    <x v="15"/>
    <x v="3"/>
    <n v="157981.79999999999"/>
    <n v="172320.94"/>
    <n v="14339.140000000014"/>
    <n v="9.0764505784843671E-2"/>
  </r>
  <r>
    <x v="3"/>
    <d v="2010-03-24T00:00:00"/>
    <x v="5"/>
    <x v="1"/>
    <x v="1"/>
    <x v="16"/>
    <x v="3"/>
    <n v="36195.4"/>
    <n v="40701.4"/>
    <n v="4506"/>
    <n v="0.12449095741447808"/>
  </r>
  <r>
    <x v="3"/>
    <d v="2010-03-24T00:00:00"/>
    <x v="5"/>
    <x v="1"/>
    <x v="1"/>
    <x v="17"/>
    <x v="4"/>
    <n v="184983.49"/>
    <n v="221393.44"/>
    <n v="36409.950000000012"/>
    <n v="0.1968281061190921"/>
  </r>
  <r>
    <x v="3"/>
    <d v="2010-03-24T00:00:00"/>
    <x v="5"/>
    <x v="1"/>
    <x v="1"/>
    <x v="18"/>
    <x v="5"/>
    <n v="25911.26"/>
    <n v="33126.5"/>
    <n v="7215.2400000000016"/>
    <n v="0.27845963492319564"/>
  </r>
  <r>
    <x v="3"/>
    <d v="2010-03-24T00:00:00"/>
    <x v="5"/>
    <x v="1"/>
    <x v="1"/>
    <x v="20"/>
    <x v="5"/>
    <n v="25988.25"/>
    <n v="49717.54"/>
    <n v="23729.29"/>
    <n v="0.91307764085692578"/>
  </r>
  <r>
    <x v="3"/>
    <d v="2010-03-24T00:00:00"/>
    <x v="5"/>
    <x v="1"/>
    <x v="1"/>
    <x v="21"/>
    <x v="5"/>
    <n v="1256.9000000000001"/>
    <n v="1396.37"/>
    <n v="139.4699999999998"/>
    <n v="0.11096348158166902"/>
  </r>
  <r>
    <x v="3"/>
    <d v="2010-03-24T00:00:00"/>
    <x v="5"/>
    <x v="1"/>
    <x v="1"/>
    <x v="22"/>
    <x v="6"/>
    <n v="642"/>
    <n v="748.65"/>
    <n v="106.64999999999998"/>
    <n v="0.16612149532710277"/>
  </r>
  <r>
    <x v="3"/>
    <d v="2010-03-24T00:00:00"/>
    <x v="5"/>
    <x v="1"/>
    <x v="1"/>
    <x v="23"/>
    <x v="6"/>
    <n v="65272.35"/>
    <n v="70356.350000000006"/>
    <n v="5084.0000000000073"/>
    <n v="7.7889029581438507E-2"/>
  </r>
  <r>
    <x v="3"/>
    <d v="2010-03-24T00:00:00"/>
    <x v="5"/>
    <x v="1"/>
    <x v="1"/>
    <x v="24"/>
    <x v="6"/>
    <n v="146535.49"/>
    <n v="157472.13"/>
    <n v="10936.640000000014"/>
    <n v="7.4634752304714821E-2"/>
  </r>
  <r>
    <x v="3"/>
    <d v="2010-03-24T00:00:00"/>
    <x v="5"/>
    <x v="1"/>
    <x v="1"/>
    <x v="25"/>
    <x v="6"/>
    <n v="189718.95"/>
    <n v="198855.41"/>
    <n v="9136.4599999999919"/>
    <n v="4.8157867203038975E-2"/>
  </r>
  <r>
    <x v="3"/>
    <d v="2010-03-25T00:00:00"/>
    <x v="5"/>
    <x v="1"/>
    <x v="1"/>
    <x v="0"/>
    <x v="0"/>
    <n v="7244"/>
    <n v="8351"/>
    <n v="1107"/>
    <n v="0.15281612368856984"/>
  </r>
  <r>
    <x v="3"/>
    <d v="2010-03-25T00:00:00"/>
    <x v="5"/>
    <x v="1"/>
    <x v="1"/>
    <x v="1"/>
    <x v="0"/>
    <n v="101016"/>
    <n v="123754"/>
    <n v="22738"/>
    <n v="0.22509305456561338"/>
  </r>
  <r>
    <x v="3"/>
    <d v="2010-03-25T00:00:00"/>
    <x v="5"/>
    <x v="1"/>
    <x v="1"/>
    <x v="2"/>
    <x v="0"/>
    <n v="49604"/>
    <n v="55468"/>
    <n v="5864"/>
    <n v="0.11821627288121926"/>
  </r>
  <r>
    <x v="3"/>
    <d v="2010-03-25T00:00:00"/>
    <x v="5"/>
    <x v="1"/>
    <x v="1"/>
    <x v="4"/>
    <x v="0"/>
    <n v="2691"/>
    <n v="3059"/>
    <n v="368"/>
    <n v="0.13675213675213677"/>
  </r>
  <r>
    <x v="3"/>
    <d v="2010-03-25T00:00:00"/>
    <x v="5"/>
    <x v="1"/>
    <x v="1"/>
    <x v="5"/>
    <x v="1"/>
    <n v="73005"/>
    <n v="81579"/>
    <n v="8574"/>
    <n v="0.11744401068419971"/>
  </r>
  <r>
    <x v="3"/>
    <d v="2010-03-25T00:00:00"/>
    <x v="5"/>
    <x v="1"/>
    <x v="1"/>
    <x v="6"/>
    <x v="1"/>
    <n v="249260"/>
    <n v="261693"/>
    <n v="12433"/>
    <n v="4.9879643745486639E-2"/>
  </r>
  <r>
    <x v="3"/>
    <d v="2010-03-25T00:00:00"/>
    <x v="5"/>
    <x v="1"/>
    <x v="1"/>
    <x v="7"/>
    <x v="1"/>
    <n v="51775"/>
    <n v="56788"/>
    <n v="5013"/>
    <n v="9.6822790922259774E-2"/>
  </r>
  <r>
    <x v="3"/>
    <d v="2010-03-25T00:00:00"/>
    <x v="5"/>
    <x v="1"/>
    <x v="1"/>
    <x v="8"/>
    <x v="1"/>
    <n v="65864"/>
    <n v="70554"/>
    <n v="4690"/>
    <n v="7.1207336329406054E-2"/>
  </r>
  <r>
    <x v="3"/>
    <d v="2010-03-25T00:00:00"/>
    <x v="5"/>
    <x v="1"/>
    <x v="1"/>
    <x v="9"/>
    <x v="2"/>
    <n v="132996"/>
    <n v="145078"/>
    <n v="12082"/>
    <n v="9.0844837438719961E-2"/>
  </r>
  <r>
    <x v="3"/>
    <d v="2010-03-25T00:00:00"/>
    <x v="5"/>
    <x v="1"/>
    <x v="1"/>
    <x v="10"/>
    <x v="2"/>
    <n v="62308"/>
    <n v="66538"/>
    <n v="4230"/>
    <n v="6.7888553636772167E-2"/>
  </r>
  <r>
    <x v="3"/>
    <d v="2010-03-25T00:00:00"/>
    <x v="5"/>
    <x v="1"/>
    <x v="1"/>
    <x v="11"/>
    <x v="2"/>
    <n v="71194"/>
    <n v="76875"/>
    <n v="5681"/>
    <n v="7.9796050228951879E-2"/>
  </r>
  <r>
    <x v="3"/>
    <d v="2010-03-25T00:00:00"/>
    <x v="5"/>
    <x v="1"/>
    <x v="1"/>
    <x v="12"/>
    <x v="2"/>
    <n v="1984"/>
    <n v="2214"/>
    <n v="230"/>
    <n v="0.1159274193548387"/>
  </r>
  <r>
    <x v="3"/>
    <d v="2010-03-25T00:00:00"/>
    <x v="5"/>
    <x v="1"/>
    <x v="1"/>
    <x v="26"/>
    <x v="3"/>
    <n v="625"/>
    <n v="700"/>
    <n v="75"/>
    <n v="0.12"/>
  </r>
  <r>
    <x v="3"/>
    <d v="2010-03-25T00:00:00"/>
    <x v="5"/>
    <x v="1"/>
    <x v="1"/>
    <x v="13"/>
    <x v="3"/>
    <n v="37122"/>
    <n v="41921"/>
    <n v="4799"/>
    <n v="0.129276439846991"/>
  </r>
  <r>
    <x v="3"/>
    <d v="2010-03-25T00:00:00"/>
    <x v="5"/>
    <x v="1"/>
    <x v="1"/>
    <x v="14"/>
    <x v="3"/>
    <n v="34479"/>
    <n v="40201"/>
    <n v="5722"/>
    <n v="0.16595608921372429"/>
  </r>
  <r>
    <x v="3"/>
    <d v="2010-03-25T00:00:00"/>
    <x v="5"/>
    <x v="1"/>
    <x v="1"/>
    <x v="15"/>
    <x v="3"/>
    <n v="186879"/>
    <n v="202641"/>
    <n v="15762"/>
    <n v="8.4343345159167166E-2"/>
  </r>
  <r>
    <x v="3"/>
    <d v="2010-03-25T00:00:00"/>
    <x v="5"/>
    <x v="1"/>
    <x v="1"/>
    <x v="16"/>
    <x v="3"/>
    <n v="33726"/>
    <n v="37724"/>
    <n v="3998"/>
    <n v="0.11854355689972128"/>
  </r>
  <r>
    <x v="3"/>
    <d v="2010-03-25T00:00:00"/>
    <x v="5"/>
    <x v="1"/>
    <x v="1"/>
    <x v="17"/>
    <x v="4"/>
    <n v="213120"/>
    <n v="253611"/>
    <n v="40491"/>
    <n v="0.18999155405405405"/>
  </r>
  <r>
    <x v="3"/>
    <d v="2010-03-25T00:00:00"/>
    <x v="5"/>
    <x v="1"/>
    <x v="1"/>
    <x v="18"/>
    <x v="5"/>
    <n v="29811"/>
    <n v="34666"/>
    <n v="4855"/>
    <n v="0.16285934722082454"/>
  </r>
  <r>
    <x v="3"/>
    <d v="2010-03-25T00:00:00"/>
    <x v="5"/>
    <x v="1"/>
    <x v="1"/>
    <x v="20"/>
    <x v="5"/>
    <n v="42231"/>
    <n v="79318"/>
    <n v="37087"/>
    <n v="0.87819374393218252"/>
  </r>
  <r>
    <x v="3"/>
    <d v="2010-03-25T00:00:00"/>
    <x v="5"/>
    <x v="1"/>
    <x v="1"/>
    <x v="21"/>
    <x v="5"/>
    <n v="3309"/>
    <n v="3676"/>
    <n v="367"/>
    <n v="0.11090964037473557"/>
  </r>
  <r>
    <x v="3"/>
    <d v="2010-03-25T00:00:00"/>
    <x v="5"/>
    <x v="1"/>
    <x v="1"/>
    <x v="22"/>
    <x v="6"/>
    <n v="4356"/>
    <n v="5220"/>
    <n v="864"/>
    <n v="0.19834710743801653"/>
  </r>
  <r>
    <x v="3"/>
    <d v="2010-03-25T00:00:00"/>
    <x v="5"/>
    <x v="1"/>
    <x v="1"/>
    <x v="23"/>
    <x v="6"/>
    <n v="62520"/>
    <n v="66846"/>
    <n v="4326"/>
    <n v="6.919385796545105E-2"/>
  </r>
  <r>
    <x v="3"/>
    <d v="2010-03-25T00:00:00"/>
    <x v="5"/>
    <x v="1"/>
    <x v="1"/>
    <x v="24"/>
    <x v="6"/>
    <n v="154137"/>
    <n v="164541"/>
    <n v="10404"/>
    <n v="6.7498394285603072E-2"/>
  </r>
  <r>
    <x v="3"/>
    <d v="2010-03-25T00:00:00"/>
    <x v="5"/>
    <x v="1"/>
    <x v="1"/>
    <x v="25"/>
    <x v="6"/>
    <n v="144977"/>
    <n v="151412"/>
    <n v="6435"/>
    <n v="4.4386350938424718E-2"/>
  </r>
  <r>
    <x v="3"/>
    <d v="2010-03-26T00:00:00"/>
    <x v="5"/>
    <x v="1"/>
    <x v="1"/>
    <x v="0"/>
    <x v="0"/>
    <n v="6043"/>
    <n v="7057"/>
    <n v="1014"/>
    <n v="0.16779745159688897"/>
  </r>
  <r>
    <x v="3"/>
    <d v="2010-03-26T00:00:00"/>
    <x v="5"/>
    <x v="1"/>
    <x v="1"/>
    <x v="1"/>
    <x v="0"/>
    <n v="89879"/>
    <n v="108680"/>
    <n v="18801"/>
    <n v="0.20918123254597848"/>
  </r>
  <r>
    <x v="3"/>
    <d v="2010-03-26T00:00:00"/>
    <x v="5"/>
    <x v="1"/>
    <x v="1"/>
    <x v="2"/>
    <x v="0"/>
    <n v="43990"/>
    <n v="49577"/>
    <n v="5587"/>
    <n v="0.12700613775858149"/>
  </r>
  <r>
    <x v="3"/>
    <d v="2010-03-26T00:00:00"/>
    <x v="5"/>
    <x v="1"/>
    <x v="1"/>
    <x v="3"/>
    <x v="0"/>
    <n v="435"/>
    <n v="484"/>
    <n v="49"/>
    <n v="0.11264367816091954"/>
  </r>
  <r>
    <x v="3"/>
    <d v="2010-03-26T00:00:00"/>
    <x v="5"/>
    <x v="1"/>
    <x v="1"/>
    <x v="4"/>
    <x v="0"/>
    <n v="6299"/>
    <n v="7190"/>
    <n v="891"/>
    <n v="0.14145102397205905"/>
  </r>
  <r>
    <x v="3"/>
    <d v="2010-03-26T00:00:00"/>
    <x v="5"/>
    <x v="1"/>
    <x v="1"/>
    <x v="5"/>
    <x v="1"/>
    <n v="101792"/>
    <n v="112335"/>
    <n v="10543"/>
    <n v="0.1035739547312166"/>
  </r>
  <r>
    <x v="3"/>
    <d v="2010-03-26T00:00:00"/>
    <x v="5"/>
    <x v="1"/>
    <x v="1"/>
    <x v="6"/>
    <x v="1"/>
    <n v="229983"/>
    <n v="241437"/>
    <n v="11454"/>
    <n v="4.9803681141649597E-2"/>
  </r>
  <r>
    <x v="3"/>
    <d v="2010-03-26T00:00:00"/>
    <x v="5"/>
    <x v="1"/>
    <x v="1"/>
    <x v="7"/>
    <x v="1"/>
    <n v="63943"/>
    <n v="70719"/>
    <n v="6776"/>
    <n v="0.10596937897815242"/>
  </r>
  <r>
    <x v="3"/>
    <d v="2010-03-26T00:00:00"/>
    <x v="5"/>
    <x v="1"/>
    <x v="1"/>
    <x v="8"/>
    <x v="1"/>
    <n v="75822"/>
    <n v="80807"/>
    <n v="4985"/>
    <n v="6.5746089525467538E-2"/>
  </r>
  <r>
    <x v="3"/>
    <d v="2010-03-26T00:00:00"/>
    <x v="5"/>
    <x v="1"/>
    <x v="1"/>
    <x v="9"/>
    <x v="2"/>
    <n v="200759"/>
    <n v="221354"/>
    <n v="20595"/>
    <n v="0.10258568731663338"/>
  </r>
  <r>
    <x v="3"/>
    <d v="2010-03-26T00:00:00"/>
    <x v="5"/>
    <x v="1"/>
    <x v="1"/>
    <x v="10"/>
    <x v="2"/>
    <n v="70075"/>
    <n v="74991"/>
    <n v="4916"/>
    <n v="7.0153407063860154E-2"/>
  </r>
  <r>
    <x v="3"/>
    <d v="2010-03-26T00:00:00"/>
    <x v="5"/>
    <x v="1"/>
    <x v="1"/>
    <x v="11"/>
    <x v="2"/>
    <n v="66892"/>
    <n v="73213"/>
    <n v="6321"/>
    <n v="9.4495604855588111E-2"/>
  </r>
  <r>
    <x v="3"/>
    <d v="2010-03-26T00:00:00"/>
    <x v="5"/>
    <x v="1"/>
    <x v="1"/>
    <x v="12"/>
    <x v="2"/>
    <n v="5336"/>
    <n v="5583"/>
    <n v="247"/>
    <n v="4.6289355322338833E-2"/>
  </r>
  <r>
    <x v="3"/>
    <d v="2010-03-26T00:00:00"/>
    <x v="5"/>
    <x v="1"/>
    <x v="1"/>
    <x v="13"/>
    <x v="3"/>
    <n v="66957"/>
    <n v="75979"/>
    <n v="9022"/>
    <n v="0.13474319339277446"/>
  </r>
  <r>
    <x v="3"/>
    <d v="2010-03-26T00:00:00"/>
    <x v="5"/>
    <x v="1"/>
    <x v="1"/>
    <x v="14"/>
    <x v="3"/>
    <n v="19299"/>
    <n v="23400"/>
    <n v="4101"/>
    <n v="0.21249805689413959"/>
  </r>
  <r>
    <x v="3"/>
    <d v="2010-03-26T00:00:00"/>
    <x v="5"/>
    <x v="1"/>
    <x v="1"/>
    <x v="15"/>
    <x v="3"/>
    <n v="178227"/>
    <n v="194762"/>
    <n v="16535"/>
    <n v="9.2774944312590119E-2"/>
  </r>
  <r>
    <x v="3"/>
    <d v="2010-03-26T00:00:00"/>
    <x v="5"/>
    <x v="1"/>
    <x v="1"/>
    <x v="16"/>
    <x v="3"/>
    <n v="34665"/>
    <n v="39025"/>
    <n v="4360"/>
    <n v="0.1257752776575797"/>
  </r>
  <r>
    <x v="3"/>
    <d v="2010-03-26T00:00:00"/>
    <x v="5"/>
    <x v="1"/>
    <x v="1"/>
    <x v="17"/>
    <x v="4"/>
    <n v="233366"/>
    <n v="283578"/>
    <n v="50212"/>
    <n v="0.21516416273150329"/>
  </r>
  <r>
    <x v="3"/>
    <d v="2010-03-26T00:00:00"/>
    <x v="5"/>
    <x v="1"/>
    <x v="1"/>
    <x v="18"/>
    <x v="5"/>
    <n v="36447"/>
    <n v="47643"/>
    <n v="11196"/>
    <n v="0.30718577660712815"/>
  </r>
  <r>
    <x v="3"/>
    <d v="2010-03-26T00:00:00"/>
    <x v="5"/>
    <x v="1"/>
    <x v="1"/>
    <x v="20"/>
    <x v="5"/>
    <n v="33467"/>
    <n v="63374"/>
    <n v="29907"/>
    <n v="0.89362655750440734"/>
  </r>
  <r>
    <x v="3"/>
    <d v="2010-03-26T00:00:00"/>
    <x v="5"/>
    <x v="1"/>
    <x v="1"/>
    <x v="21"/>
    <x v="5"/>
    <n v="1947"/>
    <n v="2164"/>
    <n v="217"/>
    <n v="0.11145351823317926"/>
  </r>
  <r>
    <x v="3"/>
    <d v="2010-03-26T00:00:00"/>
    <x v="5"/>
    <x v="1"/>
    <x v="1"/>
    <x v="22"/>
    <x v="6"/>
    <n v="2895"/>
    <n v="3458"/>
    <n v="563"/>
    <n v="0.19447322970639033"/>
  </r>
  <r>
    <x v="3"/>
    <d v="2010-03-26T00:00:00"/>
    <x v="5"/>
    <x v="1"/>
    <x v="1"/>
    <x v="23"/>
    <x v="6"/>
    <n v="68202"/>
    <n v="72870"/>
    <n v="4668"/>
    <n v="6.8443740652766774E-2"/>
  </r>
  <r>
    <x v="3"/>
    <d v="2010-03-26T00:00:00"/>
    <x v="5"/>
    <x v="1"/>
    <x v="1"/>
    <x v="24"/>
    <x v="6"/>
    <n v="127659"/>
    <n v="135295"/>
    <n v="7636"/>
    <n v="5.9815602503544597E-2"/>
  </r>
  <r>
    <x v="3"/>
    <d v="2010-03-26T00:00:00"/>
    <x v="5"/>
    <x v="1"/>
    <x v="1"/>
    <x v="25"/>
    <x v="6"/>
    <n v="135112"/>
    <n v="141271"/>
    <n v="6159"/>
    <n v="4.5584404049973354E-2"/>
  </r>
  <r>
    <x v="3"/>
    <d v="2010-03-27T00:00:00"/>
    <x v="5"/>
    <x v="1"/>
    <x v="1"/>
    <x v="0"/>
    <x v="0"/>
    <n v="6666"/>
    <n v="7773.9"/>
    <n v="1107.8999999999996"/>
    <n v="0.16620162016201614"/>
  </r>
  <r>
    <x v="3"/>
    <d v="2010-03-27T00:00:00"/>
    <x v="5"/>
    <x v="1"/>
    <x v="1"/>
    <x v="1"/>
    <x v="0"/>
    <n v="109035.1"/>
    <n v="135020.79999999999"/>
    <n v="25985.699999999983"/>
    <n v="0.23832417267467065"/>
  </r>
  <r>
    <x v="3"/>
    <d v="2010-03-27T00:00:00"/>
    <x v="5"/>
    <x v="1"/>
    <x v="1"/>
    <x v="2"/>
    <x v="0"/>
    <n v="61553.3"/>
    <n v="69497.3"/>
    <n v="7944"/>
    <n v="0.12905888067739665"/>
  </r>
  <r>
    <x v="3"/>
    <d v="2010-03-27T00:00:00"/>
    <x v="5"/>
    <x v="1"/>
    <x v="1"/>
    <x v="3"/>
    <x v="0"/>
    <n v="574"/>
    <n v="660"/>
    <n v="86"/>
    <n v="0.14982578397212543"/>
  </r>
  <r>
    <x v="3"/>
    <d v="2010-03-27T00:00:00"/>
    <x v="5"/>
    <x v="1"/>
    <x v="1"/>
    <x v="4"/>
    <x v="0"/>
    <n v="2344"/>
    <n v="2694.9"/>
    <n v="350.90000000000009"/>
    <n v="0.14970136518771335"/>
  </r>
  <r>
    <x v="3"/>
    <d v="2010-03-27T00:00:00"/>
    <x v="5"/>
    <x v="1"/>
    <x v="1"/>
    <x v="5"/>
    <x v="1"/>
    <n v="103538"/>
    <n v="114175.1"/>
    <n v="10637.100000000006"/>
    <n v="0.10273619347485953"/>
  </r>
  <r>
    <x v="3"/>
    <d v="2010-03-27T00:00:00"/>
    <x v="5"/>
    <x v="1"/>
    <x v="1"/>
    <x v="6"/>
    <x v="1"/>
    <n v="370503.6"/>
    <n v="386647"/>
    <n v="16143.400000000023"/>
    <n v="4.3571506457697105E-2"/>
  </r>
  <r>
    <x v="3"/>
    <d v="2010-03-27T00:00:00"/>
    <x v="5"/>
    <x v="1"/>
    <x v="1"/>
    <x v="7"/>
    <x v="1"/>
    <n v="99057.4"/>
    <n v="109537.3"/>
    <n v="10479.900000000009"/>
    <n v="0.10579623531407052"/>
  </r>
  <r>
    <x v="3"/>
    <d v="2010-03-27T00:00:00"/>
    <x v="5"/>
    <x v="1"/>
    <x v="1"/>
    <x v="8"/>
    <x v="1"/>
    <n v="112911"/>
    <n v="119583.5"/>
    <n v="6672.5"/>
    <n v="5.9095216586515044E-2"/>
  </r>
  <r>
    <x v="3"/>
    <d v="2010-03-27T00:00:00"/>
    <x v="5"/>
    <x v="1"/>
    <x v="1"/>
    <x v="9"/>
    <x v="2"/>
    <n v="202469.5"/>
    <n v="221547.1"/>
    <n v="19077.600000000006"/>
    <n v="9.4224562218013105E-2"/>
  </r>
  <r>
    <x v="3"/>
    <d v="2010-03-27T00:00:00"/>
    <x v="5"/>
    <x v="1"/>
    <x v="1"/>
    <x v="10"/>
    <x v="2"/>
    <n v="94908.5"/>
    <n v="99144.5"/>
    <n v="4236"/>
    <n v="4.4632461792147173E-2"/>
  </r>
  <r>
    <x v="3"/>
    <d v="2010-03-27T00:00:00"/>
    <x v="5"/>
    <x v="1"/>
    <x v="1"/>
    <x v="11"/>
    <x v="2"/>
    <n v="85482"/>
    <n v="94174.399999999994"/>
    <n v="8692.3999999999942"/>
    <n v="0.10168690484546447"/>
  </r>
  <r>
    <x v="3"/>
    <d v="2010-03-27T00:00:00"/>
    <x v="5"/>
    <x v="1"/>
    <x v="1"/>
    <x v="12"/>
    <x v="2"/>
    <n v="6358"/>
    <n v="6875.8"/>
    <n v="517.80000000000018"/>
    <n v="8.1440704624095653E-2"/>
  </r>
  <r>
    <x v="3"/>
    <d v="2010-03-27T00:00:00"/>
    <x v="5"/>
    <x v="1"/>
    <x v="1"/>
    <x v="26"/>
    <x v="3"/>
    <n v="265"/>
    <n v="319"/>
    <n v="54"/>
    <n v="0.20377358490566039"/>
  </r>
  <r>
    <x v="3"/>
    <d v="2010-03-27T00:00:00"/>
    <x v="5"/>
    <x v="1"/>
    <x v="1"/>
    <x v="13"/>
    <x v="3"/>
    <n v="76161"/>
    <n v="86176.5"/>
    <n v="10015.5"/>
    <n v="0.13150431323118131"/>
  </r>
  <r>
    <x v="3"/>
    <d v="2010-03-27T00:00:00"/>
    <x v="5"/>
    <x v="1"/>
    <x v="1"/>
    <x v="14"/>
    <x v="3"/>
    <n v="31033.5"/>
    <n v="37719.5"/>
    <n v="6686"/>
    <n v="0.21544460019011713"/>
  </r>
  <r>
    <x v="3"/>
    <d v="2010-03-27T00:00:00"/>
    <x v="5"/>
    <x v="1"/>
    <x v="1"/>
    <x v="15"/>
    <x v="3"/>
    <n v="276722.59999999998"/>
    <n v="300760.5"/>
    <n v="24037.900000000023"/>
    <n v="8.6866414235772668E-2"/>
  </r>
  <r>
    <x v="3"/>
    <d v="2010-03-27T00:00:00"/>
    <x v="5"/>
    <x v="1"/>
    <x v="1"/>
    <x v="16"/>
    <x v="3"/>
    <n v="51493"/>
    <n v="57726.9"/>
    <n v="6233.9000000000015"/>
    <n v="0.12106305711455929"/>
  </r>
  <r>
    <x v="3"/>
    <d v="2010-03-27T00:00:00"/>
    <x v="5"/>
    <x v="1"/>
    <x v="1"/>
    <x v="17"/>
    <x v="4"/>
    <n v="379925"/>
    <n v="441164.1"/>
    <n v="61239.099999999977"/>
    <n v="0.16118733960650122"/>
  </r>
  <r>
    <x v="3"/>
    <d v="2010-03-27T00:00:00"/>
    <x v="5"/>
    <x v="1"/>
    <x v="1"/>
    <x v="18"/>
    <x v="5"/>
    <n v="39748.5"/>
    <n v="48743.4"/>
    <n v="8994.9000000000015"/>
    <n v="0.226295331899317"/>
  </r>
  <r>
    <x v="3"/>
    <d v="2010-03-27T00:00:00"/>
    <x v="5"/>
    <x v="1"/>
    <x v="1"/>
    <x v="20"/>
    <x v="5"/>
    <n v="41911.4"/>
    <n v="81071.199999999997"/>
    <n v="39159.799999999996"/>
    <n v="0.93434721817930189"/>
  </r>
  <r>
    <x v="3"/>
    <d v="2010-03-27T00:00:00"/>
    <x v="5"/>
    <x v="1"/>
    <x v="1"/>
    <x v="21"/>
    <x v="5"/>
    <n v="1336.4"/>
    <n v="1484.5"/>
    <n v="148.09999999999991"/>
    <n v="0.1108201137384016"/>
  </r>
  <r>
    <x v="3"/>
    <d v="2010-03-27T00:00:00"/>
    <x v="5"/>
    <x v="1"/>
    <x v="1"/>
    <x v="22"/>
    <x v="6"/>
    <n v="3702.2"/>
    <n v="4652"/>
    <n v="949.80000000000018"/>
    <n v="0.25655015936470216"/>
  </r>
  <r>
    <x v="3"/>
    <d v="2010-03-27T00:00:00"/>
    <x v="5"/>
    <x v="1"/>
    <x v="1"/>
    <x v="23"/>
    <x v="6"/>
    <n v="84170.2"/>
    <n v="92003"/>
    <n v="7832.8000000000029"/>
    <n v="9.3059063659109792E-2"/>
  </r>
  <r>
    <x v="3"/>
    <d v="2010-03-27T00:00:00"/>
    <x v="5"/>
    <x v="1"/>
    <x v="1"/>
    <x v="24"/>
    <x v="6"/>
    <n v="170132.7"/>
    <n v="181834.9"/>
    <n v="11702.199999999983"/>
    <n v="6.8782779559720036E-2"/>
  </r>
  <r>
    <x v="3"/>
    <d v="2010-03-27T00:00:00"/>
    <x v="5"/>
    <x v="1"/>
    <x v="1"/>
    <x v="25"/>
    <x v="6"/>
    <n v="222885.9"/>
    <n v="234716.4"/>
    <n v="11830.5"/>
    <n v="5.3078727725710782E-2"/>
  </r>
  <r>
    <x v="3"/>
    <d v="2010-03-28T00:00:00"/>
    <x v="6"/>
    <x v="1"/>
    <x v="1"/>
    <x v="0"/>
    <x v="0"/>
    <n v="5929.96"/>
    <n v="7041.91"/>
    <n v="1111.9499999999998"/>
    <n v="0.18751391240413084"/>
  </r>
  <r>
    <x v="3"/>
    <d v="2010-03-28T00:00:00"/>
    <x v="6"/>
    <x v="1"/>
    <x v="1"/>
    <x v="1"/>
    <x v="0"/>
    <n v="93037.16"/>
    <n v="113047.56"/>
    <n v="20010.399999999994"/>
    <n v="0.21507965204440885"/>
  </r>
  <r>
    <x v="3"/>
    <d v="2010-03-28T00:00:00"/>
    <x v="6"/>
    <x v="1"/>
    <x v="1"/>
    <x v="2"/>
    <x v="0"/>
    <n v="56312.49"/>
    <n v="63216.45"/>
    <n v="6903.9599999999991"/>
    <n v="0.122600865278733"/>
  </r>
  <r>
    <x v="3"/>
    <d v="2010-03-28T00:00:00"/>
    <x v="6"/>
    <x v="1"/>
    <x v="1"/>
    <x v="3"/>
    <x v="0"/>
    <n v="2018"/>
    <n v="2138.7399999999998"/>
    <n v="120.73999999999978"/>
    <n v="5.9831516352824472E-2"/>
  </r>
  <r>
    <x v="3"/>
    <d v="2010-03-28T00:00:00"/>
    <x v="6"/>
    <x v="1"/>
    <x v="1"/>
    <x v="4"/>
    <x v="0"/>
    <n v="7242.71"/>
    <n v="8277.4500000000007"/>
    <n v="1034.7400000000007"/>
    <n v="0.14286641326243915"/>
  </r>
  <r>
    <x v="3"/>
    <d v="2010-03-28T00:00:00"/>
    <x v="6"/>
    <x v="1"/>
    <x v="1"/>
    <x v="5"/>
    <x v="1"/>
    <n v="104404.48"/>
    <n v="116038.41"/>
    <n v="11633.930000000008"/>
    <n v="0.11143132938356676"/>
  </r>
  <r>
    <x v="3"/>
    <d v="2010-03-28T00:00:00"/>
    <x v="6"/>
    <x v="1"/>
    <x v="1"/>
    <x v="6"/>
    <x v="1"/>
    <n v="309134.33"/>
    <n v="326400.02"/>
    <n v="17265.690000000002"/>
    <n v="5.5851739274638317E-2"/>
  </r>
  <r>
    <x v="3"/>
    <d v="2010-03-28T00:00:00"/>
    <x v="6"/>
    <x v="1"/>
    <x v="1"/>
    <x v="7"/>
    <x v="1"/>
    <n v="75113.14"/>
    <n v="83050.52"/>
    <n v="7937.3800000000047"/>
    <n v="0.10567232311150891"/>
  </r>
  <r>
    <x v="3"/>
    <d v="2010-03-28T00:00:00"/>
    <x v="6"/>
    <x v="1"/>
    <x v="1"/>
    <x v="8"/>
    <x v="1"/>
    <n v="109404.04"/>
    <n v="117220.48"/>
    <n v="7816.4400000000023"/>
    <n v="7.1445624859922938E-2"/>
  </r>
  <r>
    <x v="3"/>
    <d v="2010-03-28T00:00:00"/>
    <x v="6"/>
    <x v="1"/>
    <x v="1"/>
    <x v="9"/>
    <x v="2"/>
    <n v="173260.48"/>
    <n v="190007.44"/>
    <n v="16746.959999999992"/>
    <n v="9.6657702899126161E-2"/>
  </r>
  <r>
    <x v="3"/>
    <d v="2010-03-28T00:00:00"/>
    <x v="6"/>
    <x v="1"/>
    <x v="1"/>
    <x v="10"/>
    <x v="2"/>
    <n v="58806.79"/>
    <n v="62454.77"/>
    <n v="3647.9799999999959"/>
    <n v="6.2033312819829066E-2"/>
  </r>
  <r>
    <x v="3"/>
    <d v="2010-03-28T00:00:00"/>
    <x v="6"/>
    <x v="1"/>
    <x v="1"/>
    <x v="11"/>
    <x v="2"/>
    <n v="66559"/>
    <n v="73051.81"/>
    <n v="6492.8099999999977"/>
    <n v="9.7549692753797351E-2"/>
  </r>
  <r>
    <x v="3"/>
    <d v="2010-03-28T00:00:00"/>
    <x v="6"/>
    <x v="1"/>
    <x v="1"/>
    <x v="12"/>
    <x v="2"/>
    <n v="2988"/>
    <n v="3349.18"/>
    <n v="361.17999999999984"/>
    <n v="0.12087684069611775"/>
  </r>
  <r>
    <x v="3"/>
    <d v="2010-03-28T00:00:00"/>
    <x v="6"/>
    <x v="1"/>
    <x v="1"/>
    <x v="26"/>
    <x v="3"/>
    <n v="722.89"/>
    <n v="809.48"/>
    <n v="86.590000000000032"/>
    <n v="0.11978309286336791"/>
  </r>
  <r>
    <x v="3"/>
    <d v="2010-03-28T00:00:00"/>
    <x v="6"/>
    <x v="1"/>
    <x v="1"/>
    <x v="13"/>
    <x v="3"/>
    <n v="54390.55"/>
    <n v="61662.74"/>
    <n v="7272.1899999999951"/>
    <n v="0.13370318924886759"/>
  </r>
  <r>
    <x v="3"/>
    <d v="2010-03-28T00:00:00"/>
    <x v="6"/>
    <x v="1"/>
    <x v="1"/>
    <x v="14"/>
    <x v="3"/>
    <n v="22135.96"/>
    <n v="28123.31"/>
    <n v="5987.3500000000022"/>
    <n v="0.27048070198898094"/>
  </r>
  <r>
    <x v="3"/>
    <d v="2010-03-28T00:00:00"/>
    <x v="6"/>
    <x v="1"/>
    <x v="1"/>
    <x v="15"/>
    <x v="3"/>
    <n v="253441.6"/>
    <n v="274815.63"/>
    <n v="21374.03"/>
    <n v="8.4335128881762103E-2"/>
  </r>
  <r>
    <x v="3"/>
    <d v="2010-03-28T00:00:00"/>
    <x v="6"/>
    <x v="1"/>
    <x v="1"/>
    <x v="16"/>
    <x v="3"/>
    <n v="54506.04"/>
    <n v="60794.83"/>
    <n v="6288.7900000000009"/>
    <n v="0.11537785537162489"/>
  </r>
  <r>
    <x v="3"/>
    <d v="2010-03-28T00:00:00"/>
    <x v="6"/>
    <x v="1"/>
    <x v="1"/>
    <x v="17"/>
    <x v="4"/>
    <n v="299531.27"/>
    <n v="351549.6"/>
    <n v="52018.329999999958"/>
    <n v="0.17366577452831539"/>
  </r>
  <r>
    <x v="3"/>
    <d v="2010-03-28T00:00:00"/>
    <x v="6"/>
    <x v="1"/>
    <x v="1"/>
    <x v="18"/>
    <x v="5"/>
    <n v="47290.66"/>
    <n v="59007.34"/>
    <n v="11716.679999999993"/>
    <n v="0.24775885978330589"/>
  </r>
  <r>
    <x v="3"/>
    <d v="2010-03-28T00:00:00"/>
    <x v="6"/>
    <x v="1"/>
    <x v="1"/>
    <x v="20"/>
    <x v="5"/>
    <n v="42276.07"/>
    <n v="78076.350000000006"/>
    <n v="35800.280000000006"/>
    <n v="0.84682138145764274"/>
  </r>
  <r>
    <x v="3"/>
    <d v="2010-03-28T00:00:00"/>
    <x v="6"/>
    <x v="1"/>
    <x v="1"/>
    <x v="22"/>
    <x v="6"/>
    <n v="2075.08"/>
    <n v="2447.3000000000002"/>
    <n v="372.22000000000025"/>
    <n v="0.17937621682055643"/>
  </r>
  <r>
    <x v="3"/>
    <d v="2010-03-28T00:00:00"/>
    <x v="6"/>
    <x v="1"/>
    <x v="1"/>
    <x v="23"/>
    <x v="6"/>
    <n v="96237.4"/>
    <n v="104402.47"/>
    <n v="8165.070000000007"/>
    <n v="8.4843002824265906E-2"/>
  </r>
  <r>
    <x v="3"/>
    <d v="2010-03-28T00:00:00"/>
    <x v="6"/>
    <x v="1"/>
    <x v="1"/>
    <x v="24"/>
    <x v="6"/>
    <n v="167193.67000000001"/>
    <n v="180913.67"/>
    <n v="13720"/>
    <n v="8.2060522985110615E-2"/>
  </r>
  <r>
    <x v="3"/>
    <d v="2010-03-28T00:00:00"/>
    <x v="6"/>
    <x v="1"/>
    <x v="1"/>
    <x v="25"/>
    <x v="6"/>
    <n v="189733.03"/>
    <n v="198789.92"/>
    <n v="9056.890000000014"/>
    <n v="4.773491468512369E-2"/>
  </r>
  <r>
    <x v="3"/>
    <d v="2010-03-29T00:00:00"/>
    <x v="6"/>
    <x v="1"/>
    <x v="1"/>
    <x v="0"/>
    <x v="0"/>
    <n v="3571"/>
    <n v="4296"/>
    <n v="725"/>
    <n v="0.20302436292355083"/>
  </r>
  <r>
    <x v="3"/>
    <d v="2010-03-29T00:00:00"/>
    <x v="6"/>
    <x v="1"/>
    <x v="1"/>
    <x v="1"/>
    <x v="0"/>
    <n v="78825"/>
    <n v="98148"/>
    <n v="19323"/>
    <n v="0.24513796384395814"/>
  </r>
  <r>
    <x v="3"/>
    <d v="2010-03-29T00:00:00"/>
    <x v="6"/>
    <x v="1"/>
    <x v="1"/>
    <x v="2"/>
    <x v="0"/>
    <n v="50985"/>
    <n v="58208"/>
    <n v="7223"/>
    <n v="0.1416691183681475"/>
  </r>
  <r>
    <x v="3"/>
    <d v="2010-03-29T00:00:00"/>
    <x v="6"/>
    <x v="1"/>
    <x v="1"/>
    <x v="4"/>
    <x v="0"/>
    <n v="2450"/>
    <n v="2909"/>
    <n v="459"/>
    <n v="0.1873469387755102"/>
  </r>
  <r>
    <x v="3"/>
    <d v="2010-03-29T00:00:00"/>
    <x v="6"/>
    <x v="1"/>
    <x v="1"/>
    <x v="5"/>
    <x v="1"/>
    <n v="80826"/>
    <n v="89190"/>
    <n v="8364"/>
    <n v="0.10348155296562987"/>
  </r>
  <r>
    <x v="3"/>
    <d v="2010-03-29T00:00:00"/>
    <x v="6"/>
    <x v="1"/>
    <x v="1"/>
    <x v="6"/>
    <x v="1"/>
    <n v="321946"/>
    <n v="334040"/>
    <n v="12094"/>
    <n v="3.7565305982990939E-2"/>
  </r>
  <r>
    <x v="3"/>
    <d v="2010-03-29T00:00:00"/>
    <x v="6"/>
    <x v="1"/>
    <x v="1"/>
    <x v="7"/>
    <x v="1"/>
    <n v="53252"/>
    <n v="58964"/>
    <n v="5712"/>
    <n v="0.10726357695485615"/>
  </r>
  <r>
    <x v="3"/>
    <d v="2010-03-29T00:00:00"/>
    <x v="6"/>
    <x v="1"/>
    <x v="1"/>
    <x v="8"/>
    <x v="1"/>
    <n v="82337"/>
    <n v="88003"/>
    <n v="5666"/>
    <n v="6.8814749140726522E-2"/>
  </r>
  <r>
    <x v="3"/>
    <d v="2010-03-29T00:00:00"/>
    <x v="6"/>
    <x v="1"/>
    <x v="1"/>
    <x v="9"/>
    <x v="2"/>
    <n v="177769"/>
    <n v="191075"/>
    <n v="13306"/>
    <n v="7.4849945716069732E-2"/>
  </r>
  <r>
    <x v="3"/>
    <d v="2010-03-29T00:00:00"/>
    <x v="6"/>
    <x v="1"/>
    <x v="1"/>
    <x v="10"/>
    <x v="2"/>
    <n v="59329"/>
    <n v="63130"/>
    <n v="3801"/>
    <n v="6.4066476765157004E-2"/>
  </r>
  <r>
    <x v="3"/>
    <d v="2010-03-29T00:00:00"/>
    <x v="6"/>
    <x v="1"/>
    <x v="1"/>
    <x v="11"/>
    <x v="2"/>
    <n v="74694"/>
    <n v="78389"/>
    <n v="3695"/>
    <n v="4.9468498139074092E-2"/>
  </r>
  <r>
    <x v="3"/>
    <d v="2010-03-29T00:00:00"/>
    <x v="6"/>
    <x v="1"/>
    <x v="1"/>
    <x v="12"/>
    <x v="2"/>
    <n v="3980"/>
    <n v="4452"/>
    <n v="472"/>
    <n v="0.1185929648241206"/>
  </r>
  <r>
    <x v="3"/>
    <d v="2010-03-29T00:00:00"/>
    <x v="6"/>
    <x v="1"/>
    <x v="1"/>
    <x v="26"/>
    <x v="3"/>
    <n v="1430"/>
    <n v="1644"/>
    <n v="214"/>
    <n v="0.14965034965034965"/>
  </r>
  <r>
    <x v="3"/>
    <d v="2010-03-29T00:00:00"/>
    <x v="6"/>
    <x v="1"/>
    <x v="1"/>
    <x v="13"/>
    <x v="3"/>
    <n v="34180"/>
    <n v="38741"/>
    <n v="4561"/>
    <n v="0.1334406085430076"/>
  </r>
  <r>
    <x v="3"/>
    <d v="2010-03-29T00:00:00"/>
    <x v="6"/>
    <x v="1"/>
    <x v="1"/>
    <x v="14"/>
    <x v="3"/>
    <n v="12149"/>
    <n v="15160"/>
    <n v="3011"/>
    <n v="0.24783932833978106"/>
  </r>
  <r>
    <x v="3"/>
    <d v="2010-03-29T00:00:00"/>
    <x v="6"/>
    <x v="1"/>
    <x v="1"/>
    <x v="15"/>
    <x v="3"/>
    <n v="164075"/>
    <n v="178149"/>
    <n v="14074"/>
    <n v="8.5777845497485905E-2"/>
  </r>
  <r>
    <x v="3"/>
    <d v="2010-03-29T00:00:00"/>
    <x v="6"/>
    <x v="1"/>
    <x v="1"/>
    <x v="16"/>
    <x v="3"/>
    <n v="30636"/>
    <n v="34537"/>
    <n v="3901"/>
    <n v="0.12733385559472515"/>
  </r>
  <r>
    <x v="3"/>
    <d v="2010-03-29T00:00:00"/>
    <x v="6"/>
    <x v="1"/>
    <x v="1"/>
    <x v="17"/>
    <x v="4"/>
    <n v="239067"/>
    <n v="280838"/>
    <n v="41771"/>
    <n v="0.17472507707044468"/>
  </r>
  <r>
    <x v="3"/>
    <d v="2010-03-29T00:00:00"/>
    <x v="6"/>
    <x v="1"/>
    <x v="1"/>
    <x v="18"/>
    <x v="5"/>
    <n v="40919"/>
    <n v="50283"/>
    <n v="9364"/>
    <n v="0.22884234707593049"/>
  </r>
  <r>
    <x v="3"/>
    <d v="2010-03-29T00:00:00"/>
    <x v="6"/>
    <x v="1"/>
    <x v="1"/>
    <x v="20"/>
    <x v="5"/>
    <n v="38930"/>
    <n v="70827"/>
    <n v="31897"/>
    <n v="0.81934240945286407"/>
  </r>
  <r>
    <x v="3"/>
    <d v="2010-03-29T00:00:00"/>
    <x v="6"/>
    <x v="1"/>
    <x v="1"/>
    <x v="21"/>
    <x v="5"/>
    <n v="1155"/>
    <n v="1283"/>
    <n v="128"/>
    <n v="0.11082251082251082"/>
  </r>
  <r>
    <x v="3"/>
    <d v="2010-03-29T00:00:00"/>
    <x v="6"/>
    <x v="1"/>
    <x v="1"/>
    <x v="22"/>
    <x v="6"/>
    <n v="1611"/>
    <n v="1962"/>
    <n v="351"/>
    <n v="0.21787709497206703"/>
  </r>
  <r>
    <x v="3"/>
    <d v="2010-03-29T00:00:00"/>
    <x v="6"/>
    <x v="1"/>
    <x v="1"/>
    <x v="23"/>
    <x v="6"/>
    <n v="76822"/>
    <n v="81665"/>
    <n v="4843"/>
    <n v="6.3041836973783558E-2"/>
  </r>
  <r>
    <x v="3"/>
    <d v="2010-03-29T00:00:00"/>
    <x v="6"/>
    <x v="1"/>
    <x v="1"/>
    <x v="24"/>
    <x v="6"/>
    <n v="144581"/>
    <n v="157077"/>
    <n v="12496"/>
    <n v="8.6429060526625218E-2"/>
  </r>
  <r>
    <x v="3"/>
    <d v="2010-03-29T00:00:00"/>
    <x v="6"/>
    <x v="1"/>
    <x v="1"/>
    <x v="25"/>
    <x v="6"/>
    <n v="173484"/>
    <n v="182556"/>
    <n v="9072"/>
    <n v="5.2293006847893751E-2"/>
  </r>
  <r>
    <x v="3"/>
    <d v="2010-03-30T00:00:00"/>
    <x v="6"/>
    <x v="1"/>
    <x v="1"/>
    <x v="0"/>
    <x v="0"/>
    <n v="3934"/>
    <n v="4701"/>
    <n v="767"/>
    <n v="0.19496695475343162"/>
  </r>
  <r>
    <x v="3"/>
    <d v="2010-03-30T00:00:00"/>
    <x v="6"/>
    <x v="1"/>
    <x v="1"/>
    <x v="1"/>
    <x v="0"/>
    <n v="77140"/>
    <n v="90620"/>
    <n v="13480"/>
    <n v="0.17474721285973555"/>
  </r>
  <r>
    <x v="3"/>
    <d v="2010-03-30T00:00:00"/>
    <x v="6"/>
    <x v="1"/>
    <x v="1"/>
    <x v="2"/>
    <x v="0"/>
    <n v="66511"/>
    <n v="76222"/>
    <n v="9711"/>
    <n v="0.14600592383214805"/>
  </r>
  <r>
    <x v="3"/>
    <d v="2010-03-30T00:00:00"/>
    <x v="6"/>
    <x v="1"/>
    <x v="1"/>
    <x v="4"/>
    <x v="0"/>
    <n v="620"/>
    <n v="591"/>
    <n v="-29"/>
    <n v="-4.6774193548387098E-2"/>
  </r>
  <r>
    <x v="3"/>
    <d v="2010-03-30T00:00:00"/>
    <x v="6"/>
    <x v="1"/>
    <x v="1"/>
    <x v="5"/>
    <x v="1"/>
    <n v="92274"/>
    <n v="102012"/>
    <n v="9738"/>
    <n v="0.10553351973470317"/>
  </r>
  <r>
    <x v="3"/>
    <d v="2010-03-30T00:00:00"/>
    <x v="6"/>
    <x v="1"/>
    <x v="1"/>
    <x v="6"/>
    <x v="1"/>
    <n v="320003"/>
    <n v="330986"/>
    <n v="10983"/>
    <n v="3.4321553235438416E-2"/>
  </r>
  <r>
    <x v="3"/>
    <d v="2010-03-30T00:00:00"/>
    <x v="6"/>
    <x v="1"/>
    <x v="1"/>
    <x v="7"/>
    <x v="1"/>
    <n v="59756"/>
    <n v="65833"/>
    <n v="6077"/>
    <n v="0.10169690072963385"/>
  </r>
  <r>
    <x v="3"/>
    <d v="2010-03-30T00:00:00"/>
    <x v="6"/>
    <x v="1"/>
    <x v="1"/>
    <x v="8"/>
    <x v="1"/>
    <n v="96040"/>
    <n v="102888"/>
    <n v="6848"/>
    <n v="7.1303623490212409E-2"/>
  </r>
  <r>
    <x v="3"/>
    <d v="2010-03-30T00:00:00"/>
    <x v="6"/>
    <x v="1"/>
    <x v="1"/>
    <x v="9"/>
    <x v="2"/>
    <n v="80880"/>
    <n v="89932"/>
    <n v="9052"/>
    <n v="0.11191889218595449"/>
  </r>
  <r>
    <x v="3"/>
    <d v="2010-03-30T00:00:00"/>
    <x v="6"/>
    <x v="1"/>
    <x v="1"/>
    <x v="10"/>
    <x v="2"/>
    <n v="70962"/>
    <n v="75843"/>
    <n v="4881"/>
    <n v="6.8783292466390464E-2"/>
  </r>
  <r>
    <x v="3"/>
    <d v="2010-03-30T00:00:00"/>
    <x v="6"/>
    <x v="1"/>
    <x v="1"/>
    <x v="11"/>
    <x v="2"/>
    <n v="50208"/>
    <n v="54756"/>
    <n v="4548"/>
    <n v="9.0583173996175909E-2"/>
  </r>
  <r>
    <x v="3"/>
    <d v="2010-03-30T00:00:00"/>
    <x v="6"/>
    <x v="1"/>
    <x v="1"/>
    <x v="12"/>
    <x v="2"/>
    <n v="3916"/>
    <n v="4414"/>
    <n v="498"/>
    <n v="0.127170582226762"/>
  </r>
  <r>
    <x v="3"/>
    <d v="2010-03-30T00:00:00"/>
    <x v="6"/>
    <x v="1"/>
    <x v="1"/>
    <x v="26"/>
    <x v="3"/>
    <n v="795"/>
    <n v="957"/>
    <n v="162"/>
    <n v="0.20377358490566039"/>
  </r>
  <r>
    <x v="3"/>
    <d v="2010-03-30T00:00:00"/>
    <x v="6"/>
    <x v="1"/>
    <x v="1"/>
    <x v="13"/>
    <x v="3"/>
    <n v="24775"/>
    <n v="28133"/>
    <n v="3358"/>
    <n v="0.13553985872855701"/>
  </r>
  <r>
    <x v="3"/>
    <d v="2010-03-30T00:00:00"/>
    <x v="6"/>
    <x v="1"/>
    <x v="1"/>
    <x v="14"/>
    <x v="3"/>
    <n v="10246"/>
    <n v="12452"/>
    <n v="2206"/>
    <n v="0.21530353308608238"/>
  </r>
  <r>
    <x v="3"/>
    <d v="2010-03-30T00:00:00"/>
    <x v="6"/>
    <x v="1"/>
    <x v="1"/>
    <x v="15"/>
    <x v="3"/>
    <n v="144606"/>
    <n v="157851"/>
    <n v="13245"/>
    <n v="9.1593709804572418E-2"/>
  </r>
  <r>
    <x v="3"/>
    <d v="2010-03-30T00:00:00"/>
    <x v="6"/>
    <x v="1"/>
    <x v="1"/>
    <x v="16"/>
    <x v="3"/>
    <n v="22011"/>
    <n v="24699"/>
    <n v="2688"/>
    <n v="0.12212075780291673"/>
  </r>
  <r>
    <x v="3"/>
    <d v="2010-03-30T00:00:00"/>
    <x v="6"/>
    <x v="1"/>
    <x v="1"/>
    <x v="17"/>
    <x v="4"/>
    <n v="235459"/>
    <n v="276221"/>
    <n v="40762"/>
    <n v="0.1731171881304176"/>
  </r>
  <r>
    <x v="3"/>
    <d v="2010-03-30T00:00:00"/>
    <x v="6"/>
    <x v="1"/>
    <x v="1"/>
    <x v="18"/>
    <x v="5"/>
    <n v="30529"/>
    <n v="36448"/>
    <n v="5919"/>
    <n v="0.19388122768515181"/>
  </r>
  <r>
    <x v="3"/>
    <d v="2010-03-30T00:00:00"/>
    <x v="6"/>
    <x v="1"/>
    <x v="1"/>
    <x v="20"/>
    <x v="5"/>
    <n v="29367"/>
    <n v="56547"/>
    <n v="27180"/>
    <n v="0.92552865461231992"/>
  </r>
  <r>
    <x v="3"/>
    <d v="2010-03-30T00:00:00"/>
    <x v="6"/>
    <x v="1"/>
    <x v="1"/>
    <x v="21"/>
    <x v="5"/>
    <n v="4953"/>
    <n v="5502"/>
    <n v="549"/>
    <n v="0.1108419139915203"/>
  </r>
  <r>
    <x v="3"/>
    <d v="2010-03-30T00:00:00"/>
    <x v="6"/>
    <x v="1"/>
    <x v="1"/>
    <x v="22"/>
    <x v="6"/>
    <n v="1897"/>
    <n v="2216"/>
    <n v="319"/>
    <n v="0.16816025303110174"/>
  </r>
  <r>
    <x v="3"/>
    <d v="2010-03-30T00:00:00"/>
    <x v="6"/>
    <x v="1"/>
    <x v="1"/>
    <x v="23"/>
    <x v="6"/>
    <n v="95617"/>
    <n v="97485"/>
    <n v="1868"/>
    <n v="1.9536274930190237E-2"/>
  </r>
  <r>
    <x v="3"/>
    <d v="2010-03-30T00:00:00"/>
    <x v="6"/>
    <x v="1"/>
    <x v="1"/>
    <x v="24"/>
    <x v="6"/>
    <n v="136098"/>
    <n v="147266"/>
    <n v="11168"/>
    <n v="8.2058516657114722E-2"/>
  </r>
  <r>
    <x v="3"/>
    <d v="2010-03-30T00:00:00"/>
    <x v="6"/>
    <x v="1"/>
    <x v="1"/>
    <x v="25"/>
    <x v="6"/>
    <n v="238141"/>
    <n v="240718"/>
    <n v="2577"/>
    <n v="1.0821320142268656E-2"/>
  </r>
  <r>
    <x v="3"/>
    <d v="2010-03-31T00:00:00"/>
    <x v="6"/>
    <x v="1"/>
    <x v="1"/>
    <x v="0"/>
    <x v="0"/>
    <n v="4260"/>
    <n v="5082"/>
    <n v="822"/>
    <n v="0.19295774647887323"/>
  </r>
  <r>
    <x v="3"/>
    <d v="2010-03-31T00:00:00"/>
    <x v="6"/>
    <x v="1"/>
    <x v="1"/>
    <x v="1"/>
    <x v="0"/>
    <n v="86779"/>
    <n v="104118"/>
    <n v="17339"/>
    <n v="0.19980640477534886"/>
  </r>
  <r>
    <x v="3"/>
    <d v="2010-03-31T00:00:00"/>
    <x v="6"/>
    <x v="1"/>
    <x v="1"/>
    <x v="2"/>
    <x v="0"/>
    <n v="61466"/>
    <n v="69337"/>
    <n v="7871"/>
    <n v="0.12805453421403704"/>
  </r>
  <r>
    <x v="3"/>
    <d v="2010-03-31T00:00:00"/>
    <x v="6"/>
    <x v="1"/>
    <x v="1"/>
    <x v="4"/>
    <x v="0"/>
    <n v="5547"/>
    <n v="6282"/>
    <n v="735"/>
    <n v="0.13250405624661979"/>
  </r>
  <r>
    <x v="3"/>
    <d v="2010-03-31T00:00:00"/>
    <x v="6"/>
    <x v="1"/>
    <x v="1"/>
    <x v="5"/>
    <x v="1"/>
    <n v="74691"/>
    <n v="82703"/>
    <n v="8012"/>
    <n v="0.10726861335368384"/>
  </r>
  <r>
    <x v="3"/>
    <d v="2010-03-31T00:00:00"/>
    <x v="6"/>
    <x v="1"/>
    <x v="1"/>
    <x v="6"/>
    <x v="1"/>
    <n v="351996"/>
    <n v="358207"/>
    <n v="6211"/>
    <n v="1.7645086875987228E-2"/>
  </r>
  <r>
    <x v="3"/>
    <d v="2010-03-31T00:00:00"/>
    <x v="6"/>
    <x v="1"/>
    <x v="1"/>
    <x v="7"/>
    <x v="1"/>
    <n v="57443"/>
    <n v="63333"/>
    <n v="5890"/>
    <n v="0.1025364274150027"/>
  </r>
  <r>
    <x v="3"/>
    <d v="2010-03-31T00:00:00"/>
    <x v="6"/>
    <x v="1"/>
    <x v="1"/>
    <x v="8"/>
    <x v="1"/>
    <n v="59767"/>
    <n v="64075"/>
    <n v="4308"/>
    <n v="7.2079910318403134E-2"/>
  </r>
  <r>
    <x v="3"/>
    <d v="2010-03-31T00:00:00"/>
    <x v="6"/>
    <x v="1"/>
    <x v="1"/>
    <x v="9"/>
    <x v="2"/>
    <n v="83843"/>
    <n v="93262"/>
    <n v="9419"/>
    <n v="0.11234092291544912"/>
  </r>
  <r>
    <x v="3"/>
    <d v="2010-03-31T00:00:00"/>
    <x v="6"/>
    <x v="1"/>
    <x v="1"/>
    <x v="10"/>
    <x v="2"/>
    <n v="63077"/>
    <n v="67343"/>
    <n v="4266"/>
    <n v="6.7631624839481902E-2"/>
  </r>
  <r>
    <x v="3"/>
    <d v="2010-03-31T00:00:00"/>
    <x v="6"/>
    <x v="1"/>
    <x v="1"/>
    <x v="11"/>
    <x v="2"/>
    <n v="54551"/>
    <n v="59928"/>
    <n v="5377"/>
    <n v="9.8568312221590806E-2"/>
  </r>
  <r>
    <x v="3"/>
    <d v="2010-03-31T00:00:00"/>
    <x v="6"/>
    <x v="1"/>
    <x v="1"/>
    <x v="12"/>
    <x v="2"/>
    <n v="8834"/>
    <n v="9236"/>
    <n v="402"/>
    <n v="4.5505999547203982E-2"/>
  </r>
  <r>
    <x v="3"/>
    <d v="2010-03-31T00:00:00"/>
    <x v="6"/>
    <x v="1"/>
    <x v="1"/>
    <x v="26"/>
    <x v="3"/>
    <n v="625"/>
    <n v="700"/>
    <n v="75"/>
    <n v="0.12"/>
  </r>
  <r>
    <x v="3"/>
    <d v="2010-03-31T00:00:00"/>
    <x v="6"/>
    <x v="1"/>
    <x v="1"/>
    <x v="13"/>
    <x v="3"/>
    <n v="38630"/>
    <n v="44101"/>
    <n v="5471"/>
    <n v="0.14162567952368627"/>
  </r>
  <r>
    <x v="3"/>
    <d v="2010-03-31T00:00:00"/>
    <x v="6"/>
    <x v="1"/>
    <x v="1"/>
    <x v="14"/>
    <x v="3"/>
    <n v="30534"/>
    <n v="36316"/>
    <n v="5782"/>
    <n v="0.18936267767079321"/>
  </r>
  <r>
    <x v="3"/>
    <d v="2010-03-31T00:00:00"/>
    <x v="6"/>
    <x v="1"/>
    <x v="1"/>
    <x v="15"/>
    <x v="3"/>
    <n v="169816"/>
    <n v="187198"/>
    <n v="17382"/>
    <n v="0.10235784613935082"/>
  </r>
  <r>
    <x v="3"/>
    <d v="2010-03-31T00:00:00"/>
    <x v="6"/>
    <x v="1"/>
    <x v="1"/>
    <x v="16"/>
    <x v="3"/>
    <n v="21860"/>
    <n v="24288"/>
    <n v="2428"/>
    <n v="0.11107044830741079"/>
  </r>
  <r>
    <x v="3"/>
    <d v="2010-03-31T00:00:00"/>
    <x v="6"/>
    <x v="1"/>
    <x v="1"/>
    <x v="17"/>
    <x v="4"/>
    <n v="315621"/>
    <n v="361616"/>
    <n v="45995"/>
    <n v="0.14572857953051285"/>
  </r>
  <r>
    <x v="3"/>
    <d v="2010-03-31T00:00:00"/>
    <x v="6"/>
    <x v="1"/>
    <x v="1"/>
    <x v="18"/>
    <x v="5"/>
    <n v="35399"/>
    <n v="44373"/>
    <n v="8974"/>
    <n v="0.25350998615780107"/>
  </r>
  <r>
    <x v="3"/>
    <d v="2010-03-31T00:00:00"/>
    <x v="6"/>
    <x v="1"/>
    <x v="1"/>
    <x v="20"/>
    <x v="5"/>
    <n v="31203"/>
    <n v="59648"/>
    <n v="28445"/>
    <n v="0.91161106303881034"/>
  </r>
  <r>
    <x v="3"/>
    <d v="2010-03-31T00:00:00"/>
    <x v="6"/>
    <x v="1"/>
    <x v="1"/>
    <x v="22"/>
    <x v="6"/>
    <n v="1426"/>
    <n v="1854"/>
    <n v="428"/>
    <n v="0.30014025245441794"/>
  </r>
  <r>
    <x v="3"/>
    <d v="2010-03-31T00:00:00"/>
    <x v="6"/>
    <x v="1"/>
    <x v="1"/>
    <x v="23"/>
    <x v="6"/>
    <n v="69276"/>
    <n v="75545"/>
    <n v="6269"/>
    <n v="9.0493100063514062E-2"/>
  </r>
  <r>
    <x v="3"/>
    <d v="2010-03-31T00:00:00"/>
    <x v="6"/>
    <x v="1"/>
    <x v="1"/>
    <x v="24"/>
    <x v="6"/>
    <n v="107317"/>
    <n v="115726"/>
    <n v="8409"/>
    <n v="7.8356644334075687E-2"/>
  </r>
  <r>
    <x v="3"/>
    <d v="2010-03-31T00:00:00"/>
    <x v="6"/>
    <x v="1"/>
    <x v="1"/>
    <x v="25"/>
    <x v="6"/>
    <n v="144521"/>
    <n v="153786"/>
    <n v="9265"/>
    <n v="6.4108330277260747E-2"/>
  </r>
  <r>
    <x v="3"/>
    <d v="2010-04-01T00:00:00"/>
    <x v="6"/>
    <x v="2"/>
    <x v="1"/>
    <x v="0"/>
    <x v="0"/>
    <n v="5527.97"/>
    <n v="6435.45"/>
    <n v="907.47999999999956"/>
    <n v="0.16416152764939021"/>
  </r>
  <r>
    <x v="3"/>
    <d v="2010-04-01T00:00:00"/>
    <x v="6"/>
    <x v="2"/>
    <x v="1"/>
    <x v="1"/>
    <x v="0"/>
    <n v="98271.92"/>
    <n v="119533.84"/>
    <n v="21261.919999999998"/>
    <n v="0.21635804001794204"/>
  </r>
  <r>
    <x v="3"/>
    <d v="2010-04-01T00:00:00"/>
    <x v="6"/>
    <x v="2"/>
    <x v="1"/>
    <x v="2"/>
    <x v="0"/>
    <n v="83474.039999999994"/>
    <n v="94080.16"/>
    <n v="10606.12000000001"/>
    <n v="0.12705890358247918"/>
  </r>
  <r>
    <x v="3"/>
    <d v="2010-04-01T00:00:00"/>
    <x v="6"/>
    <x v="2"/>
    <x v="1"/>
    <x v="4"/>
    <x v="0"/>
    <n v="1590"/>
    <n v="1827.96"/>
    <n v="237.96000000000004"/>
    <n v="0.14966037735849058"/>
  </r>
  <r>
    <x v="3"/>
    <d v="2010-04-01T00:00:00"/>
    <x v="6"/>
    <x v="2"/>
    <x v="1"/>
    <x v="5"/>
    <x v="1"/>
    <n v="86771.24"/>
    <n v="97483.93"/>
    <n v="10712.689999999988"/>
    <n v="0.12345899401691145"/>
  </r>
  <r>
    <x v="3"/>
    <d v="2010-04-01T00:00:00"/>
    <x v="6"/>
    <x v="2"/>
    <x v="1"/>
    <x v="6"/>
    <x v="1"/>
    <n v="278497.39"/>
    <n v="285379.46000000002"/>
    <n v="6882.070000000007"/>
    <n v="2.4711434459044685E-2"/>
  </r>
  <r>
    <x v="3"/>
    <d v="2010-04-01T00:00:00"/>
    <x v="6"/>
    <x v="2"/>
    <x v="1"/>
    <x v="7"/>
    <x v="1"/>
    <n v="37573.29"/>
    <n v="41504.07"/>
    <n v="3930.7799999999988"/>
    <n v="0.10461633782934629"/>
  </r>
  <r>
    <x v="3"/>
    <d v="2010-04-01T00:00:00"/>
    <x v="6"/>
    <x v="2"/>
    <x v="1"/>
    <x v="8"/>
    <x v="1"/>
    <n v="60592.71"/>
    <n v="64516.09"/>
    <n v="3923.3799999999974"/>
    <n v="6.4750033461120945E-2"/>
  </r>
  <r>
    <x v="3"/>
    <d v="2010-04-01T00:00:00"/>
    <x v="6"/>
    <x v="2"/>
    <x v="1"/>
    <x v="9"/>
    <x v="2"/>
    <n v="116037.5"/>
    <n v="128280.33"/>
    <n v="12242.830000000002"/>
    <n v="0.10550752989335346"/>
  </r>
  <r>
    <x v="3"/>
    <d v="2010-04-01T00:00:00"/>
    <x v="6"/>
    <x v="2"/>
    <x v="1"/>
    <x v="10"/>
    <x v="2"/>
    <n v="76515.289999999994"/>
    <n v="81229.440000000002"/>
    <n v="4714.1500000000087"/>
    <n v="6.1610561758310124E-2"/>
  </r>
  <r>
    <x v="3"/>
    <d v="2010-04-01T00:00:00"/>
    <x v="6"/>
    <x v="2"/>
    <x v="1"/>
    <x v="11"/>
    <x v="2"/>
    <n v="60243"/>
    <n v="66818.37"/>
    <n v="6575.3699999999953"/>
    <n v="0.10914745281609474"/>
  </r>
  <r>
    <x v="3"/>
    <d v="2010-04-01T00:00:00"/>
    <x v="6"/>
    <x v="2"/>
    <x v="1"/>
    <x v="12"/>
    <x v="2"/>
    <n v="2076"/>
    <n v="2293.17"/>
    <n v="217.17000000000007"/>
    <n v="0.10460982658959542"/>
  </r>
  <r>
    <x v="3"/>
    <d v="2010-04-01T00:00:00"/>
    <x v="6"/>
    <x v="2"/>
    <x v="1"/>
    <x v="13"/>
    <x v="3"/>
    <n v="67070.41"/>
    <n v="76687.399999999994"/>
    <n v="9616.9899999999907"/>
    <n v="0.14338647996933357"/>
  </r>
  <r>
    <x v="3"/>
    <d v="2010-04-01T00:00:00"/>
    <x v="6"/>
    <x v="2"/>
    <x v="1"/>
    <x v="14"/>
    <x v="3"/>
    <n v="26461.45"/>
    <n v="31064.19"/>
    <n v="4602.739999999998"/>
    <n v="0.17394133730388917"/>
  </r>
  <r>
    <x v="3"/>
    <d v="2010-04-01T00:00:00"/>
    <x v="6"/>
    <x v="2"/>
    <x v="1"/>
    <x v="15"/>
    <x v="3"/>
    <n v="213859"/>
    <n v="236912.01"/>
    <n v="23053.010000000009"/>
    <n v="0.10779536984648769"/>
  </r>
  <r>
    <x v="3"/>
    <d v="2010-04-01T00:00:00"/>
    <x v="6"/>
    <x v="2"/>
    <x v="1"/>
    <x v="16"/>
    <x v="3"/>
    <n v="27627.06"/>
    <n v="30614.959999999999"/>
    <n v="2987.8999999999978"/>
    <n v="0.10815121116760154"/>
  </r>
  <r>
    <x v="3"/>
    <d v="2010-04-01T00:00:00"/>
    <x v="6"/>
    <x v="2"/>
    <x v="1"/>
    <x v="17"/>
    <x v="4"/>
    <n v="285304.87"/>
    <n v="338097.51"/>
    <n v="52792.640000000014"/>
    <n v="0.18503939312357345"/>
  </r>
  <r>
    <x v="3"/>
    <d v="2010-04-01T00:00:00"/>
    <x v="6"/>
    <x v="2"/>
    <x v="1"/>
    <x v="18"/>
    <x v="5"/>
    <n v="35953.040000000001"/>
    <n v="43259.49"/>
    <n v="7306.4499999999971"/>
    <n v="0.20322203630068547"/>
  </r>
  <r>
    <x v="3"/>
    <d v="2010-04-01T00:00:00"/>
    <x v="6"/>
    <x v="2"/>
    <x v="1"/>
    <x v="20"/>
    <x v="5"/>
    <n v="28491.53"/>
    <n v="53876.959999999999"/>
    <n v="25385.43"/>
    <n v="0.89098163559485932"/>
  </r>
  <r>
    <x v="3"/>
    <d v="2010-04-01T00:00:00"/>
    <x v="6"/>
    <x v="2"/>
    <x v="1"/>
    <x v="22"/>
    <x v="6"/>
    <n v="1228.2"/>
    <n v="1596.38"/>
    <n v="368.18000000000006"/>
    <n v="0.29977202410030945"/>
  </r>
  <r>
    <x v="3"/>
    <d v="2010-04-01T00:00:00"/>
    <x v="6"/>
    <x v="2"/>
    <x v="1"/>
    <x v="23"/>
    <x v="6"/>
    <n v="66822.17"/>
    <n v="70948.98"/>
    <n v="4126.8099999999977"/>
    <n v="6.1758096152818708E-2"/>
  </r>
  <r>
    <x v="3"/>
    <d v="2010-04-01T00:00:00"/>
    <x v="6"/>
    <x v="2"/>
    <x v="1"/>
    <x v="24"/>
    <x v="6"/>
    <n v="144373.04999999999"/>
    <n v="156824.22"/>
    <n v="12451.170000000013"/>
    <n v="8.624303497086204E-2"/>
  </r>
  <r>
    <x v="3"/>
    <d v="2010-04-01T00:00:00"/>
    <x v="6"/>
    <x v="2"/>
    <x v="1"/>
    <x v="25"/>
    <x v="6"/>
    <n v="220869.34"/>
    <n v="227563.91"/>
    <n v="6694.570000000007"/>
    <n v="3.0310091930369362E-2"/>
  </r>
  <r>
    <x v="3"/>
    <d v="2010-04-02T00:00:00"/>
    <x v="6"/>
    <x v="2"/>
    <x v="1"/>
    <x v="0"/>
    <x v="0"/>
    <n v="7495.96"/>
    <n v="8697.93"/>
    <n v="1201.9700000000003"/>
    <n v="0.16034904135027406"/>
  </r>
  <r>
    <x v="3"/>
    <d v="2010-04-02T00:00:00"/>
    <x v="6"/>
    <x v="2"/>
    <x v="1"/>
    <x v="1"/>
    <x v="0"/>
    <n v="107173.69"/>
    <n v="131795.37"/>
    <n v="24621.679999999993"/>
    <n v="0.22973623470461821"/>
  </r>
  <r>
    <x v="3"/>
    <d v="2010-04-02T00:00:00"/>
    <x v="6"/>
    <x v="2"/>
    <x v="1"/>
    <x v="2"/>
    <x v="0"/>
    <n v="120754.84"/>
    <n v="136495.59"/>
    <n v="15740.75"/>
    <n v="0.130352953140429"/>
  </r>
  <r>
    <x v="3"/>
    <d v="2010-04-02T00:00:00"/>
    <x v="6"/>
    <x v="2"/>
    <x v="1"/>
    <x v="4"/>
    <x v="0"/>
    <n v="2061"/>
    <n v="2367.83"/>
    <n v="306.82999999999993"/>
    <n v="0.14887433284813195"/>
  </r>
  <r>
    <x v="3"/>
    <d v="2010-04-02T00:00:00"/>
    <x v="6"/>
    <x v="2"/>
    <x v="1"/>
    <x v="5"/>
    <x v="1"/>
    <n v="136810.81"/>
    <n v="153493.03"/>
    <n v="16682.22"/>
    <n v="0.12193641715884879"/>
  </r>
  <r>
    <x v="3"/>
    <d v="2010-04-02T00:00:00"/>
    <x v="6"/>
    <x v="2"/>
    <x v="1"/>
    <x v="6"/>
    <x v="1"/>
    <n v="393166.54"/>
    <n v="407919.87"/>
    <n v="14753.330000000016"/>
    <n v="3.752437834613296E-2"/>
  </r>
  <r>
    <x v="3"/>
    <d v="2010-04-02T00:00:00"/>
    <x v="6"/>
    <x v="2"/>
    <x v="1"/>
    <x v="7"/>
    <x v="1"/>
    <n v="91647.16"/>
    <n v="101688.68"/>
    <n v="10041.51999999999"/>
    <n v="0.10956717043932392"/>
  </r>
  <r>
    <x v="3"/>
    <d v="2010-04-02T00:00:00"/>
    <x v="6"/>
    <x v="2"/>
    <x v="1"/>
    <x v="8"/>
    <x v="1"/>
    <n v="109888.58"/>
    <n v="118668.67"/>
    <n v="8780.0899999999965"/>
    <n v="7.9899931366844451E-2"/>
  </r>
  <r>
    <x v="3"/>
    <d v="2010-04-02T00:00:00"/>
    <x v="6"/>
    <x v="2"/>
    <x v="1"/>
    <x v="9"/>
    <x v="2"/>
    <n v="250907.97"/>
    <n v="277475.5"/>
    <n v="26567.53"/>
    <n v="0.1058855563655471"/>
  </r>
  <r>
    <x v="3"/>
    <d v="2010-04-02T00:00:00"/>
    <x v="6"/>
    <x v="2"/>
    <x v="1"/>
    <x v="10"/>
    <x v="2"/>
    <n v="93316.9"/>
    <n v="98880.18"/>
    <n v="5563.2799999999988"/>
    <n v="5.9617068290952646E-2"/>
  </r>
  <r>
    <x v="3"/>
    <d v="2010-04-02T00:00:00"/>
    <x v="6"/>
    <x v="2"/>
    <x v="1"/>
    <x v="11"/>
    <x v="2"/>
    <n v="107077"/>
    <n v="116914.14"/>
    <n v="9837.14"/>
    <n v="9.1869775955620722E-2"/>
  </r>
  <r>
    <x v="3"/>
    <d v="2010-04-02T00:00:00"/>
    <x v="6"/>
    <x v="2"/>
    <x v="1"/>
    <x v="12"/>
    <x v="2"/>
    <n v="11640"/>
    <n v="12346.88"/>
    <n v="706.8799999999992"/>
    <n v="6.0728522336769689E-2"/>
  </r>
  <r>
    <x v="3"/>
    <d v="2010-04-02T00:00:00"/>
    <x v="6"/>
    <x v="2"/>
    <x v="1"/>
    <x v="26"/>
    <x v="3"/>
    <n v="715"/>
    <n v="821.97"/>
    <n v="106.97000000000003"/>
    <n v="0.14960839160839165"/>
  </r>
  <r>
    <x v="3"/>
    <d v="2010-04-02T00:00:00"/>
    <x v="6"/>
    <x v="2"/>
    <x v="1"/>
    <x v="13"/>
    <x v="3"/>
    <n v="83399.17"/>
    <n v="95207.34"/>
    <n v="11808.169999999998"/>
    <n v="0.14158618125336259"/>
  </r>
  <r>
    <x v="3"/>
    <d v="2010-04-02T00:00:00"/>
    <x v="6"/>
    <x v="2"/>
    <x v="1"/>
    <x v="14"/>
    <x v="3"/>
    <n v="44961.1"/>
    <n v="51548.58"/>
    <n v="6587.4800000000032"/>
    <n v="0.14651509860746298"/>
  </r>
  <r>
    <x v="3"/>
    <d v="2010-04-02T00:00:00"/>
    <x v="6"/>
    <x v="2"/>
    <x v="1"/>
    <x v="15"/>
    <x v="3"/>
    <n v="287266"/>
    <n v="290238.43"/>
    <n v="2972.429999999993"/>
    <n v="1.0347308766091334E-2"/>
  </r>
  <r>
    <x v="3"/>
    <d v="2010-04-02T00:00:00"/>
    <x v="6"/>
    <x v="2"/>
    <x v="1"/>
    <x v="16"/>
    <x v="3"/>
    <n v="61777.2"/>
    <n v="69704.160000000003"/>
    <n v="7926.9600000000064"/>
    <n v="0.12831530079058304"/>
  </r>
  <r>
    <x v="3"/>
    <d v="2010-04-02T00:00:00"/>
    <x v="6"/>
    <x v="2"/>
    <x v="1"/>
    <x v="17"/>
    <x v="4"/>
    <n v="339354.08"/>
    <n v="407302.75"/>
    <n v="67948.669999999984"/>
    <n v="0.20022941819352807"/>
  </r>
  <r>
    <x v="3"/>
    <d v="2010-04-02T00:00:00"/>
    <x v="6"/>
    <x v="2"/>
    <x v="1"/>
    <x v="18"/>
    <x v="5"/>
    <n v="53145.08"/>
    <n v="63398.07"/>
    <n v="10252.989999999998"/>
    <n v="0.19292453788760874"/>
  </r>
  <r>
    <x v="3"/>
    <d v="2010-04-02T00:00:00"/>
    <x v="6"/>
    <x v="2"/>
    <x v="1"/>
    <x v="20"/>
    <x v="5"/>
    <n v="53581.79"/>
    <n v="104103.78"/>
    <n v="50521.99"/>
    <n v="0.94289477824462375"/>
  </r>
  <r>
    <x v="3"/>
    <d v="2010-04-02T00:00:00"/>
    <x v="6"/>
    <x v="2"/>
    <x v="1"/>
    <x v="21"/>
    <x v="5"/>
    <n v="5387.8"/>
    <n v="5985.96"/>
    <n v="598.15999999999985"/>
    <n v="0.11102119603548755"/>
  </r>
  <r>
    <x v="3"/>
    <d v="2010-04-02T00:00:00"/>
    <x v="6"/>
    <x v="2"/>
    <x v="1"/>
    <x v="22"/>
    <x v="6"/>
    <n v="5363.56"/>
    <n v="6575.03"/>
    <n v="1211.4699999999993"/>
    <n v="0.22587050391903871"/>
  </r>
  <r>
    <x v="3"/>
    <d v="2010-04-02T00:00:00"/>
    <x v="6"/>
    <x v="2"/>
    <x v="1"/>
    <x v="23"/>
    <x v="6"/>
    <n v="137508.20000000001"/>
    <n v="126819.62"/>
    <n v="-10688.580000000016"/>
    <n v="-7.7730491708858207E-2"/>
  </r>
  <r>
    <x v="3"/>
    <d v="2010-04-02T00:00:00"/>
    <x v="6"/>
    <x v="2"/>
    <x v="1"/>
    <x v="24"/>
    <x v="6"/>
    <n v="208681.4"/>
    <n v="227674.73"/>
    <n v="18993.330000000016"/>
    <n v="9.1015921878998401E-2"/>
  </r>
  <r>
    <x v="3"/>
    <d v="2010-04-02T00:00:00"/>
    <x v="6"/>
    <x v="2"/>
    <x v="1"/>
    <x v="25"/>
    <x v="6"/>
    <n v="303342.19"/>
    <n v="304325.96000000002"/>
    <n v="983.77000000001863"/>
    <n v="3.2431031107147297E-3"/>
  </r>
  <r>
    <x v="3"/>
    <d v="2010-04-03T00:00:00"/>
    <x v="6"/>
    <x v="2"/>
    <x v="1"/>
    <x v="0"/>
    <x v="0"/>
    <n v="5839"/>
    <n v="6704"/>
    <n v="865"/>
    <n v="0.14814180510361363"/>
  </r>
  <r>
    <x v="3"/>
    <d v="2010-04-03T00:00:00"/>
    <x v="6"/>
    <x v="2"/>
    <x v="1"/>
    <x v="1"/>
    <x v="0"/>
    <n v="136170"/>
    <n v="171486"/>
    <n v="35316"/>
    <n v="0.25935228023793788"/>
  </r>
  <r>
    <x v="3"/>
    <d v="2010-04-03T00:00:00"/>
    <x v="6"/>
    <x v="2"/>
    <x v="1"/>
    <x v="2"/>
    <x v="0"/>
    <n v="100423"/>
    <n v="112991"/>
    <n v="12568"/>
    <n v="0.1251506129074017"/>
  </r>
  <r>
    <x v="3"/>
    <d v="2010-04-03T00:00:00"/>
    <x v="6"/>
    <x v="2"/>
    <x v="1"/>
    <x v="3"/>
    <x v="0"/>
    <n v="574"/>
    <n v="585"/>
    <n v="11"/>
    <n v="1.9163763066202089E-2"/>
  </r>
  <r>
    <x v="3"/>
    <d v="2010-04-03T00:00:00"/>
    <x v="6"/>
    <x v="2"/>
    <x v="1"/>
    <x v="4"/>
    <x v="0"/>
    <n v="163"/>
    <n v="187"/>
    <n v="24"/>
    <n v="0.14723926380368099"/>
  </r>
  <r>
    <x v="3"/>
    <d v="2010-04-03T00:00:00"/>
    <x v="6"/>
    <x v="2"/>
    <x v="1"/>
    <x v="5"/>
    <x v="1"/>
    <n v="97863"/>
    <n v="110455"/>
    <n v="12592"/>
    <n v="0.12866967086641529"/>
  </r>
  <r>
    <x v="3"/>
    <d v="2010-04-03T00:00:00"/>
    <x v="6"/>
    <x v="2"/>
    <x v="1"/>
    <x v="6"/>
    <x v="1"/>
    <n v="317855"/>
    <n v="332415"/>
    <n v="14560"/>
    <n v="4.5807050384609332E-2"/>
  </r>
  <r>
    <x v="3"/>
    <d v="2010-04-03T00:00:00"/>
    <x v="6"/>
    <x v="2"/>
    <x v="1"/>
    <x v="7"/>
    <x v="1"/>
    <n v="75298"/>
    <n v="83801"/>
    <n v="8503"/>
    <n v="0.11292464607293687"/>
  </r>
  <r>
    <x v="3"/>
    <d v="2010-04-03T00:00:00"/>
    <x v="6"/>
    <x v="2"/>
    <x v="1"/>
    <x v="8"/>
    <x v="1"/>
    <n v="95106"/>
    <n v="102758"/>
    <n v="7652"/>
    <n v="8.0457594683826461E-2"/>
  </r>
  <r>
    <x v="3"/>
    <d v="2010-04-03T00:00:00"/>
    <x v="6"/>
    <x v="2"/>
    <x v="1"/>
    <x v="9"/>
    <x v="2"/>
    <n v="286064"/>
    <n v="308395"/>
    <n v="22331"/>
    <n v="7.8062950948039597E-2"/>
  </r>
  <r>
    <x v="3"/>
    <d v="2010-04-03T00:00:00"/>
    <x v="6"/>
    <x v="2"/>
    <x v="1"/>
    <x v="10"/>
    <x v="2"/>
    <n v="116619"/>
    <n v="122671"/>
    <n v="6052"/>
    <n v="5.189548872825183E-2"/>
  </r>
  <r>
    <x v="3"/>
    <d v="2010-04-03T00:00:00"/>
    <x v="6"/>
    <x v="2"/>
    <x v="1"/>
    <x v="11"/>
    <x v="2"/>
    <n v="121411"/>
    <n v="132370"/>
    <n v="10959"/>
    <n v="9.0263649916399666E-2"/>
  </r>
  <r>
    <x v="3"/>
    <d v="2010-04-03T00:00:00"/>
    <x v="6"/>
    <x v="2"/>
    <x v="1"/>
    <x v="12"/>
    <x v="2"/>
    <n v="9520"/>
    <n v="10166"/>
    <n v="646"/>
    <n v="6.7857142857142852E-2"/>
  </r>
  <r>
    <x v="3"/>
    <d v="2010-04-03T00:00:00"/>
    <x v="6"/>
    <x v="2"/>
    <x v="1"/>
    <x v="13"/>
    <x v="3"/>
    <n v="60994"/>
    <n v="69661"/>
    <n v="8667"/>
    <n v="0.14209594386333083"/>
  </r>
  <r>
    <x v="3"/>
    <d v="2010-04-03T00:00:00"/>
    <x v="6"/>
    <x v="2"/>
    <x v="1"/>
    <x v="14"/>
    <x v="3"/>
    <n v="32953"/>
    <n v="37661"/>
    <n v="4708"/>
    <n v="0.14287014839316603"/>
  </r>
  <r>
    <x v="3"/>
    <d v="2010-04-03T00:00:00"/>
    <x v="6"/>
    <x v="2"/>
    <x v="1"/>
    <x v="15"/>
    <x v="3"/>
    <n v="304855"/>
    <n v="293684"/>
    <n v="-11171"/>
    <n v="-3.6643650259959651E-2"/>
  </r>
  <r>
    <x v="3"/>
    <d v="2010-04-03T00:00:00"/>
    <x v="6"/>
    <x v="2"/>
    <x v="1"/>
    <x v="16"/>
    <x v="3"/>
    <n v="76400"/>
    <n v="85934"/>
    <n v="9534"/>
    <n v="0.12479057591623037"/>
  </r>
  <r>
    <x v="3"/>
    <d v="2010-04-03T00:00:00"/>
    <x v="6"/>
    <x v="2"/>
    <x v="1"/>
    <x v="17"/>
    <x v="4"/>
    <n v="398149"/>
    <n v="468555"/>
    <n v="70406"/>
    <n v="0.17683329607759909"/>
  </r>
  <r>
    <x v="3"/>
    <d v="2010-04-03T00:00:00"/>
    <x v="6"/>
    <x v="2"/>
    <x v="1"/>
    <x v="18"/>
    <x v="5"/>
    <n v="59895"/>
    <n v="69707"/>
    <n v="9812"/>
    <n v="0.16382001836547291"/>
  </r>
  <r>
    <x v="3"/>
    <d v="2010-04-03T00:00:00"/>
    <x v="6"/>
    <x v="2"/>
    <x v="1"/>
    <x v="20"/>
    <x v="5"/>
    <n v="54782"/>
    <n v="108519"/>
    <n v="53737"/>
    <n v="0.98092439122339459"/>
  </r>
  <r>
    <x v="3"/>
    <d v="2010-04-03T00:00:00"/>
    <x v="6"/>
    <x v="2"/>
    <x v="1"/>
    <x v="21"/>
    <x v="5"/>
    <n v="3743"/>
    <n v="4158"/>
    <n v="415"/>
    <n v="0.11087363077745124"/>
  </r>
  <r>
    <x v="3"/>
    <d v="2010-04-03T00:00:00"/>
    <x v="6"/>
    <x v="2"/>
    <x v="1"/>
    <x v="22"/>
    <x v="6"/>
    <n v="4095"/>
    <n v="4926"/>
    <n v="831"/>
    <n v="0.20293040293040293"/>
  </r>
  <r>
    <x v="3"/>
    <d v="2010-04-03T00:00:00"/>
    <x v="6"/>
    <x v="2"/>
    <x v="1"/>
    <x v="23"/>
    <x v="6"/>
    <n v="128017"/>
    <n v="132853"/>
    <n v="4836"/>
    <n v="3.7776232844075393E-2"/>
  </r>
  <r>
    <x v="3"/>
    <d v="2010-04-03T00:00:00"/>
    <x v="6"/>
    <x v="2"/>
    <x v="1"/>
    <x v="24"/>
    <x v="6"/>
    <n v="214558"/>
    <n v="233510"/>
    <n v="18952"/>
    <n v="8.8330428135981881E-2"/>
  </r>
  <r>
    <x v="3"/>
    <d v="2010-04-03T00:00:00"/>
    <x v="6"/>
    <x v="2"/>
    <x v="1"/>
    <x v="25"/>
    <x v="6"/>
    <n v="235400"/>
    <n v="241223"/>
    <n v="5823"/>
    <n v="2.4736618521665251E-2"/>
  </r>
  <r>
    <x v="3"/>
    <d v="2010-04-04T00:00:00"/>
    <x v="7"/>
    <x v="2"/>
    <x v="1"/>
    <x v="0"/>
    <x v="0"/>
    <n v="2357"/>
    <n v="2769"/>
    <n v="412"/>
    <n v="0.17479847263470513"/>
  </r>
  <r>
    <x v="3"/>
    <d v="2010-04-04T00:00:00"/>
    <x v="7"/>
    <x v="2"/>
    <x v="1"/>
    <x v="1"/>
    <x v="0"/>
    <n v="67254"/>
    <n v="80950"/>
    <n v="13696"/>
    <n v="0.20364587979897106"/>
  </r>
  <r>
    <x v="3"/>
    <d v="2010-04-04T00:00:00"/>
    <x v="7"/>
    <x v="2"/>
    <x v="1"/>
    <x v="2"/>
    <x v="0"/>
    <n v="57924"/>
    <n v="65517"/>
    <n v="7593"/>
    <n v="0.13108556038947586"/>
  </r>
  <r>
    <x v="3"/>
    <d v="2010-04-04T00:00:00"/>
    <x v="7"/>
    <x v="2"/>
    <x v="1"/>
    <x v="4"/>
    <x v="0"/>
    <n v="2310"/>
    <n v="2525"/>
    <n v="215"/>
    <n v="9.3073593073593072E-2"/>
  </r>
  <r>
    <x v="3"/>
    <d v="2010-04-04T00:00:00"/>
    <x v="7"/>
    <x v="2"/>
    <x v="1"/>
    <x v="5"/>
    <x v="1"/>
    <n v="83466"/>
    <n v="93502"/>
    <n v="10036"/>
    <n v="0.12024057700141375"/>
  </r>
  <r>
    <x v="3"/>
    <d v="2010-04-04T00:00:00"/>
    <x v="7"/>
    <x v="2"/>
    <x v="1"/>
    <x v="6"/>
    <x v="1"/>
    <n v="233493"/>
    <n v="245884"/>
    <n v="12391"/>
    <n v="5.3067972059119548E-2"/>
  </r>
  <r>
    <x v="3"/>
    <d v="2010-04-04T00:00:00"/>
    <x v="7"/>
    <x v="2"/>
    <x v="1"/>
    <x v="7"/>
    <x v="1"/>
    <n v="35717"/>
    <n v="39375"/>
    <n v="3658"/>
    <n v="0.10241621636755606"/>
  </r>
  <r>
    <x v="3"/>
    <d v="2010-04-04T00:00:00"/>
    <x v="7"/>
    <x v="2"/>
    <x v="1"/>
    <x v="8"/>
    <x v="1"/>
    <n v="72057"/>
    <n v="77177"/>
    <n v="5120"/>
    <n v="7.1054859347461044E-2"/>
  </r>
  <r>
    <x v="3"/>
    <d v="2010-04-04T00:00:00"/>
    <x v="7"/>
    <x v="2"/>
    <x v="1"/>
    <x v="9"/>
    <x v="2"/>
    <n v="189148"/>
    <n v="208383"/>
    <n v="19235"/>
    <n v="0.10169285427284455"/>
  </r>
  <r>
    <x v="3"/>
    <d v="2010-04-04T00:00:00"/>
    <x v="7"/>
    <x v="2"/>
    <x v="1"/>
    <x v="10"/>
    <x v="2"/>
    <n v="54293"/>
    <n v="57719"/>
    <n v="3426"/>
    <n v="6.3102057355460192E-2"/>
  </r>
  <r>
    <x v="3"/>
    <d v="2010-04-04T00:00:00"/>
    <x v="7"/>
    <x v="2"/>
    <x v="1"/>
    <x v="11"/>
    <x v="2"/>
    <n v="52801"/>
    <n v="58588"/>
    <n v="5787"/>
    <n v="0.10960019696596655"/>
  </r>
  <r>
    <x v="3"/>
    <d v="2010-04-04T00:00:00"/>
    <x v="7"/>
    <x v="2"/>
    <x v="1"/>
    <x v="12"/>
    <x v="2"/>
    <n v="3192"/>
    <n v="3550"/>
    <n v="358"/>
    <n v="0.11215538847117794"/>
  </r>
  <r>
    <x v="3"/>
    <d v="2010-04-04T00:00:00"/>
    <x v="7"/>
    <x v="2"/>
    <x v="1"/>
    <x v="13"/>
    <x v="3"/>
    <n v="15507"/>
    <n v="17672"/>
    <n v="2165"/>
    <n v="0.13961436770490745"/>
  </r>
  <r>
    <x v="3"/>
    <d v="2010-04-04T00:00:00"/>
    <x v="7"/>
    <x v="2"/>
    <x v="1"/>
    <x v="14"/>
    <x v="3"/>
    <n v="16796"/>
    <n v="19185"/>
    <n v="2389"/>
    <n v="0.14223624672541083"/>
  </r>
  <r>
    <x v="3"/>
    <d v="2010-04-04T00:00:00"/>
    <x v="7"/>
    <x v="2"/>
    <x v="1"/>
    <x v="15"/>
    <x v="3"/>
    <n v="195708"/>
    <n v="185568"/>
    <n v="-10140"/>
    <n v="-5.1811883009381325E-2"/>
  </r>
  <r>
    <x v="3"/>
    <d v="2010-04-04T00:00:00"/>
    <x v="7"/>
    <x v="2"/>
    <x v="1"/>
    <x v="16"/>
    <x v="3"/>
    <n v="36283"/>
    <n v="40839"/>
    <n v="4556"/>
    <n v="0.12556844803351433"/>
  </r>
  <r>
    <x v="3"/>
    <d v="2010-04-04T00:00:00"/>
    <x v="7"/>
    <x v="2"/>
    <x v="1"/>
    <x v="17"/>
    <x v="4"/>
    <n v="217658"/>
    <n v="256537"/>
    <n v="38879"/>
    <n v="0.17862426375322754"/>
  </r>
  <r>
    <x v="3"/>
    <d v="2010-04-04T00:00:00"/>
    <x v="7"/>
    <x v="2"/>
    <x v="1"/>
    <x v="18"/>
    <x v="5"/>
    <n v="38154"/>
    <n v="45103"/>
    <n v="6949"/>
    <n v="0.1821303139906694"/>
  </r>
  <r>
    <x v="3"/>
    <d v="2010-04-04T00:00:00"/>
    <x v="7"/>
    <x v="2"/>
    <x v="1"/>
    <x v="20"/>
    <x v="5"/>
    <n v="30205"/>
    <n v="59178"/>
    <n v="28973"/>
    <n v="0.95921205098493623"/>
  </r>
  <r>
    <x v="3"/>
    <d v="2010-04-04T00:00:00"/>
    <x v="7"/>
    <x v="2"/>
    <x v="1"/>
    <x v="21"/>
    <x v="5"/>
    <n v="2151"/>
    <n v="2390"/>
    <n v="239"/>
    <n v="0.1111111111111111"/>
  </r>
  <r>
    <x v="3"/>
    <d v="2010-04-04T00:00:00"/>
    <x v="7"/>
    <x v="2"/>
    <x v="1"/>
    <x v="22"/>
    <x v="6"/>
    <n v="426"/>
    <n v="554"/>
    <n v="128"/>
    <n v="0.30046948356807512"/>
  </r>
  <r>
    <x v="3"/>
    <d v="2010-04-04T00:00:00"/>
    <x v="7"/>
    <x v="2"/>
    <x v="1"/>
    <x v="23"/>
    <x v="6"/>
    <n v="103868"/>
    <n v="98510"/>
    <n v="-5358"/>
    <n v="-5.1584703662340664E-2"/>
  </r>
  <r>
    <x v="3"/>
    <d v="2010-04-04T00:00:00"/>
    <x v="7"/>
    <x v="2"/>
    <x v="1"/>
    <x v="24"/>
    <x v="6"/>
    <n v="134145"/>
    <n v="145804"/>
    <n v="11659"/>
    <n v="8.691341458869134E-2"/>
  </r>
  <r>
    <x v="3"/>
    <d v="2010-04-04T00:00:00"/>
    <x v="7"/>
    <x v="2"/>
    <x v="1"/>
    <x v="25"/>
    <x v="6"/>
    <n v="185261"/>
    <n v="188518"/>
    <n v="3257"/>
    <n v="1.7580602501335953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4" cacheId="22" dataOnRows="1" applyNumberFormats="0" applyBorderFormats="0" applyFontFormats="0" applyPatternFormats="0" applyAlignmentFormats="0" applyWidthHeightFormats="1" dataCaption="Данные" updatedVersion="6" showItems="0" showMultipleLabel="0" showMemberPropertyTips="0" useAutoFormatting="1" itemPrintTitles="1" showDropZones="0" indent="0" compact="0" compactData="0" gridDropZones="1" fieldListSortAscending="1">
  <location ref="A3:G39" firstHeaderRow="1" firstDataRow="2" firstDataCol="2" rowPageCount="1" colPageCount="1"/>
  <pivotFields count="11">
    <pivotField axis="axisCol" compact="0" outline="0" subtotalTop="0" showAll="0" includeNewItemsInFilter="1">
      <items count="5">
        <item x="0"/>
        <item x="1"/>
        <item x="2"/>
        <item x="3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axis="axisRow" compact="0" outline="0" subtotalTop="0" showAll="0" includeNewItemsInFilter="1">
      <items count="28">
        <item x="9"/>
        <item x="6"/>
        <item x="10"/>
        <item x="25"/>
        <item x="1"/>
        <item x="4"/>
        <item x="3"/>
        <item x="14"/>
        <item x="2"/>
        <item x="7"/>
        <item x="23"/>
        <item x="5"/>
        <item x="21"/>
        <item x="15"/>
        <item x="13"/>
        <item x="17"/>
        <item x="19"/>
        <item x="8"/>
        <item x="26"/>
        <item x="18"/>
        <item x="20"/>
        <item x="11"/>
        <item x="24"/>
        <item x="16"/>
        <item x="12"/>
        <item x="22"/>
        <item x="0"/>
        <item t="default"/>
      </items>
    </pivotField>
    <pivotField axis="axisRow" compact="0" outline="0" subtotalTop="0" showAll="0" includeNewItemsInFilter="1">
      <items count="8">
        <item x="1"/>
        <item x="0"/>
        <item x="5"/>
        <item x="2"/>
        <item x="4"/>
        <item x="3"/>
        <item x="6"/>
        <item t="default"/>
      </items>
    </pivotField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</pivotFields>
  <rowFields count="2">
    <field x="6"/>
    <field x="5"/>
  </rowFields>
  <rowItems count="35">
    <i>
      <x/>
      <x v="1"/>
    </i>
    <i r="1">
      <x v="9"/>
    </i>
    <i r="1">
      <x v="11"/>
    </i>
    <i r="1">
      <x v="17"/>
    </i>
    <i t="default">
      <x/>
    </i>
    <i>
      <x v="1"/>
      <x v="4"/>
    </i>
    <i r="1">
      <x v="5"/>
    </i>
    <i r="1">
      <x v="6"/>
    </i>
    <i r="1">
      <x v="8"/>
    </i>
    <i r="1">
      <x v="26"/>
    </i>
    <i t="default">
      <x v="1"/>
    </i>
    <i>
      <x v="2"/>
      <x v="12"/>
    </i>
    <i r="1">
      <x v="16"/>
    </i>
    <i r="1">
      <x v="19"/>
    </i>
    <i r="1">
      <x v="20"/>
    </i>
    <i t="default">
      <x v="2"/>
    </i>
    <i>
      <x v="3"/>
      <x/>
    </i>
    <i r="1">
      <x v="2"/>
    </i>
    <i r="1">
      <x v="21"/>
    </i>
    <i r="1">
      <x v="24"/>
    </i>
    <i t="default">
      <x v="3"/>
    </i>
    <i>
      <x v="4"/>
      <x v="15"/>
    </i>
    <i t="default">
      <x v="4"/>
    </i>
    <i>
      <x v="5"/>
      <x v="7"/>
    </i>
    <i r="1">
      <x v="13"/>
    </i>
    <i r="1">
      <x v="14"/>
    </i>
    <i r="1">
      <x v="18"/>
    </i>
    <i r="1">
      <x v="23"/>
    </i>
    <i t="default">
      <x v="5"/>
    </i>
    <i>
      <x v="6"/>
      <x v="3"/>
    </i>
    <i r="1">
      <x v="10"/>
    </i>
    <i r="1">
      <x v="22"/>
    </i>
    <i r="1">
      <x v="25"/>
    </i>
    <i t="default">
      <x v="6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3" hier="0"/>
  </pageFields>
  <dataFields count="1">
    <dataField name="Сумма по полю Прибыль" fld="9" baseField="0" baseItem="0" numFmtId="3"/>
  </dataFields>
  <formats count="1">
    <format dxfId="1">
      <pivotArea outline="0" fieldPosition="0"/>
    </format>
  </formats>
  <pivotTableStyleInfo name="PivotStyleMedium2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K1244"/>
  <sheetViews>
    <sheetView workbookViewId="0">
      <selection activeCell="G9" sqref="G9"/>
    </sheetView>
  </sheetViews>
  <sheetFormatPr defaultRowHeight="14.4" x14ac:dyDescent="0.3"/>
  <cols>
    <col min="1" max="1" width="9.6640625" bestFit="1" customWidth="1"/>
    <col min="2" max="2" width="10.109375" bestFit="1" customWidth="1"/>
    <col min="3" max="3" width="8.33203125" bestFit="1" customWidth="1"/>
    <col min="4" max="4" width="7.5546875" bestFit="1" customWidth="1"/>
    <col min="5" max="5" width="5" bestFit="1" customWidth="1"/>
    <col min="6" max="6" width="40.6640625" bestFit="1" customWidth="1"/>
    <col min="7" max="7" width="28" bestFit="1" customWidth="1"/>
    <col min="8" max="9" width="13.33203125" bestFit="1" customWidth="1"/>
    <col min="10" max="10" width="12.44140625" bestFit="1" customWidth="1"/>
    <col min="11" max="11" width="9.5546875" bestFit="1" customWidth="1"/>
  </cols>
  <sheetData>
    <row r="1" spans="1:11" ht="16.2" thickBot="1" x14ac:dyDescent="0.35">
      <c r="A1" s="1" t="s">
        <v>0</v>
      </c>
      <c r="B1" s="2" t="s">
        <v>4</v>
      </c>
      <c r="C1" s="1" t="s">
        <v>3</v>
      </c>
      <c r="D1" s="1" t="s">
        <v>2</v>
      </c>
      <c r="E1" s="1" t="s">
        <v>1</v>
      </c>
      <c r="F1" s="1" t="s">
        <v>12</v>
      </c>
      <c r="G1" s="1" t="s">
        <v>13</v>
      </c>
      <c r="H1" s="3" t="s">
        <v>39</v>
      </c>
      <c r="I1" s="3" t="s">
        <v>40</v>
      </c>
      <c r="J1" s="3" t="s">
        <v>41</v>
      </c>
      <c r="K1" s="4" t="s">
        <v>42</v>
      </c>
    </row>
    <row r="2" spans="1:11" x14ac:dyDescent="0.3">
      <c r="A2" s="5" t="s">
        <v>43</v>
      </c>
      <c r="B2" s="6">
        <v>40224</v>
      </c>
      <c r="C2" s="5">
        <f>WEEKNUM(B2,1)</f>
        <v>8</v>
      </c>
      <c r="D2" s="5">
        <f t="shared" ref="D2:D65" si="0">MONTH(B2)</f>
        <v>2</v>
      </c>
      <c r="E2" s="5">
        <f t="shared" ref="E2:E65" si="1">YEAR(B2)</f>
        <v>2010</v>
      </c>
      <c r="F2" s="5" t="s">
        <v>14</v>
      </c>
      <c r="G2" s="5" t="s">
        <v>6</v>
      </c>
      <c r="H2" s="7">
        <v>14902</v>
      </c>
      <c r="I2" s="7">
        <v>17597.52</v>
      </c>
      <c r="J2" s="7">
        <f t="shared" ref="J2:J65" si="2">I2-H2</f>
        <v>2695.5200000000004</v>
      </c>
      <c r="K2" s="8">
        <f>(I2-H2)/H2</f>
        <v>0.18088310293920282</v>
      </c>
    </row>
    <row r="3" spans="1:11" x14ac:dyDescent="0.3">
      <c r="A3" s="5" t="s">
        <v>43</v>
      </c>
      <c r="B3" s="6">
        <v>40224</v>
      </c>
      <c r="C3" s="5">
        <f t="shared" ref="C3:C66" si="3">WEEKNUM(B3,1)</f>
        <v>8</v>
      </c>
      <c r="D3" s="5">
        <f t="shared" si="0"/>
        <v>2</v>
      </c>
      <c r="E3" s="5">
        <f t="shared" si="1"/>
        <v>2010</v>
      </c>
      <c r="F3" s="5" t="s">
        <v>15</v>
      </c>
      <c r="G3" s="5" t="s">
        <v>6</v>
      </c>
      <c r="H3" s="7">
        <v>354936.41</v>
      </c>
      <c r="I3" s="7">
        <v>483645.88</v>
      </c>
      <c r="J3" s="7">
        <f t="shared" si="2"/>
        <v>128709.47000000003</v>
      </c>
      <c r="K3" s="8">
        <f t="shared" ref="K3:K66" si="4">(I3-H3)/H3</f>
        <v>0.3626268434957125</v>
      </c>
    </row>
    <row r="4" spans="1:11" x14ac:dyDescent="0.3">
      <c r="A4" s="5" t="s">
        <v>43</v>
      </c>
      <c r="B4" s="6">
        <v>40224</v>
      </c>
      <c r="C4" s="5">
        <f t="shared" si="3"/>
        <v>8</v>
      </c>
      <c r="D4" s="5">
        <f t="shared" si="0"/>
        <v>2</v>
      </c>
      <c r="E4" s="5">
        <f t="shared" si="1"/>
        <v>2010</v>
      </c>
      <c r="F4" s="5" t="s">
        <v>16</v>
      </c>
      <c r="G4" s="5" t="s">
        <v>6</v>
      </c>
      <c r="H4" s="7">
        <v>150821.01</v>
      </c>
      <c r="I4" s="7">
        <v>164169.81</v>
      </c>
      <c r="J4" s="7">
        <f t="shared" si="2"/>
        <v>13348.799999999988</v>
      </c>
      <c r="K4" s="8">
        <f t="shared" si="4"/>
        <v>8.8507562706283349E-2</v>
      </c>
    </row>
    <row r="5" spans="1:11" x14ac:dyDescent="0.3">
      <c r="A5" s="5" t="s">
        <v>43</v>
      </c>
      <c r="B5" s="6">
        <v>40224</v>
      </c>
      <c r="C5" s="5">
        <f t="shared" si="3"/>
        <v>8</v>
      </c>
      <c r="D5" s="5">
        <f t="shared" si="0"/>
        <v>2</v>
      </c>
      <c r="E5" s="5">
        <f t="shared" si="1"/>
        <v>2010</v>
      </c>
      <c r="F5" s="5" t="s">
        <v>17</v>
      </c>
      <c r="G5" s="5" t="s">
        <v>6</v>
      </c>
      <c r="H5" s="7">
        <v>6301</v>
      </c>
      <c r="I5" s="7">
        <v>7171.26</v>
      </c>
      <c r="J5" s="7">
        <f>I5-H5</f>
        <v>870.26000000000022</v>
      </c>
      <c r="K5" s="8">
        <f t="shared" si="4"/>
        <v>0.13811458498651011</v>
      </c>
    </row>
    <row r="6" spans="1:11" x14ac:dyDescent="0.3">
      <c r="A6" s="5" t="s">
        <v>43</v>
      </c>
      <c r="B6" s="6">
        <v>40224</v>
      </c>
      <c r="C6" s="5">
        <f t="shared" si="3"/>
        <v>8</v>
      </c>
      <c r="D6" s="5">
        <f t="shared" si="0"/>
        <v>2</v>
      </c>
      <c r="E6" s="5">
        <f t="shared" si="1"/>
        <v>2010</v>
      </c>
      <c r="F6" s="5" t="s">
        <v>18</v>
      </c>
      <c r="G6" s="5" t="s">
        <v>6</v>
      </c>
      <c r="H6" s="7">
        <v>5402</v>
      </c>
      <c r="I6" s="7">
        <v>6209.69</v>
      </c>
      <c r="J6" s="7">
        <f t="shared" si="2"/>
        <v>807.6899999999996</v>
      </c>
      <c r="K6" s="8">
        <f t="shared" si="4"/>
        <v>0.14951684561273595</v>
      </c>
    </row>
    <row r="7" spans="1:11" x14ac:dyDescent="0.3">
      <c r="A7" s="5" t="s">
        <v>43</v>
      </c>
      <c r="B7" s="6">
        <v>40224</v>
      </c>
      <c r="C7" s="5">
        <f t="shared" si="3"/>
        <v>8</v>
      </c>
      <c r="D7" s="5">
        <f t="shared" si="0"/>
        <v>2</v>
      </c>
      <c r="E7" s="5">
        <f t="shared" si="1"/>
        <v>2010</v>
      </c>
      <c r="F7" s="5" t="s">
        <v>19</v>
      </c>
      <c r="G7" s="5" t="s">
        <v>5</v>
      </c>
      <c r="H7" s="7">
        <v>219822.79</v>
      </c>
      <c r="I7" s="7">
        <v>240800.62</v>
      </c>
      <c r="J7" s="7">
        <f t="shared" si="2"/>
        <v>20977.829999999987</v>
      </c>
      <c r="K7" s="8">
        <f t="shared" si="4"/>
        <v>9.5430642109491856E-2</v>
      </c>
    </row>
    <row r="8" spans="1:11" x14ac:dyDescent="0.3">
      <c r="A8" s="5" t="s">
        <v>43</v>
      </c>
      <c r="B8" s="6">
        <v>40224</v>
      </c>
      <c r="C8" s="5">
        <f t="shared" si="3"/>
        <v>8</v>
      </c>
      <c r="D8" s="5">
        <f t="shared" si="0"/>
        <v>2</v>
      </c>
      <c r="E8" s="5">
        <f t="shared" si="1"/>
        <v>2010</v>
      </c>
      <c r="F8" s="5" t="s">
        <v>5</v>
      </c>
      <c r="G8" s="5" t="s">
        <v>5</v>
      </c>
      <c r="H8" s="7">
        <v>846540.17</v>
      </c>
      <c r="I8" s="7">
        <v>899207.33</v>
      </c>
      <c r="J8" s="7">
        <f t="shared" si="2"/>
        <v>52667.159999999916</v>
      </c>
      <c r="K8" s="8">
        <f t="shared" si="4"/>
        <v>6.2214602291111497E-2</v>
      </c>
    </row>
    <row r="9" spans="1:11" x14ac:dyDescent="0.3">
      <c r="A9" s="5" t="s">
        <v>43</v>
      </c>
      <c r="B9" s="6">
        <v>40224</v>
      </c>
      <c r="C9" s="5">
        <f t="shared" si="3"/>
        <v>8</v>
      </c>
      <c r="D9" s="5">
        <f t="shared" si="0"/>
        <v>2</v>
      </c>
      <c r="E9" s="5">
        <f t="shared" si="1"/>
        <v>2010</v>
      </c>
      <c r="F9" s="5" t="s">
        <v>20</v>
      </c>
      <c r="G9" s="5" t="s">
        <v>5</v>
      </c>
      <c r="H9" s="7">
        <v>155003.84</v>
      </c>
      <c r="I9" s="7">
        <v>171174.32</v>
      </c>
      <c r="J9" s="7">
        <f t="shared" si="2"/>
        <v>16170.48000000001</v>
      </c>
      <c r="K9" s="8">
        <f t="shared" si="4"/>
        <v>0.10432309289885987</v>
      </c>
    </row>
    <row r="10" spans="1:11" x14ac:dyDescent="0.3">
      <c r="A10" s="5" t="s">
        <v>43</v>
      </c>
      <c r="B10" s="6">
        <v>40224</v>
      </c>
      <c r="C10" s="5">
        <f t="shared" si="3"/>
        <v>8</v>
      </c>
      <c r="D10" s="5">
        <f t="shared" si="0"/>
        <v>2</v>
      </c>
      <c r="E10" s="5">
        <f t="shared" si="1"/>
        <v>2010</v>
      </c>
      <c r="F10" s="5" t="s">
        <v>21</v>
      </c>
      <c r="G10" s="5" t="s">
        <v>5</v>
      </c>
      <c r="H10" s="7">
        <v>264540.7</v>
      </c>
      <c r="I10" s="7">
        <v>280332.2</v>
      </c>
      <c r="J10" s="7">
        <f t="shared" si="2"/>
        <v>15791.5</v>
      </c>
      <c r="K10" s="8">
        <f t="shared" si="4"/>
        <v>5.9694028177894744E-2</v>
      </c>
    </row>
    <row r="11" spans="1:11" x14ac:dyDescent="0.3">
      <c r="A11" s="5" t="s">
        <v>43</v>
      </c>
      <c r="B11" s="6">
        <v>40224</v>
      </c>
      <c r="C11" s="5">
        <f t="shared" si="3"/>
        <v>8</v>
      </c>
      <c r="D11" s="5">
        <f t="shared" si="0"/>
        <v>2</v>
      </c>
      <c r="E11" s="5">
        <f t="shared" si="1"/>
        <v>2010</v>
      </c>
      <c r="F11" s="5" t="s">
        <v>22</v>
      </c>
      <c r="G11" s="5" t="s">
        <v>8</v>
      </c>
      <c r="H11" s="7">
        <v>1642185.39</v>
      </c>
      <c r="I11" s="7">
        <v>1675913.87</v>
      </c>
      <c r="J11" s="7">
        <f t="shared" si="2"/>
        <v>33728.480000000214</v>
      </c>
      <c r="K11" s="8">
        <f t="shared" si="4"/>
        <v>2.0538777293591812E-2</v>
      </c>
    </row>
    <row r="12" spans="1:11" x14ac:dyDescent="0.3">
      <c r="A12" s="5" t="s">
        <v>43</v>
      </c>
      <c r="B12" s="6">
        <v>40224</v>
      </c>
      <c r="C12" s="5">
        <f t="shared" si="3"/>
        <v>8</v>
      </c>
      <c r="D12" s="5">
        <f t="shared" si="0"/>
        <v>2</v>
      </c>
      <c r="E12" s="5">
        <f t="shared" si="1"/>
        <v>2010</v>
      </c>
      <c r="F12" s="5" t="s">
        <v>23</v>
      </c>
      <c r="G12" s="5" t="s">
        <v>8</v>
      </c>
      <c r="H12" s="7">
        <v>198209.29</v>
      </c>
      <c r="I12" s="7">
        <v>206601.1</v>
      </c>
      <c r="J12" s="7">
        <f t="shared" si="2"/>
        <v>8391.8099999999977</v>
      </c>
      <c r="K12" s="8">
        <f t="shared" si="4"/>
        <v>4.2338126532817898E-2</v>
      </c>
    </row>
    <row r="13" spans="1:11" x14ac:dyDescent="0.3">
      <c r="A13" s="5" t="s">
        <v>43</v>
      </c>
      <c r="B13" s="6">
        <v>40224</v>
      </c>
      <c r="C13" s="5">
        <f t="shared" si="3"/>
        <v>8</v>
      </c>
      <c r="D13" s="5">
        <f t="shared" si="0"/>
        <v>2</v>
      </c>
      <c r="E13" s="5">
        <f t="shared" si="1"/>
        <v>2010</v>
      </c>
      <c r="F13" s="5" t="s">
        <v>24</v>
      </c>
      <c r="G13" s="5" t="s">
        <v>8</v>
      </c>
      <c r="H13" s="7">
        <v>213525.01</v>
      </c>
      <c r="I13" s="7">
        <v>226504.66</v>
      </c>
      <c r="J13" s="7">
        <f t="shared" si="2"/>
        <v>12979.649999999994</v>
      </c>
      <c r="K13" s="8">
        <f t="shared" si="4"/>
        <v>6.0787492762557384E-2</v>
      </c>
    </row>
    <row r="14" spans="1:11" x14ac:dyDescent="0.3">
      <c r="A14" s="5" t="s">
        <v>43</v>
      </c>
      <c r="B14" s="6">
        <v>40224</v>
      </c>
      <c r="C14" s="5">
        <f t="shared" si="3"/>
        <v>8</v>
      </c>
      <c r="D14" s="5">
        <f t="shared" si="0"/>
        <v>2</v>
      </c>
      <c r="E14" s="5">
        <f t="shared" si="1"/>
        <v>2010</v>
      </c>
      <c r="F14" s="5" t="s">
        <v>25</v>
      </c>
      <c r="G14" s="5" t="s">
        <v>8</v>
      </c>
      <c r="H14" s="7">
        <v>21356.6</v>
      </c>
      <c r="I14" s="7">
        <v>22320.58</v>
      </c>
      <c r="J14" s="7">
        <f t="shared" si="2"/>
        <v>963.9800000000032</v>
      </c>
      <c r="K14" s="8">
        <f t="shared" si="4"/>
        <v>4.5137334594458074E-2</v>
      </c>
    </row>
    <row r="15" spans="1:11" x14ac:dyDescent="0.3">
      <c r="A15" s="5" t="s">
        <v>43</v>
      </c>
      <c r="B15" s="6">
        <v>40224</v>
      </c>
      <c r="C15" s="5">
        <f t="shared" si="3"/>
        <v>8</v>
      </c>
      <c r="D15" s="5">
        <f t="shared" si="0"/>
        <v>2</v>
      </c>
      <c r="E15" s="5">
        <f t="shared" si="1"/>
        <v>2010</v>
      </c>
      <c r="F15" s="5" t="s">
        <v>27</v>
      </c>
      <c r="G15" s="5" t="s">
        <v>10</v>
      </c>
      <c r="H15" s="7">
        <v>236199.61</v>
      </c>
      <c r="I15" s="7">
        <v>263881.02</v>
      </c>
      <c r="J15" s="7">
        <f t="shared" si="2"/>
        <v>27681.410000000033</v>
      </c>
      <c r="K15" s="8">
        <f t="shared" si="4"/>
        <v>0.11719498605438017</v>
      </c>
    </row>
    <row r="16" spans="1:11" x14ac:dyDescent="0.3">
      <c r="A16" s="5" t="s">
        <v>43</v>
      </c>
      <c r="B16" s="6">
        <v>40224</v>
      </c>
      <c r="C16" s="5">
        <f t="shared" si="3"/>
        <v>8</v>
      </c>
      <c r="D16" s="5">
        <f t="shared" si="0"/>
        <v>2</v>
      </c>
      <c r="E16" s="5">
        <f t="shared" si="1"/>
        <v>2010</v>
      </c>
      <c r="F16" s="5" t="s">
        <v>28</v>
      </c>
      <c r="G16" s="5" t="s">
        <v>10</v>
      </c>
      <c r="H16" s="7">
        <v>57529.37</v>
      </c>
      <c r="I16" s="7">
        <v>66457.960000000006</v>
      </c>
      <c r="J16" s="7">
        <f t="shared" si="2"/>
        <v>8928.5900000000038</v>
      </c>
      <c r="K16" s="8">
        <f t="shared" si="4"/>
        <v>0.15520055234395932</v>
      </c>
    </row>
    <row r="17" spans="1:11" x14ac:dyDescent="0.3">
      <c r="A17" s="5" t="s">
        <v>43</v>
      </c>
      <c r="B17" s="6">
        <v>40224</v>
      </c>
      <c r="C17" s="5">
        <f t="shared" si="3"/>
        <v>8</v>
      </c>
      <c r="D17" s="5">
        <f t="shared" si="0"/>
        <v>2</v>
      </c>
      <c r="E17" s="5">
        <f t="shared" si="1"/>
        <v>2010</v>
      </c>
      <c r="F17" s="5" t="s">
        <v>29</v>
      </c>
      <c r="G17" s="5" t="s">
        <v>10</v>
      </c>
      <c r="H17" s="7">
        <v>826766.17</v>
      </c>
      <c r="I17" s="7">
        <v>902466.54</v>
      </c>
      <c r="J17" s="7">
        <f t="shared" si="2"/>
        <v>75700.37</v>
      </c>
      <c r="K17" s="8">
        <f t="shared" si="4"/>
        <v>9.1562007187594524E-2</v>
      </c>
    </row>
    <row r="18" spans="1:11" x14ac:dyDescent="0.3">
      <c r="A18" s="5" t="s">
        <v>43</v>
      </c>
      <c r="B18" s="6">
        <v>40224</v>
      </c>
      <c r="C18" s="5">
        <f t="shared" si="3"/>
        <v>8</v>
      </c>
      <c r="D18" s="5">
        <f t="shared" si="0"/>
        <v>2</v>
      </c>
      <c r="E18" s="5">
        <f t="shared" si="1"/>
        <v>2010</v>
      </c>
      <c r="F18" s="5" t="s">
        <v>30</v>
      </c>
      <c r="G18" s="5" t="s">
        <v>10</v>
      </c>
      <c r="H18" s="7">
        <v>137484.35999999999</v>
      </c>
      <c r="I18" s="7">
        <v>154479.41</v>
      </c>
      <c r="J18" s="7">
        <f t="shared" si="2"/>
        <v>16995.050000000017</v>
      </c>
      <c r="K18" s="8">
        <f t="shared" si="4"/>
        <v>0.12361442421523451</v>
      </c>
    </row>
    <row r="19" spans="1:11" x14ac:dyDescent="0.3">
      <c r="A19" s="5" t="s">
        <v>43</v>
      </c>
      <c r="B19" s="6">
        <v>40224</v>
      </c>
      <c r="C19" s="5">
        <f t="shared" si="3"/>
        <v>8</v>
      </c>
      <c r="D19" s="5">
        <f t="shared" si="0"/>
        <v>2</v>
      </c>
      <c r="E19" s="5">
        <f t="shared" si="1"/>
        <v>2010</v>
      </c>
      <c r="F19" s="5" t="s">
        <v>9</v>
      </c>
      <c r="G19" s="5" t="s">
        <v>9</v>
      </c>
      <c r="H19" s="7">
        <v>1121886.78</v>
      </c>
      <c r="I19" s="7">
        <v>1332629.01</v>
      </c>
      <c r="J19" s="7">
        <f t="shared" si="2"/>
        <v>210742.22999999998</v>
      </c>
      <c r="K19" s="8">
        <f t="shared" si="4"/>
        <v>0.18784625486004922</v>
      </c>
    </row>
    <row r="20" spans="1:11" x14ac:dyDescent="0.3">
      <c r="A20" s="5" t="s">
        <v>43</v>
      </c>
      <c r="B20" s="6">
        <v>40224</v>
      </c>
      <c r="C20" s="5">
        <f t="shared" si="3"/>
        <v>8</v>
      </c>
      <c r="D20" s="5">
        <f t="shared" si="0"/>
        <v>2</v>
      </c>
      <c r="E20" s="5">
        <f t="shared" si="1"/>
        <v>2010</v>
      </c>
      <c r="F20" s="5" t="s">
        <v>31</v>
      </c>
      <c r="G20" s="5" t="s">
        <v>7</v>
      </c>
      <c r="H20" s="7">
        <v>12915.14</v>
      </c>
      <c r="I20" s="7">
        <v>28576.43</v>
      </c>
      <c r="J20" s="7">
        <f t="shared" si="2"/>
        <v>15661.29</v>
      </c>
      <c r="K20" s="8">
        <f t="shared" si="4"/>
        <v>1.2126302928191255</v>
      </c>
    </row>
    <row r="21" spans="1:11" x14ac:dyDescent="0.3">
      <c r="A21" s="5" t="s">
        <v>43</v>
      </c>
      <c r="B21" s="6">
        <v>40224</v>
      </c>
      <c r="C21" s="5">
        <f t="shared" si="3"/>
        <v>8</v>
      </c>
      <c r="D21" s="5">
        <f t="shared" si="0"/>
        <v>2</v>
      </c>
      <c r="E21" s="5">
        <f t="shared" si="1"/>
        <v>2010</v>
      </c>
      <c r="F21" s="5" t="s">
        <v>32</v>
      </c>
      <c r="G21" s="5" t="s">
        <v>7</v>
      </c>
      <c r="H21" s="7">
        <v>11370.08</v>
      </c>
      <c r="I21" s="7">
        <v>12564.56</v>
      </c>
      <c r="J21" s="7">
        <f t="shared" si="2"/>
        <v>1194.4799999999996</v>
      </c>
      <c r="K21" s="8">
        <f t="shared" si="4"/>
        <v>0.10505466980003655</v>
      </c>
    </row>
    <row r="22" spans="1:11" x14ac:dyDescent="0.3">
      <c r="A22" s="5" t="s">
        <v>43</v>
      </c>
      <c r="B22" s="6">
        <v>40224</v>
      </c>
      <c r="C22" s="5">
        <f t="shared" si="3"/>
        <v>8</v>
      </c>
      <c r="D22" s="5">
        <f t="shared" si="0"/>
        <v>2</v>
      </c>
      <c r="E22" s="5">
        <f t="shared" si="1"/>
        <v>2010</v>
      </c>
      <c r="F22" s="5" t="s">
        <v>33</v>
      </c>
      <c r="G22" s="5" t="s">
        <v>7</v>
      </c>
      <c r="H22" s="7">
        <v>228397.52</v>
      </c>
      <c r="I22" s="7">
        <v>459291.61</v>
      </c>
      <c r="J22" s="7">
        <f t="shared" si="2"/>
        <v>230894.09</v>
      </c>
      <c r="K22" s="8">
        <f t="shared" si="4"/>
        <v>1.0109308104571364</v>
      </c>
    </row>
    <row r="23" spans="1:11" x14ac:dyDescent="0.3">
      <c r="A23" s="5" t="s">
        <v>43</v>
      </c>
      <c r="B23" s="6">
        <v>40224</v>
      </c>
      <c r="C23" s="5">
        <f t="shared" si="3"/>
        <v>8</v>
      </c>
      <c r="D23" s="5">
        <f t="shared" si="0"/>
        <v>2</v>
      </c>
      <c r="E23" s="5">
        <f t="shared" si="1"/>
        <v>2010</v>
      </c>
      <c r="F23" s="5" t="s">
        <v>34</v>
      </c>
      <c r="G23" s="5" t="s">
        <v>7</v>
      </c>
      <c r="H23" s="7">
        <v>266</v>
      </c>
      <c r="I23" s="7">
        <v>825.52</v>
      </c>
      <c r="J23" s="7">
        <f t="shared" si="2"/>
        <v>559.52</v>
      </c>
      <c r="K23" s="8">
        <f t="shared" si="4"/>
        <v>2.1034586466165415</v>
      </c>
    </row>
    <row r="24" spans="1:11" x14ac:dyDescent="0.3">
      <c r="A24" s="5" t="s">
        <v>43</v>
      </c>
      <c r="B24" s="6">
        <v>40224</v>
      </c>
      <c r="C24" s="5">
        <f t="shared" si="3"/>
        <v>8</v>
      </c>
      <c r="D24" s="5">
        <f t="shared" si="0"/>
        <v>2</v>
      </c>
      <c r="E24" s="5">
        <f t="shared" si="1"/>
        <v>2010</v>
      </c>
      <c r="F24" s="5" t="s">
        <v>35</v>
      </c>
      <c r="G24" s="5" t="s">
        <v>11</v>
      </c>
      <c r="H24" s="7">
        <v>1315.48</v>
      </c>
      <c r="I24" s="7">
        <v>1709.9</v>
      </c>
      <c r="J24" s="7">
        <f t="shared" si="2"/>
        <v>394.42000000000007</v>
      </c>
      <c r="K24" s="8">
        <f t="shared" si="4"/>
        <v>0.2998297199501323</v>
      </c>
    </row>
    <row r="25" spans="1:11" x14ac:dyDescent="0.3">
      <c r="A25" s="5" t="s">
        <v>43</v>
      </c>
      <c r="B25" s="6">
        <v>40224</v>
      </c>
      <c r="C25" s="5">
        <f t="shared" si="3"/>
        <v>8</v>
      </c>
      <c r="D25" s="5">
        <f t="shared" si="0"/>
        <v>2</v>
      </c>
      <c r="E25" s="5">
        <f t="shared" si="1"/>
        <v>2010</v>
      </c>
      <c r="F25" s="5" t="s">
        <v>36</v>
      </c>
      <c r="G25" s="5" t="s">
        <v>11</v>
      </c>
      <c r="H25" s="7">
        <v>199015.78</v>
      </c>
      <c r="I25" s="7">
        <v>218801.31</v>
      </c>
      <c r="J25" s="7">
        <f t="shared" si="2"/>
        <v>19785.53</v>
      </c>
      <c r="K25" s="8">
        <f t="shared" si="4"/>
        <v>9.941689045964093E-2</v>
      </c>
    </row>
    <row r="26" spans="1:11" x14ac:dyDescent="0.3">
      <c r="A26" s="5" t="s">
        <v>43</v>
      </c>
      <c r="B26" s="6">
        <v>40224</v>
      </c>
      <c r="C26" s="5">
        <f t="shared" si="3"/>
        <v>8</v>
      </c>
      <c r="D26" s="5">
        <f t="shared" si="0"/>
        <v>2</v>
      </c>
      <c r="E26" s="5">
        <f t="shared" si="1"/>
        <v>2010</v>
      </c>
      <c r="F26" s="5" t="s">
        <v>37</v>
      </c>
      <c r="G26" s="5" t="s">
        <v>11</v>
      </c>
      <c r="H26" s="7">
        <v>551119.04</v>
      </c>
      <c r="I26" s="7">
        <v>579769.25</v>
      </c>
      <c r="J26" s="7">
        <f t="shared" si="2"/>
        <v>28650.209999999963</v>
      </c>
      <c r="K26" s="8">
        <f t="shared" si="4"/>
        <v>5.1985520224450896E-2</v>
      </c>
    </row>
    <row r="27" spans="1:11" x14ac:dyDescent="0.3">
      <c r="A27" s="5" t="s">
        <v>43</v>
      </c>
      <c r="B27" s="6">
        <v>40224</v>
      </c>
      <c r="C27" s="5">
        <f t="shared" si="3"/>
        <v>8</v>
      </c>
      <c r="D27" s="5">
        <f t="shared" si="0"/>
        <v>2</v>
      </c>
      <c r="E27" s="5">
        <f t="shared" si="1"/>
        <v>2010</v>
      </c>
      <c r="F27" s="5" t="s">
        <v>38</v>
      </c>
      <c r="G27" s="5" t="s">
        <v>11</v>
      </c>
      <c r="H27" s="7">
        <v>389937.87</v>
      </c>
      <c r="I27" s="7">
        <v>413650.38</v>
      </c>
      <c r="J27" s="7">
        <f t="shared" si="2"/>
        <v>23712.510000000009</v>
      </c>
      <c r="K27" s="8">
        <f t="shared" si="4"/>
        <v>6.0810995351644123E-2</v>
      </c>
    </row>
    <row r="28" spans="1:11" x14ac:dyDescent="0.3">
      <c r="A28" s="5" t="s">
        <v>43</v>
      </c>
      <c r="B28" s="6">
        <v>40225</v>
      </c>
      <c r="C28" s="5">
        <f t="shared" si="3"/>
        <v>8</v>
      </c>
      <c r="D28" s="5">
        <f t="shared" si="0"/>
        <v>2</v>
      </c>
      <c r="E28" s="5">
        <f t="shared" si="1"/>
        <v>2010</v>
      </c>
      <c r="F28" s="5" t="s">
        <v>14</v>
      </c>
      <c r="G28" s="5" t="s">
        <v>6</v>
      </c>
      <c r="H28" s="7">
        <v>23182</v>
      </c>
      <c r="I28" s="7">
        <v>26598.32</v>
      </c>
      <c r="J28" s="7">
        <f t="shared" si="2"/>
        <v>3416.3199999999997</v>
      </c>
      <c r="K28" s="8">
        <f t="shared" si="4"/>
        <v>0.14736951082736605</v>
      </c>
    </row>
    <row r="29" spans="1:11" x14ac:dyDescent="0.3">
      <c r="A29" s="5" t="s">
        <v>43</v>
      </c>
      <c r="B29" s="6">
        <v>40225</v>
      </c>
      <c r="C29" s="5">
        <f t="shared" si="3"/>
        <v>8</v>
      </c>
      <c r="D29" s="5">
        <f t="shared" si="0"/>
        <v>2</v>
      </c>
      <c r="E29" s="5">
        <f t="shared" si="1"/>
        <v>2010</v>
      </c>
      <c r="F29" s="5" t="s">
        <v>15</v>
      </c>
      <c r="G29" s="5" t="s">
        <v>6</v>
      </c>
      <c r="H29" s="7">
        <v>318564.89</v>
      </c>
      <c r="I29" s="7">
        <v>393633.76</v>
      </c>
      <c r="J29" s="7">
        <f t="shared" si="2"/>
        <v>75068.87</v>
      </c>
      <c r="K29" s="8">
        <f t="shared" si="4"/>
        <v>0.23564702940113705</v>
      </c>
    </row>
    <row r="30" spans="1:11" x14ac:dyDescent="0.3">
      <c r="A30" s="5" t="s">
        <v>43</v>
      </c>
      <c r="B30" s="6">
        <v>40225</v>
      </c>
      <c r="C30" s="5">
        <f t="shared" si="3"/>
        <v>8</v>
      </c>
      <c r="D30" s="5">
        <f t="shared" si="0"/>
        <v>2</v>
      </c>
      <c r="E30" s="5">
        <f t="shared" si="1"/>
        <v>2010</v>
      </c>
      <c r="F30" s="5" t="s">
        <v>16</v>
      </c>
      <c r="G30" s="5" t="s">
        <v>6</v>
      </c>
      <c r="H30" s="7">
        <v>126529.53</v>
      </c>
      <c r="I30" s="7">
        <v>139669.62</v>
      </c>
      <c r="J30" s="7">
        <f t="shared" si="2"/>
        <v>13140.089999999997</v>
      </c>
      <c r="K30" s="8">
        <f t="shared" si="4"/>
        <v>0.10384998663948247</v>
      </c>
    </row>
    <row r="31" spans="1:11" x14ac:dyDescent="0.3">
      <c r="A31" s="5" t="s">
        <v>43</v>
      </c>
      <c r="B31" s="6">
        <v>40225</v>
      </c>
      <c r="C31" s="5">
        <f t="shared" si="3"/>
        <v>8</v>
      </c>
      <c r="D31" s="5">
        <f t="shared" si="0"/>
        <v>2</v>
      </c>
      <c r="E31" s="5">
        <f t="shared" si="1"/>
        <v>2010</v>
      </c>
      <c r="F31" s="5" t="s">
        <v>17</v>
      </c>
      <c r="G31" s="5" t="s">
        <v>6</v>
      </c>
      <c r="H31" s="7">
        <v>3057</v>
      </c>
      <c r="I31" s="7">
        <v>3419.01</v>
      </c>
      <c r="J31" s="7">
        <f t="shared" si="2"/>
        <v>362.01000000000022</v>
      </c>
      <c r="K31" s="8">
        <f t="shared" si="4"/>
        <v>0.11842001962708545</v>
      </c>
    </row>
    <row r="32" spans="1:11" x14ac:dyDescent="0.3">
      <c r="A32" s="5" t="s">
        <v>43</v>
      </c>
      <c r="B32" s="6">
        <v>40225</v>
      </c>
      <c r="C32" s="5">
        <f t="shared" si="3"/>
        <v>8</v>
      </c>
      <c r="D32" s="5">
        <f t="shared" si="0"/>
        <v>2</v>
      </c>
      <c r="E32" s="5">
        <f t="shared" si="1"/>
        <v>2010</v>
      </c>
      <c r="F32" s="5" t="s">
        <v>18</v>
      </c>
      <c r="G32" s="5" t="s">
        <v>6</v>
      </c>
      <c r="H32" s="7">
        <v>3986</v>
      </c>
      <c r="I32" s="7">
        <v>4583.6400000000003</v>
      </c>
      <c r="J32" s="7">
        <f t="shared" si="2"/>
        <v>597.64000000000033</v>
      </c>
      <c r="K32" s="8">
        <f t="shared" si="4"/>
        <v>0.14993477170095343</v>
      </c>
    </row>
    <row r="33" spans="1:11" x14ac:dyDescent="0.3">
      <c r="A33" s="5" t="s">
        <v>43</v>
      </c>
      <c r="B33" s="6">
        <v>40225</v>
      </c>
      <c r="C33" s="5">
        <f t="shared" si="3"/>
        <v>8</v>
      </c>
      <c r="D33" s="5">
        <f t="shared" si="0"/>
        <v>2</v>
      </c>
      <c r="E33" s="5">
        <f t="shared" si="1"/>
        <v>2010</v>
      </c>
      <c r="F33" s="5" t="s">
        <v>19</v>
      </c>
      <c r="G33" s="5" t="s">
        <v>5</v>
      </c>
      <c r="H33" s="7">
        <v>281781.92</v>
      </c>
      <c r="I33" s="7">
        <v>289715.65999999997</v>
      </c>
      <c r="J33" s="7">
        <f t="shared" si="2"/>
        <v>7933.7399999999907</v>
      </c>
      <c r="K33" s="8">
        <f t="shared" si="4"/>
        <v>2.8155603453905029E-2</v>
      </c>
    </row>
    <row r="34" spans="1:11" x14ac:dyDescent="0.3">
      <c r="A34" s="5" t="s">
        <v>43</v>
      </c>
      <c r="B34" s="6">
        <v>40225</v>
      </c>
      <c r="C34" s="5">
        <f t="shared" si="3"/>
        <v>8</v>
      </c>
      <c r="D34" s="5">
        <f t="shared" si="0"/>
        <v>2</v>
      </c>
      <c r="E34" s="5">
        <f t="shared" si="1"/>
        <v>2010</v>
      </c>
      <c r="F34" s="5" t="s">
        <v>5</v>
      </c>
      <c r="G34" s="5" t="s">
        <v>5</v>
      </c>
      <c r="H34" s="7">
        <v>690201.65</v>
      </c>
      <c r="I34" s="7">
        <v>736400.32</v>
      </c>
      <c r="J34" s="7">
        <f t="shared" si="2"/>
        <v>46198.669999999925</v>
      </c>
      <c r="K34" s="8">
        <f t="shared" si="4"/>
        <v>6.6935032682115328E-2</v>
      </c>
    </row>
    <row r="35" spans="1:11" x14ac:dyDescent="0.3">
      <c r="A35" s="5" t="s">
        <v>43</v>
      </c>
      <c r="B35" s="6">
        <v>40225</v>
      </c>
      <c r="C35" s="5">
        <f t="shared" si="3"/>
        <v>8</v>
      </c>
      <c r="D35" s="5">
        <f t="shared" si="0"/>
        <v>2</v>
      </c>
      <c r="E35" s="5">
        <f t="shared" si="1"/>
        <v>2010</v>
      </c>
      <c r="F35" s="5" t="s">
        <v>20</v>
      </c>
      <c r="G35" s="5" t="s">
        <v>5</v>
      </c>
      <c r="H35" s="7">
        <v>184643.88</v>
      </c>
      <c r="I35" s="7">
        <v>203230.58</v>
      </c>
      <c r="J35" s="7">
        <f t="shared" si="2"/>
        <v>18586.699999999983</v>
      </c>
      <c r="K35" s="8">
        <f t="shared" si="4"/>
        <v>0.10066242108863821</v>
      </c>
    </row>
    <row r="36" spans="1:11" x14ac:dyDescent="0.3">
      <c r="A36" s="5" t="s">
        <v>43</v>
      </c>
      <c r="B36" s="6">
        <v>40225</v>
      </c>
      <c r="C36" s="5">
        <f t="shared" si="3"/>
        <v>8</v>
      </c>
      <c r="D36" s="5">
        <f t="shared" si="0"/>
        <v>2</v>
      </c>
      <c r="E36" s="5">
        <f t="shared" si="1"/>
        <v>2010</v>
      </c>
      <c r="F36" s="5" t="s">
        <v>21</v>
      </c>
      <c r="G36" s="5" t="s">
        <v>5</v>
      </c>
      <c r="H36" s="7">
        <v>427475.1</v>
      </c>
      <c r="I36" s="7">
        <v>446496.36</v>
      </c>
      <c r="J36" s="7">
        <f t="shared" si="2"/>
        <v>19021.260000000009</v>
      </c>
      <c r="K36" s="8">
        <f t="shared" si="4"/>
        <v>4.4496767180123499E-2</v>
      </c>
    </row>
    <row r="37" spans="1:11" x14ac:dyDescent="0.3">
      <c r="A37" s="5" t="s">
        <v>43</v>
      </c>
      <c r="B37" s="6">
        <v>40225</v>
      </c>
      <c r="C37" s="5">
        <f t="shared" si="3"/>
        <v>8</v>
      </c>
      <c r="D37" s="5">
        <f t="shared" si="0"/>
        <v>2</v>
      </c>
      <c r="E37" s="5">
        <f t="shared" si="1"/>
        <v>2010</v>
      </c>
      <c r="F37" s="5" t="s">
        <v>22</v>
      </c>
      <c r="G37" s="5" t="s">
        <v>8</v>
      </c>
      <c r="H37" s="7">
        <v>942577.51</v>
      </c>
      <c r="I37" s="7">
        <v>972273.95</v>
      </c>
      <c r="J37" s="7">
        <f t="shared" si="2"/>
        <v>29696.439999999944</v>
      </c>
      <c r="K37" s="8">
        <f t="shared" si="4"/>
        <v>3.1505568173380183E-2</v>
      </c>
    </row>
    <row r="38" spans="1:11" x14ac:dyDescent="0.3">
      <c r="A38" s="5" t="s">
        <v>43</v>
      </c>
      <c r="B38" s="6">
        <v>40225</v>
      </c>
      <c r="C38" s="5">
        <f t="shared" si="3"/>
        <v>8</v>
      </c>
      <c r="D38" s="5">
        <f t="shared" si="0"/>
        <v>2</v>
      </c>
      <c r="E38" s="5">
        <f t="shared" si="1"/>
        <v>2010</v>
      </c>
      <c r="F38" s="5" t="s">
        <v>23</v>
      </c>
      <c r="G38" s="5" t="s">
        <v>8</v>
      </c>
      <c r="H38" s="7">
        <v>216600.14</v>
      </c>
      <c r="I38" s="7">
        <v>226302.13</v>
      </c>
      <c r="J38" s="7">
        <f t="shared" si="2"/>
        <v>9701.9899999999907</v>
      </c>
      <c r="K38" s="8">
        <f t="shared" si="4"/>
        <v>4.4792168647721051E-2</v>
      </c>
    </row>
    <row r="39" spans="1:11" x14ac:dyDescent="0.3">
      <c r="A39" s="5" t="s">
        <v>43</v>
      </c>
      <c r="B39" s="6">
        <v>40225</v>
      </c>
      <c r="C39" s="5">
        <f t="shared" si="3"/>
        <v>8</v>
      </c>
      <c r="D39" s="5">
        <f t="shared" si="0"/>
        <v>2</v>
      </c>
      <c r="E39" s="5">
        <f t="shared" si="1"/>
        <v>2010</v>
      </c>
      <c r="F39" s="5" t="s">
        <v>24</v>
      </c>
      <c r="G39" s="5" t="s">
        <v>8</v>
      </c>
      <c r="H39" s="7">
        <v>201591.99</v>
      </c>
      <c r="I39" s="7">
        <v>211940.45</v>
      </c>
      <c r="J39" s="7">
        <f t="shared" si="2"/>
        <v>10348.460000000021</v>
      </c>
      <c r="K39" s="8">
        <f t="shared" si="4"/>
        <v>5.1333686422759262E-2</v>
      </c>
    </row>
    <row r="40" spans="1:11" x14ac:dyDescent="0.3">
      <c r="A40" s="5" t="s">
        <v>43</v>
      </c>
      <c r="B40" s="6">
        <v>40225</v>
      </c>
      <c r="C40" s="5">
        <f t="shared" si="3"/>
        <v>8</v>
      </c>
      <c r="D40" s="5">
        <f t="shared" si="0"/>
        <v>2</v>
      </c>
      <c r="E40" s="5">
        <f t="shared" si="1"/>
        <v>2010</v>
      </c>
      <c r="F40" s="5" t="s">
        <v>25</v>
      </c>
      <c r="G40" s="5" t="s">
        <v>8</v>
      </c>
      <c r="H40" s="7">
        <v>54630.6</v>
      </c>
      <c r="I40" s="7">
        <v>55430.13</v>
      </c>
      <c r="J40" s="7">
        <f t="shared" si="2"/>
        <v>799.52999999999884</v>
      </c>
      <c r="K40" s="8">
        <f t="shared" si="4"/>
        <v>1.4635204445859992E-2</v>
      </c>
    </row>
    <row r="41" spans="1:11" x14ac:dyDescent="0.3">
      <c r="A41" s="5" t="s">
        <v>43</v>
      </c>
      <c r="B41" s="6">
        <v>40225</v>
      </c>
      <c r="C41" s="5">
        <f t="shared" si="3"/>
        <v>8</v>
      </c>
      <c r="D41" s="5">
        <f t="shared" si="0"/>
        <v>2</v>
      </c>
      <c r="E41" s="5">
        <f t="shared" si="1"/>
        <v>2010</v>
      </c>
      <c r="F41" s="5" t="s">
        <v>27</v>
      </c>
      <c r="G41" s="5" t="s">
        <v>10</v>
      </c>
      <c r="H41" s="7">
        <v>211193.42</v>
      </c>
      <c r="I41" s="7">
        <v>232514.43</v>
      </c>
      <c r="J41" s="7">
        <f t="shared" si="2"/>
        <v>21321.00999999998</v>
      </c>
      <c r="K41" s="8">
        <f t="shared" si="4"/>
        <v>0.10095489717435316</v>
      </c>
    </row>
    <row r="42" spans="1:11" x14ac:dyDescent="0.3">
      <c r="A42" s="5" t="s">
        <v>43</v>
      </c>
      <c r="B42" s="6">
        <v>40225</v>
      </c>
      <c r="C42" s="5">
        <f t="shared" si="3"/>
        <v>8</v>
      </c>
      <c r="D42" s="5">
        <f t="shared" si="0"/>
        <v>2</v>
      </c>
      <c r="E42" s="5">
        <f t="shared" si="1"/>
        <v>2010</v>
      </c>
      <c r="F42" s="5" t="s">
        <v>28</v>
      </c>
      <c r="G42" s="5" t="s">
        <v>10</v>
      </c>
      <c r="H42" s="7">
        <v>30119.42</v>
      </c>
      <c r="I42" s="7">
        <v>37203.760000000002</v>
      </c>
      <c r="J42" s="7">
        <f t="shared" si="2"/>
        <v>7084.3400000000038</v>
      </c>
      <c r="K42" s="8">
        <f t="shared" si="4"/>
        <v>0.23520838050666329</v>
      </c>
    </row>
    <row r="43" spans="1:11" x14ac:dyDescent="0.3">
      <c r="A43" s="5" t="s">
        <v>43</v>
      </c>
      <c r="B43" s="6">
        <v>40225</v>
      </c>
      <c r="C43" s="5">
        <f t="shared" si="3"/>
        <v>8</v>
      </c>
      <c r="D43" s="5">
        <f t="shared" si="0"/>
        <v>2</v>
      </c>
      <c r="E43" s="5">
        <f t="shared" si="1"/>
        <v>2010</v>
      </c>
      <c r="F43" s="5" t="s">
        <v>29</v>
      </c>
      <c r="G43" s="5" t="s">
        <v>10</v>
      </c>
      <c r="H43" s="7">
        <v>933452.07</v>
      </c>
      <c r="I43" s="7">
        <v>1016780.56</v>
      </c>
      <c r="J43" s="7">
        <f t="shared" si="2"/>
        <v>83328.490000000107</v>
      </c>
      <c r="K43" s="8">
        <f t="shared" si="4"/>
        <v>8.9269168367691457E-2</v>
      </c>
    </row>
    <row r="44" spans="1:11" x14ac:dyDescent="0.3">
      <c r="A44" s="5" t="s">
        <v>43</v>
      </c>
      <c r="B44" s="6">
        <v>40225</v>
      </c>
      <c r="C44" s="5">
        <f t="shared" si="3"/>
        <v>8</v>
      </c>
      <c r="D44" s="5">
        <f t="shared" si="0"/>
        <v>2</v>
      </c>
      <c r="E44" s="5">
        <f t="shared" si="1"/>
        <v>2010</v>
      </c>
      <c r="F44" s="5" t="s">
        <v>30</v>
      </c>
      <c r="G44" s="5" t="s">
        <v>10</v>
      </c>
      <c r="H44" s="7">
        <v>46822.96</v>
      </c>
      <c r="I44" s="7">
        <v>53031.72</v>
      </c>
      <c r="J44" s="7">
        <f t="shared" si="2"/>
        <v>6208.760000000002</v>
      </c>
      <c r="K44" s="8">
        <f t="shared" si="4"/>
        <v>0.13260075826047737</v>
      </c>
    </row>
    <row r="45" spans="1:11" x14ac:dyDescent="0.3">
      <c r="A45" s="5" t="s">
        <v>43</v>
      </c>
      <c r="B45" s="6">
        <v>40225</v>
      </c>
      <c r="C45" s="5">
        <f t="shared" si="3"/>
        <v>8</v>
      </c>
      <c r="D45" s="5">
        <f t="shared" si="0"/>
        <v>2</v>
      </c>
      <c r="E45" s="5">
        <f t="shared" si="1"/>
        <v>2010</v>
      </c>
      <c r="F45" s="5" t="s">
        <v>9</v>
      </c>
      <c r="G45" s="5" t="s">
        <v>9</v>
      </c>
      <c r="H45" s="7">
        <v>1056832.44</v>
      </c>
      <c r="I45" s="7">
        <v>1271695.5900000001</v>
      </c>
      <c r="J45" s="7">
        <f t="shared" si="2"/>
        <v>214863.15000000014</v>
      </c>
      <c r="K45" s="8">
        <f t="shared" si="4"/>
        <v>0.20330862478067019</v>
      </c>
    </row>
    <row r="46" spans="1:11" x14ac:dyDescent="0.3">
      <c r="A46" s="5" t="s">
        <v>43</v>
      </c>
      <c r="B46" s="6">
        <v>40225</v>
      </c>
      <c r="C46" s="5">
        <f t="shared" si="3"/>
        <v>8</v>
      </c>
      <c r="D46" s="5">
        <f t="shared" si="0"/>
        <v>2</v>
      </c>
      <c r="E46" s="5">
        <f t="shared" si="1"/>
        <v>2010</v>
      </c>
      <c r="F46" s="5" t="s">
        <v>31</v>
      </c>
      <c r="G46" s="5" t="s">
        <v>7</v>
      </c>
      <c r="H46" s="7">
        <v>9993.66</v>
      </c>
      <c r="I46" s="7">
        <v>22111.46</v>
      </c>
      <c r="J46" s="7">
        <f t="shared" si="2"/>
        <v>12117.8</v>
      </c>
      <c r="K46" s="8">
        <f t="shared" si="4"/>
        <v>1.2125487559112478</v>
      </c>
    </row>
    <row r="47" spans="1:11" x14ac:dyDescent="0.3">
      <c r="A47" s="5" t="s">
        <v>43</v>
      </c>
      <c r="B47" s="6">
        <v>40225</v>
      </c>
      <c r="C47" s="5">
        <f t="shared" si="3"/>
        <v>8</v>
      </c>
      <c r="D47" s="5">
        <f t="shared" si="0"/>
        <v>2</v>
      </c>
      <c r="E47" s="5">
        <f t="shared" si="1"/>
        <v>2010</v>
      </c>
      <c r="F47" s="5" t="s">
        <v>32</v>
      </c>
      <c r="G47" s="5" t="s">
        <v>7</v>
      </c>
      <c r="H47" s="7">
        <v>8142.45</v>
      </c>
      <c r="I47" s="7">
        <v>8999.34</v>
      </c>
      <c r="J47" s="7">
        <f t="shared" si="2"/>
        <v>856.89000000000033</v>
      </c>
      <c r="K47" s="8">
        <f t="shared" si="4"/>
        <v>0.10523736713151452</v>
      </c>
    </row>
    <row r="48" spans="1:11" x14ac:dyDescent="0.3">
      <c r="A48" s="5" t="s">
        <v>43</v>
      </c>
      <c r="B48" s="6">
        <v>40225</v>
      </c>
      <c r="C48" s="5">
        <f t="shared" si="3"/>
        <v>8</v>
      </c>
      <c r="D48" s="5">
        <f t="shared" si="0"/>
        <v>2</v>
      </c>
      <c r="E48" s="5">
        <f t="shared" si="1"/>
        <v>2010</v>
      </c>
      <c r="F48" s="5" t="s">
        <v>33</v>
      </c>
      <c r="G48" s="5" t="s">
        <v>7</v>
      </c>
      <c r="H48" s="7">
        <v>232865.32</v>
      </c>
      <c r="I48" s="7">
        <v>460482.21</v>
      </c>
      <c r="J48" s="7">
        <f t="shared" si="2"/>
        <v>227616.89</v>
      </c>
      <c r="K48" s="8">
        <f t="shared" si="4"/>
        <v>0.97746152153528054</v>
      </c>
    </row>
    <row r="49" spans="1:11" x14ac:dyDescent="0.3">
      <c r="A49" s="5" t="s">
        <v>43</v>
      </c>
      <c r="B49" s="6">
        <v>40225</v>
      </c>
      <c r="C49" s="5">
        <f t="shared" si="3"/>
        <v>8</v>
      </c>
      <c r="D49" s="5">
        <f t="shared" si="0"/>
        <v>2</v>
      </c>
      <c r="E49" s="5">
        <f t="shared" si="1"/>
        <v>2010</v>
      </c>
      <c r="F49" s="5" t="s">
        <v>34</v>
      </c>
      <c r="G49" s="5" t="s">
        <v>7</v>
      </c>
      <c r="H49" s="7">
        <v>76</v>
      </c>
      <c r="I49" s="7">
        <v>236</v>
      </c>
      <c r="J49" s="7">
        <f t="shared" si="2"/>
        <v>160</v>
      </c>
      <c r="K49" s="8">
        <f t="shared" si="4"/>
        <v>2.1052631578947367</v>
      </c>
    </row>
    <row r="50" spans="1:11" x14ac:dyDescent="0.3">
      <c r="A50" s="5" t="s">
        <v>43</v>
      </c>
      <c r="B50" s="6">
        <v>40225</v>
      </c>
      <c r="C50" s="5">
        <f t="shared" si="3"/>
        <v>8</v>
      </c>
      <c r="D50" s="5">
        <f t="shared" si="0"/>
        <v>2</v>
      </c>
      <c r="E50" s="5">
        <f t="shared" si="1"/>
        <v>2010</v>
      </c>
      <c r="F50" s="5" t="s">
        <v>35</v>
      </c>
      <c r="G50" s="5" t="s">
        <v>11</v>
      </c>
      <c r="H50" s="7">
        <v>1705.72</v>
      </c>
      <c r="I50" s="7">
        <v>2217.2399999999998</v>
      </c>
      <c r="J50" s="7">
        <f t="shared" si="2"/>
        <v>511.51999999999975</v>
      </c>
      <c r="K50" s="8">
        <f t="shared" si="4"/>
        <v>0.29988509251225276</v>
      </c>
    </row>
    <row r="51" spans="1:11" x14ac:dyDescent="0.3">
      <c r="A51" s="5" t="s">
        <v>43</v>
      </c>
      <c r="B51" s="6">
        <v>40225</v>
      </c>
      <c r="C51" s="5">
        <f t="shared" si="3"/>
        <v>8</v>
      </c>
      <c r="D51" s="5">
        <f t="shared" si="0"/>
        <v>2</v>
      </c>
      <c r="E51" s="5">
        <f t="shared" si="1"/>
        <v>2010</v>
      </c>
      <c r="F51" s="5" t="s">
        <v>36</v>
      </c>
      <c r="G51" s="5" t="s">
        <v>11</v>
      </c>
      <c r="H51" s="7">
        <v>216285.59</v>
      </c>
      <c r="I51" s="7">
        <v>235829.92</v>
      </c>
      <c r="J51" s="7">
        <f t="shared" si="2"/>
        <v>19544.330000000016</v>
      </c>
      <c r="K51" s="8">
        <f t="shared" si="4"/>
        <v>9.0363532771647048E-2</v>
      </c>
    </row>
    <row r="52" spans="1:11" x14ac:dyDescent="0.3">
      <c r="A52" s="5" t="s">
        <v>43</v>
      </c>
      <c r="B52" s="6">
        <v>40225</v>
      </c>
      <c r="C52" s="5">
        <f t="shared" si="3"/>
        <v>8</v>
      </c>
      <c r="D52" s="5">
        <f t="shared" si="0"/>
        <v>2</v>
      </c>
      <c r="E52" s="5">
        <f t="shared" si="1"/>
        <v>2010</v>
      </c>
      <c r="F52" s="5" t="s">
        <v>37</v>
      </c>
      <c r="G52" s="5" t="s">
        <v>11</v>
      </c>
      <c r="H52" s="7">
        <v>501703.57</v>
      </c>
      <c r="I52" s="7">
        <v>532419.69999999995</v>
      </c>
      <c r="J52" s="7">
        <f t="shared" si="2"/>
        <v>30716.129999999946</v>
      </c>
      <c r="K52" s="8">
        <f t="shared" si="4"/>
        <v>6.1223662410853377E-2</v>
      </c>
    </row>
    <row r="53" spans="1:11" x14ac:dyDescent="0.3">
      <c r="A53" s="5" t="s">
        <v>43</v>
      </c>
      <c r="B53" s="6">
        <v>40225</v>
      </c>
      <c r="C53" s="5">
        <f t="shared" si="3"/>
        <v>8</v>
      </c>
      <c r="D53" s="5">
        <f t="shared" si="0"/>
        <v>2</v>
      </c>
      <c r="E53" s="5">
        <f t="shared" si="1"/>
        <v>2010</v>
      </c>
      <c r="F53" s="5" t="s">
        <v>38</v>
      </c>
      <c r="G53" s="5" t="s">
        <v>11</v>
      </c>
      <c r="H53" s="7">
        <v>430318.81</v>
      </c>
      <c r="I53" s="7">
        <v>457070.43</v>
      </c>
      <c r="J53" s="7">
        <f t="shared" si="2"/>
        <v>26751.619999999995</v>
      </c>
      <c r="K53" s="8">
        <f t="shared" si="4"/>
        <v>6.2166978013347814E-2</v>
      </c>
    </row>
    <row r="54" spans="1:11" x14ac:dyDescent="0.3">
      <c r="A54" s="5" t="s">
        <v>43</v>
      </c>
      <c r="B54" s="6">
        <v>40226</v>
      </c>
      <c r="C54" s="5">
        <f t="shared" si="3"/>
        <v>8</v>
      </c>
      <c r="D54" s="5">
        <f t="shared" si="0"/>
        <v>2</v>
      </c>
      <c r="E54" s="5">
        <f t="shared" si="1"/>
        <v>2010</v>
      </c>
      <c r="F54" s="5" t="s">
        <v>14</v>
      </c>
      <c r="G54" s="5" t="s">
        <v>6</v>
      </c>
      <c r="H54" s="7">
        <v>15475</v>
      </c>
      <c r="I54" s="7">
        <v>18078.11</v>
      </c>
      <c r="J54" s="7">
        <f t="shared" si="2"/>
        <v>2603.1100000000006</v>
      </c>
      <c r="K54" s="8">
        <f t="shared" si="4"/>
        <v>0.1682138933764136</v>
      </c>
    </row>
    <row r="55" spans="1:11" x14ac:dyDescent="0.3">
      <c r="A55" s="5" t="s">
        <v>43</v>
      </c>
      <c r="B55" s="6">
        <v>40226</v>
      </c>
      <c r="C55" s="5">
        <f t="shared" si="3"/>
        <v>8</v>
      </c>
      <c r="D55" s="5">
        <f t="shared" si="0"/>
        <v>2</v>
      </c>
      <c r="E55" s="5">
        <f t="shared" si="1"/>
        <v>2010</v>
      </c>
      <c r="F55" s="5" t="s">
        <v>15</v>
      </c>
      <c r="G55" s="5" t="s">
        <v>6</v>
      </c>
      <c r="H55" s="7">
        <v>286140.86</v>
      </c>
      <c r="I55" s="7">
        <v>366852.63</v>
      </c>
      <c r="J55" s="7">
        <f t="shared" si="2"/>
        <v>80711.770000000019</v>
      </c>
      <c r="K55" s="8">
        <f t="shared" si="4"/>
        <v>0.28207006157736447</v>
      </c>
    </row>
    <row r="56" spans="1:11" x14ac:dyDescent="0.3">
      <c r="A56" s="5" t="s">
        <v>43</v>
      </c>
      <c r="B56" s="6">
        <v>40226</v>
      </c>
      <c r="C56" s="5">
        <f t="shared" si="3"/>
        <v>8</v>
      </c>
      <c r="D56" s="5">
        <f t="shared" si="0"/>
        <v>2</v>
      </c>
      <c r="E56" s="5">
        <f t="shared" si="1"/>
        <v>2010</v>
      </c>
      <c r="F56" s="5" t="s">
        <v>16</v>
      </c>
      <c r="G56" s="5" t="s">
        <v>6</v>
      </c>
      <c r="H56" s="7">
        <v>119661.79</v>
      </c>
      <c r="I56" s="7">
        <v>132543.48000000001</v>
      </c>
      <c r="J56" s="7">
        <f t="shared" si="2"/>
        <v>12881.690000000017</v>
      </c>
      <c r="K56" s="8">
        <f t="shared" si="4"/>
        <v>0.10765082153626498</v>
      </c>
    </row>
    <row r="57" spans="1:11" x14ac:dyDescent="0.3">
      <c r="A57" s="5" t="s">
        <v>43</v>
      </c>
      <c r="B57" s="6">
        <v>40226</v>
      </c>
      <c r="C57" s="5">
        <f t="shared" si="3"/>
        <v>8</v>
      </c>
      <c r="D57" s="5">
        <f t="shared" si="0"/>
        <v>2</v>
      </c>
      <c r="E57" s="5">
        <f t="shared" si="1"/>
        <v>2010</v>
      </c>
      <c r="F57" s="5" t="s">
        <v>17</v>
      </c>
      <c r="G57" s="5" t="s">
        <v>6</v>
      </c>
      <c r="H57" s="7">
        <v>5045</v>
      </c>
      <c r="I57" s="7">
        <v>5794.7</v>
      </c>
      <c r="J57" s="7">
        <f t="shared" si="2"/>
        <v>749.69999999999982</v>
      </c>
      <c r="K57" s="8">
        <f t="shared" si="4"/>
        <v>0.14860257680872146</v>
      </c>
    </row>
    <row r="58" spans="1:11" x14ac:dyDescent="0.3">
      <c r="A58" s="5" t="s">
        <v>43</v>
      </c>
      <c r="B58" s="6">
        <v>40226</v>
      </c>
      <c r="C58" s="5">
        <f t="shared" si="3"/>
        <v>8</v>
      </c>
      <c r="D58" s="5">
        <f t="shared" si="0"/>
        <v>2</v>
      </c>
      <c r="E58" s="5">
        <f t="shared" si="1"/>
        <v>2010</v>
      </c>
      <c r="F58" s="5" t="s">
        <v>18</v>
      </c>
      <c r="G58" s="5" t="s">
        <v>6</v>
      </c>
      <c r="H58" s="7">
        <v>3654</v>
      </c>
      <c r="I58" s="7">
        <v>4203</v>
      </c>
      <c r="J58" s="7">
        <f t="shared" si="2"/>
        <v>549</v>
      </c>
      <c r="K58" s="8">
        <f t="shared" si="4"/>
        <v>0.15024630541871922</v>
      </c>
    </row>
    <row r="59" spans="1:11" x14ac:dyDescent="0.3">
      <c r="A59" s="5" t="s">
        <v>43</v>
      </c>
      <c r="B59" s="6">
        <v>40226</v>
      </c>
      <c r="C59" s="5">
        <f t="shared" si="3"/>
        <v>8</v>
      </c>
      <c r="D59" s="5">
        <f t="shared" si="0"/>
        <v>2</v>
      </c>
      <c r="E59" s="5">
        <f t="shared" si="1"/>
        <v>2010</v>
      </c>
      <c r="F59" s="5" t="s">
        <v>19</v>
      </c>
      <c r="G59" s="5" t="s">
        <v>5</v>
      </c>
      <c r="H59" s="7">
        <v>239213.68</v>
      </c>
      <c r="I59" s="7">
        <v>253032.19</v>
      </c>
      <c r="J59" s="7">
        <f t="shared" si="2"/>
        <v>13818.510000000009</v>
      </c>
      <c r="K59" s="8">
        <f t="shared" si="4"/>
        <v>5.7766386939074765E-2</v>
      </c>
    </row>
    <row r="60" spans="1:11" x14ac:dyDescent="0.3">
      <c r="A60" s="5" t="s">
        <v>43</v>
      </c>
      <c r="B60" s="6">
        <v>40226</v>
      </c>
      <c r="C60" s="5">
        <f t="shared" si="3"/>
        <v>8</v>
      </c>
      <c r="D60" s="5">
        <f t="shared" si="0"/>
        <v>2</v>
      </c>
      <c r="E60" s="5">
        <f t="shared" si="1"/>
        <v>2010</v>
      </c>
      <c r="F60" s="5" t="s">
        <v>5</v>
      </c>
      <c r="G60" s="5" t="s">
        <v>5</v>
      </c>
      <c r="H60" s="7">
        <v>624136.11</v>
      </c>
      <c r="I60" s="7">
        <v>669945.25</v>
      </c>
      <c r="J60" s="7">
        <f t="shared" si="2"/>
        <v>45809.140000000014</v>
      </c>
      <c r="K60" s="8">
        <f t="shared" si="4"/>
        <v>7.3396073814732524E-2</v>
      </c>
    </row>
    <row r="61" spans="1:11" x14ac:dyDescent="0.3">
      <c r="A61" s="5" t="s">
        <v>43</v>
      </c>
      <c r="B61" s="6">
        <v>40226</v>
      </c>
      <c r="C61" s="5">
        <f t="shared" si="3"/>
        <v>8</v>
      </c>
      <c r="D61" s="5">
        <f t="shared" si="0"/>
        <v>2</v>
      </c>
      <c r="E61" s="5">
        <f t="shared" si="1"/>
        <v>2010</v>
      </c>
      <c r="F61" s="5" t="s">
        <v>20</v>
      </c>
      <c r="G61" s="5" t="s">
        <v>5</v>
      </c>
      <c r="H61" s="7">
        <v>152311.51</v>
      </c>
      <c r="I61" s="7">
        <v>168782.42</v>
      </c>
      <c r="J61" s="7">
        <f t="shared" si="2"/>
        <v>16470.910000000003</v>
      </c>
      <c r="K61" s="8">
        <f t="shared" si="4"/>
        <v>0.108139627793067</v>
      </c>
    </row>
    <row r="62" spans="1:11" x14ac:dyDescent="0.3">
      <c r="A62" s="5" t="s">
        <v>43</v>
      </c>
      <c r="B62" s="6">
        <v>40226</v>
      </c>
      <c r="C62" s="5">
        <f t="shared" si="3"/>
        <v>8</v>
      </c>
      <c r="D62" s="5">
        <f t="shared" si="0"/>
        <v>2</v>
      </c>
      <c r="E62" s="5">
        <f t="shared" si="1"/>
        <v>2010</v>
      </c>
      <c r="F62" s="5" t="s">
        <v>21</v>
      </c>
      <c r="G62" s="5" t="s">
        <v>5</v>
      </c>
      <c r="H62" s="7">
        <v>344656.89</v>
      </c>
      <c r="I62" s="7">
        <v>361910.97</v>
      </c>
      <c r="J62" s="7">
        <f t="shared" si="2"/>
        <v>17254.079999999958</v>
      </c>
      <c r="K62" s="8">
        <f t="shared" si="4"/>
        <v>5.00616134498282E-2</v>
      </c>
    </row>
    <row r="63" spans="1:11" x14ac:dyDescent="0.3">
      <c r="A63" s="5" t="s">
        <v>43</v>
      </c>
      <c r="B63" s="6">
        <v>40226</v>
      </c>
      <c r="C63" s="5">
        <f t="shared" si="3"/>
        <v>8</v>
      </c>
      <c r="D63" s="5">
        <f t="shared" si="0"/>
        <v>2</v>
      </c>
      <c r="E63" s="5">
        <f t="shared" si="1"/>
        <v>2010</v>
      </c>
      <c r="F63" s="5" t="s">
        <v>22</v>
      </c>
      <c r="G63" s="5" t="s">
        <v>8</v>
      </c>
      <c r="H63" s="7">
        <v>495989.49</v>
      </c>
      <c r="I63" s="7">
        <v>534612.53</v>
      </c>
      <c r="J63" s="7">
        <f t="shared" si="2"/>
        <v>38623.040000000037</v>
      </c>
      <c r="K63" s="8">
        <f t="shared" si="4"/>
        <v>7.7870682300143171E-2</v>
      </c>
    </row>
    <row r="64" spans="1:11" x14ac:dyDescent="0.3">
      <c r="A64" s="5" t="s">
        <v>43</v>
      </c>
      <c r="B64" s="6">
        <v>40226</v>
      </c>
      <c r="C64" s="5">
        <f t="shared" si="3"/>
        <v>8</v>
      </c>
      <c r="D64" s="5">
        <f t="shared" si="0"/>
        <v>2</v>
      </c>
      <c r="E64" s="5">
        <f t="shared" si="1"/>
        <v>2010</v>
      </c>
      <c r="F64" s="5" t="s">
        <v>23</v>
      </c>
      <c r="G64" s="5" t="s">
        <v>8</v>
      </c>
      <c r="H64" s="7">
        <v>195960.3</v>
      </c>
      <c r="I64" s="7">
        <v>204246.57</v>
      </c>
      <c r="J64" s="7">
        <f t="shared" si="2"/>
        <v>8286.2700000000186</v>
      </c>
      <c r="K64" s="8">
        <f t="shared" si="4"/>
        <v>4.2285452716698327E-2</v>
      </c>
    </row>
    <row r="65" spans="1:11" x14ac:dyDescent="0.3">
      <c r="A65" s="5" t="s">
        <v>43</v>
      </c>
      <c r="B65" s="6">
        <v>40226</v>
      </c>
      <c r="C65" s="5">
        <f t="shared" si="3"/>
        <v>8</v>
      </c>
      <c r="D65" s="5">
        <f t="shared" si="0"/>
        <v>2</v>
      </c>
      <c r="E65" s="5">
        <f t="shared" si="1"/>
        <v>2010</v>
      </c>
      <c r="F65" s="5" t="s">
        <v>24</v>
      </c>
      <c r="G65" s="5" t="s">
        <v>8</v>
      </c>
      <c r="H65" s="7">
        <v>206041.74</v>
      </c>
      <c r="I65" s="7">
        <v>217428.94</v>
      </c>
      <c r="J65" s="7">
        <f t="shared" si="2"/>
        <v>11387.200000000012</v>
      </c>
      <c r="K65" s="8">
        <f t="shared" si="4"/>
        <v>5.5266471735290201E-2</v>
      </c>
    </row>
    <row r="66" spans="1:11" x14ac:dyDescent="0.3">
      <c r="A66" s="5" t="s">
        <v>43</v>
      </c>
      <c r="B66" s="6">
        <v>40226</v>
      </c>
      <c r="C66" s="5">
        <f t="shared" si="3"/>
        <v>8</v>
      </c>
      <c r="D66" s="5">
        <f t="shared" ref="D66:D129" si="5">MONTH(B66)</f>
        <v>2</v>
      </c>
      <c r="E66" s="5">
        <f t="shared" ref="E66:E129" si="6">YEAR(B66)</f>
        <v>2010</v>
      </c>
      <c r="F66" s="5" t="s">
        <v>25</v>
      </c>
      <c r="G66" s="5" t="s">
        <v>8</v>
      </c>
      <c r="H66" s="7">
        <v>32340</v>
      </c>
      <c r="I66" s="7">
        <v>33407.230000000003</v>
      </c>
      <c r="J66" s="7">
        <f t="shared" ref="J66:J129" si="7">I66-H66</f>
        <v>1067.2300000000032</v>
      </c>
      <c r="K66" s="8">
        <f t="shared" si="4"/>
        <v>3.3000309214595028E-2</v>
      </c>
    </row>
    <row r="67" spans="1:11" x14ac:dyDescent="0.3">
      <c r="A67" s="5" t="s">
        <v>43</v>
      </c>
      <c r="B67" s="6">
        <v>40226</v>
      </c>
      <c r="C67" s="5">
        <f t="shared" ref="C67:C130" si="8">WEEKNUM(B67,1)</f>
        <v>8</v>
      </c>
      <c r="D67" s="5">
        <f t="shared" si="5"/>
        <v>2</v>
      </c>
      <c r="E67" s="5">
        <f t="shared" si="6"/>
        <v>2010</v>
      </c>
      <c r="F67" s="5" t="s">
        <v>27</v>
      </c>
      <c r="G67" s="5" t="s">
        <v>10</v>
      </c>
      <c r="H67" s="7">
        <v>194684.49</v>
      </c>
      <c r="I67" s="7">
        <v>212403.14</v>
      </c>
      <c r="J67" s="7">
        <f t="shared" si="7"/>
        <v>17718.650000000023</v>
      </c>
      <c r="K67" s="8">
        <f t="shared" ref="K67:K130" si="9">(I67-H67)/H67</f>
        <v>9.1012129420273924E-2</v>
      </c>
    </row>
    <row r="68" spans="1:11" x14ac:dyDescent="0.3">
      <c r="A68" s="5" t="s">
        <v>43</v>
      </c>
      <c r="B68" s="6">
        <v>40226</v>
      </c>
      <c r="C68" s="5">
        <f t="shared" si="8"/>
        <v>8</v>
      </c>
      <c r="D68" s="5">
        <f t="shared" si="5"/>
        <v>2</v>
      </c>
      <c r="E68" s="5">
        <f t="shared" si="6"/>
        <v>2010</v>
      </c>
      <c r="F68" s="5" t="s">
        <v>28</v>
      </c>
      <c r="G68" s="5" t="s">
        <v>10</v>
      </c>
      <c r="H68" s="7">
        <v>40317.519999999997</v>
      </c>
      <c r="I68" s="7">
        <v>45076.959999999999</v>
      </c>
      <c r="J68" s="7">
        <f t="shared" si="7"/>
        <v>4759.4400000000023</v>
      </c>
      <c r="K68" s="8">
        <f t="shared" si="9"/>
        <v>0.11804892761261115</v>
      </c>
    </row>
    <row r="69" spans="1:11" x14ac:dyDescent="0.3">
      <c r="A69" s="5" t="s">
        <v>43</v>
      </c>
      <c r="B69" s="6">
        <v>40226</v>
      </c>
      <c r="C69" s="5">
        <f t="shared" si="8"/>
        <v>8</v>
      </c>
      <c r="D69" s="5">
        <f t="shared" si="5"/>
        <v>2</v>
      </c>
      <c r="E69" s="5">
        <f t="shared" si="6"/>
        <v>2010</v>
      </c>
      <c r="F69" s="5" t="s">
        <v>29</v>
      </c>
      <c r="G69" s="5" t="s">
        <v>10</v>
      </c>
      <c r="H69" s="7">
        <v>885869.19</v>
      </c>
      <c r="I69" s="7">
        <v>966075.13</v>
      </c>
      <c r="J69" s="7">
        <f t="shared" si="7"/>
        <v>80205.940000000061</v>
      </c>
      <c r="K69" s="8">
        <f t="shared" si="9"/>
        <v>9.053925896215001E-2</v>
      </c>
    </row>
    <row r="70" spans="1:11" x14ac:dyDescent="0.3">
      <c r="A70" s="5" t="s">
        <v>43</v>
      </c>
      <c r="B70" s="6">
        <v>40226</v>
      </c>
      <c r="C70" s="5">
        <f t="shared" si="8"/>
        <v>8</v>
      </c>
      <c r="D70" s="5">
        <f t="shared" si="5"/>
        <v>2</v>
      </c>
      <c r="E70" s="5">
        <f t="shared" si="6"/>
        <v>2010</v>
      </c>
      <c r="F70" s="5" t="s">
        <v>30</v>
      </c>
      <c r="G70" s="5" t="s">
        <v>10</v>
      </c>
      <c r="H70" s="7">
        <v>121041.9</v>
      </c>
      <c r="I70" s="7">
        <v>137256</v>
      </c>
      <c r="J70" s="7">
        <f t="shared" si="7"/>
        <v>16214.100000000006</v>
      </c>
      <c r="K70" s="8">
        <f t="shared" si="9"/>
        <v>0.13395444056975317</v>
      </c>
    </row>
    <row r="71" spans="1:11" x14ac:dyDescent="0.3">
      <c r="A71" s="5" t="s">
        <v>43</v>
      </c>
      <c r="B71" s="6">
        <v>40226</v>
      </c>
      <c r="C71" s="5">
        <f t="shared" si="8"/>
        <v>8</v>
      </c>
      <c r="D71" s="5">
        <f t="shared" si="5"/>
        <v>2</v>
      </c>
      <c r="E71" s="5">
        <f t="shared" si="6"/>
        <v>2010</v>
      </c>
      <c r="F71" s="5" t="s">
        <v>9</v>
      </c>
      <c r="G71" s="5" t="s">
        <v>9</v>
      </c>
      <c r="H71" s="7">
        <v>1015632.52</v>
      </c>
      <c r="I71" s="7">
        <v>1221084.74</v>
      </c>
      <c r="J71" s="7">
        <f t="shared" si="7"/>
        <v>205452.21999999997</v>
      </c>
      <c r="K71" s="8">
        <f t="shared" si="9"/>
        <v>0.20228991879858274</v>
      </c>
    </row>
    <row r="72" spans="1:11" x14ac:dyDescent="0.3">
      <c r="A72" s="5" t="s">
        <v>43</v>
      </c>
      <c r="B72" s="6">
        <v>40226</v>
      </c>
      <c r="C72" s="5">
        <f t="shared" si="8"/>
        <v>8</v>
      </c>
      <c r="D72" s="5">
        <f t="shared" si="5"/>
        <v>2</v>
      </c>
      <c r="E72" s="5">
        <f t="shared" si="6"/>
        <v>2010</v>
      </c>
      <c r="F72" s="5" t="s">
        <v>31</v>
      </c>
      <c r="G72" s="5" t="s">
        <v>7</v>
      </c>
      <c r="H72" s="7">
        <v>12750.03</v>
      </c>
      <c r="I72" s="7">
        <v>27937.98</v>
      </c>
      <c r="J72" s="7">
        <f t="shared" si="7"/>
        <v>15187.949999999999</v>
      </c>
      <c r="K72" s="8">
        <f t="shared" si="9"/>
        <v>1.191208961861266</v>
      </c>
    </row>
    <row r="73" spans="1:11" x14ac:dyDescent="0.3">
      <c r="A73" s="5" t="s">
        <v>43</v>
      </c>
      <c r="B73" s="6">
        <v>40226</v>
      </c>
      <c r="C73" s="5">
        <f t="shared" si="8"/>
        <v>8</v>
      </c>
      <c r="D73" s="5">
        <f t="shared" si="5"/>
        <v>2</v>
      </c>
      <c r="E73" s="5">
        <f t="shared" si="6"/>
        <v>2010</v>
      </c>
      <c r="F73" s="5" t="s">
        <v>32</v>
      </c>
      <c r="G73" s="5" t="s">
        <v>7</v>
      </c>
      <c r="H73" s="7">
        <v>11761.46</v>
      </c>
      <c r="I73" s="7">
        <v>13003.59</v>
      </c>
      <c r="J73" s="7">
        <f t="shared" si="7"/>
        <v>1242.130000000001</v>
      </c>
      <c r="K73" s="8">
        <f t="shared" si="9"/>
        <v>0.10561018785082814</v>
      </c>
    </row>
    <row r="74" spans="1:11" x14ac:dyDescent="0.3">
      <c r="A74" s="5" t="s">
        <v>43</v>
      </c>
      <c r="B74" s="6">
        <v>40226</v>
      </c>
      <c r="C74" s="5">
        <f t="shared" si="8"/>
        <v>8</v>
      </c>
      <c r="D74" s="5">
        <f t="shared" si="5"/>
        <v>2</v>
      </c>
      <c r="E74" s="5">
        <f t="shared" si="6"/>
        <v>2010</v>
      </c>
      <c r="F74" s="5" t="s">
        <v>33</v>
      </c>
      <c r="G74" s="5" t="s">
        <v>7</v>
      </c>
      <c r="H74" s="7">
        <v>215740.93</v>
      </c>
      <c r="I74" s="7">
        <v>422115.18</v>
      </c>
      <c r="J74" s="7">
        <f t="shared" si="7"/>
        <v>206374.25</v>
      </c>
      <c r="K74" s="8">
        <f t="shared" si="9"/>
        <v>0.95658366727166699</v>
      </c>
    </row>
    <row r="75" spans="1:11" x14ac:dyDescent="0.3">
      <c r="A75" s="5" t="s">
        <v>43</v>
      </c>
      <c r="B75" s="6">
        <v>40226</v>
      </c>
      <c r="C75" s="5">
        <f t="shared" si="8"/>
        <v>8</v>
      </c>
      <c r="D75" s="5">
        <f t="shared" si="5"/>
        <v>2</v>
      </c>
      <c r="E75" s="5">
        <f t="shared" si="6"/>
        <v>2010</v>
      </c>
      <c r="F75" s="5" t="s">
        <v>34</v>
      </c>
      <c r="G75" s="5" t="s">
        <v>7</v>
      </c>
      <c r="H75" s="7">
        <v>361</v>
      </c>
      <c r="I75" s="7">
        <v>1120.82</v>
      </c>
      <c r="J75" s="7">
        <f t="shared" si="7"/>
        <v>759.81999999999994</v>
      </c>
      <c r="K75" s="8">
        <f t="shared" si="9"/>
        <v>2.1047645429362878</v>
      </c>
    </row>
    <row r="76" spans="1:11" x14ac:dyDescent="0.3">
      <c r="A76" s="5" t="s">
        <v>43</v>
      </c>
      <c r="B76" s="6">
        <v>40226</v>
      </c>
      <c r="C76" s="5">
        <f t="shared" si="8"/>
        <v>8</v>
      </c>
      <c r="D76" s="5">
        <f t="shared" si="5"/>
        <v>2</v>
      </c>
      <c r="E76" s="5">
        <f t="shared" si="6"/>
        <v>2010</v>
      </c>
      <c r="F76" s="5" t="s">
        <v>35</v>
      </c>
      <c r="G76" s="5" t="s">
        <v>11</v>
      </c>
      <c r="H76" s="7">
        <v>2133.96</v>
      </c>
      <c r="I76" s="7">
        <v>2773.79</v>
      </c>
      <c r="J76" s="7">
        <f t="shared" si="7"/>
        <v>639.82999999999993</v>
      </c>
      <c r="K76" s="8">
        <f t="shared" si="9"/>
        <v>0.29983223678044568</v>
      </c>
    </row>
    <row r="77" spans="1:11" x14ac:dyDescent="0.3">
      <c r="A77" s="5" t="s">
        <v>43</v>
      </c>
      <c r="B77" s="6">
        <v>40226</v>
      </c>
      <c r="C77" s="5">
        <f t="shared" si="8"/>
        <v>8</v>
      </c>
      <c r="D77" s="5">
        <f t="shared" si="5"/>
        <v>2</v>
      </c>
      <c r="E77" s="5">
        <f t="shared" si="6"/>
        <v>2010</v>
      </c>
      <c r="F77" s="5" t="s">
        <v>36</v>
      </c>
      <c r="G77" s="5" t="s">
        <v>11</v>
      </c>
      <c r="H77" s="7">
        <v>211687.49</v>
      </c>
      <c r="I77" s="7">
        <v>234305.8</v>
      </c>
      <c r="J77" s="7">
        <f t="shared" si="7"/>
        <v>22618.309999999998</v>
      </c>
      <c r="K77" s="8">
        <f t="shared" si="9"/>
        <v>0.10684764602764196</v>
      </c>
    </row>
    <row r="78" spans="1:11" x14ac:dyDescent="0.3">
      <c r="A78" s="5" t="s">
        <v>43</v>
      </c>
      <c r="B78" s="6">
        <v>40226</v>
      </c>
      <c r="C78" s="5">
        <f t="shared" si="8"/>
        <v>8</v>
      </c>
      <c r="D78" s="5">
        <f t="shared" si="5"/>
        <v>2</v>
      </c>
      <c r="E78" s="5">
        <f t="shared" si="6"/>
        <v>2010</v>
      </c>
      <c r="F78" s="5" t="s">
        <v>37</v>
      </c>
      <c r="G78" s="5" t="s">
        <v>11</v>
      </c>
      <c r="H78" s="7">
        <v>528975.64</v>
      </c>
      <c r="I78" s="7">
        <v>562119</v>
      </c>
      <c r="J78" s="7">
        <f t="shared" si="7"/>
        <v>33143.359999999986</v>
      </c>
      <c r="K78" s="8">
        <f t="shared" si="9"/>
        <v>6.265573968585772E-2</v>
      </c>
    </row>
    <row r="79" spans="1:11" x14ac:dyDescent="0.3">
      <c r="A79" s="5" t="s">
        <v>43</v>
      </c>
      <c r="B79" s="6">
        <v>40226</v>
      </c>
      <c r="C79" s="5">
        <f t="shared" si="8"/>
        <v>8</v>
      </c>
      <c r="D79" s="5">
        <f t="shared" si="5"/>
        <v>2</v>
      </c>
      <c r="E79" s="5">
        <f t="shared" si="6"/>
        <v>2010</v>
      </c>
      <c r="F79" s="5" t="s">
        <v>38</v>
      </c>
      <c r="G79" s="5" t="s">
        <v>11</v>
      </c>
      <c r="H79" s="7">
        <v>398531.34</v>
      </c>
      <c r="I79" s="7">
        <v>421960.1</v>
      </c>
      <c r="J79" s="7">
        <f t="shared" si="7"/>
        <v>23428.759999999951</v>
      </c>
      <c r="K79" s="8">
        <f t="shared" si="9"/>
        <v>5.8787748035072848E-2</v>
      </c>
    </row>
    <row r="80" spans="1:11" x14ac:dyDescent="0.3">
      <c r="A80" s="5" t="s">
        <v>43</v>
      </c>
      <c r="B80" s="6">
        <v>40227</v>
      </c>
      <c r="C80" s="5">
        <f t="shared" si="8"/>
        <v>8</v>
      </c>
      <c r="D80" s="5">
        <f t="shared" si="5"/>
        <v>2</v>
      </c>
      <c r="E80" s="5">
        <f t="shared" si="6"/>
        <v>2010</v>
      </c>
      <c r="F80" s="5" t="s">
        <v>14</v>
      </c>
      <c r="G80" s="5" t="s">
        <v>6</v>
      </c>
      <c r="H80" s="7">
        <v>14470</v>
      </c>
      <c r="I80" s="7">
        <v>16905.099999999999</v>
      </c>
      <c r="J80" s="7">
        <f t="shared" si="7"/>
        <v>2435.0999999999985</v>
      </c>
      <c r="K80" s="8">
        <f t="shared" si="9"/>
        <v>0.16828610919143044</v>
      </c>
    </row>
    <row r="81" spans="1:11" x14ac:dyDescent="0.3">
      <c r="A81" s="5" t="s">
        <v>43</v>
      </c>
      <c r="B81" s="6">
        <v>40227</v>
      </c>
      <c r="C81" s="5">
        <f t="shared" si="8"/>
        <v>8</v>
      </c>
      <c r="D81" s="5">
        <f t="shared" si="5"/>
        <v>2</v>
      </c>
      <c r="E81" s="5">
        <f t="shared" si="6"/>
        <v>2010</v>
      </c>
      <c r="F81" s="5" t="s">
        <v>15</v>
      </c>
      <c r="G81" s="5" t="s">
        <v>6</v>
      </c>
      <c r="H81" s="7">
        <v>373657.92</v>
      </c>
      <c r="I81" s="7">
        <v>448204.51</v>
      </c>
      <c r="J81" s="7">
        <f t="shared" si="7"/>
        <v>74546.590000000026</v>
      </c>
      <c r="K81" s="8">
        <f t="shared" si="9"/>
        <v>0.19950491080183722</v>
      </c>
    </row>
    <row r="82" spans="1:11" x14ac:dyDescent="0.3">
      <c r="A82" s="5" t="s">
        <v>43</v>
      </c>
      <c r="B82" s="6">
        <v>40227</v>
      </c>
      <c r="C82" s="5">
        <f t="shared" si="8"/>
        <v>8</v>
      </c>
      <c r="D82" s="5">
        <f t="shared" si="5"/>
        <v>2</v>
      </c>
      <c r="E82" s="5">
        <f t="shared" si="6"/>
        <v>2010</v>
      </c>
      <c r="F82" s="5" t="s">
        <v>16</v>
      </c>
      <c r="G82" s="5" t="s">
        <v>6</v>
      </c>
      <c r="H82" s="7">
        <v>117557.83</v>
      </c>
      <c r="I82" s="7">
        <v>129891.23</v>
      </c>
      <c r="J82" s="7">
        <f t="shared" si="7"/>
        <v>12333.399999999994</v>
      </c>
      <c r="K82" s="8">
        <f t="shared" si="9"/>
        <v>0.10491347109758656</v>
      </c>
    </row>
    <row r="83" spans="1:11" x14ac:dyDescent="0.3">
      <c r="A83" s="5" t="s">
        <v>43</v>
      </c>
      <c r="B83" s="6">
        <v>40227</v>
      </c>
      <c r="C83" s="5">
        <f t="shared" si="8"/>
        <v>8</v>
      </c>
      <c r="D83" s="5">
        <f t="shared" si="5"/>
        <v>2</v>
      </c>
      <c r="E83" s="5">
        <f t="shared" si="6"/>
        <v>2010</v>
      </c>
      <c r="F83" s="5" t="s">
        <v>17</v>
      </c>
      <c r="G83" s="5" t="s">
        <v>6</v>
      </c>
      <c r="H83" s="7">
        <v>4531</v>
      </c>
      <c r="I83" s="7">
        <v>4989.03</v>
      </c>
      <c r="J83" s="7">
        <f t="shared" si="7"/>
        <v>458.02999999999975</v>
      </c>
      <c r="K83" s="8">
        <f t="shared" si="9"/>
        <v>0.10108806003089819</v>
      </c>
    </row>
    <row r="84" spans="1:11" x14ac:dyDescent="0.3">
      <c r="A84" s="5" t="s">
        <v>43</v>
      </c>
      <c r="B84" s="6">
        <v>40227</v>
      </c>
      <c r="C84" s="5">
        <f t="shared" si="8"/>
        <v>8</v>
      </c>
      <c r="D84" s="5">
        <f t="shared" si="5"/>
        <v>2</v>
      </c>
      <c r="E84" s="5">
        <f t="shared" si="6"/>
        <v>2010</v>
      </c>
      <c r="F84" s="5" t="s">
        <v>18</v>
      </c>
      <c r="G84" s="5" t="s">
        <v>6</v>
      </c>
      <c r="H84" s="7">
        <v>2314</v>
      </c>
      <c r="I84" s="7">
        <v>2661.94</v>
      </c>
      <c r="J84" s="7">
        <f t="shared" si="7"/>
        <v>347.94000000000005</v>
      </c>
      <c r="K84" s="8">
        <f t="shared" si="9"/>
        <v>0.15036300777873815</v>
      </c>
    </row>
    <row r="85" spans="1:11" x14ac:dyDescent="0.3">
      <c r="A85" s="5" t="s">
        <v>43</v>
      </c>
      <c r="B85" s="6">
        <v>40227</v>
      </c>
      <c r="C85" s="5">
        <f t="shared" si="8"/>
        <v>8</v>
      </c>
      <c r="D85" s="5">
        <f t="shared" si="5"/>
        <v>2</v>
      </c>
      <c r="E85" s="5">
        <f t="shared" si="6"/>
        <v>2010</v>
      </c>
      <c r="F85" s="5" t="s">
        <v>19</v>
      </c>
      <c r="G85" s="5" t="s">
        <v>5</v>
      </c>
      <c r="H85" s="7">
        <v>256245.69</v>
      </c>
      <c r="I85" s="7">
        <v>271388.45</v>
      </c>
      <c r="J85" s="7">
        <f t="shared" si="7"/>
        <v>15142.760000000009</v>
      </c>
      <c r="K85" s="8">
        <f t="shared" si="9"/>
        <v>5.9094691504860075E-2</v>
      </c>
    </row>
    <row r="86" spans="1:11" x14ac:dyDescent="0.3">
      <c r="A86" s="5" t="s">
        <v>43</v>
      </c>
      <c r="B86" s="6">
        <v>40227</v>
      </c>
      <c r="C86" s="5">
        <f t="shared" si="8"/>
        <v>8</v>
      </c>
      <c r="D86" s="5">
        <f t="shared" si="5"/>
        <v>2</v>
      </c>
      <c r="E86" s="5">
        <f t="shared" si="6"/>
        <v>2010</v>
      </c>
      <c r="F86" s="5" t="s">
        <v>5</v>
      </c>
      <c r="G86" s="5" t="s">
        <v>5</v>
      </c>
      <c r="H86" s="7">
        <v>827350.94</v>
      </c>
      <c r="I86" s="7">
        <v>875192.82</v>
      </c>
      <c r="J86" s="7">
        <f t="shared" si="7"/>
        <v>47841.880000000005</v>
      </c>
      <c r="K86" s="8">
        <f t="shared" si="9"/>
        <v>5.7825376979688946E-2</v>
      </c>
    </row>
    <row r="87" spans="1:11" x14ac:dyDescent="0.3">
      <c r="A87" s="5" t="s">
        <v>43</v>
      </c>
      <c r="B87" s="6">
        <v>40227</v>
      </c>
      <c r="C87" s="5">
        <f t="shared" si="8"/>
        <v>8</v>
      </c>
      <c r="D87" s="5">
        <f t="shared" si="5"/>
        <v>2</v>
      </c>
      <c r="E87" s="5">
        <f t="shared" si="6"/>
        <v>2010</v>
      </c>
      <c r="F87" s="5" t="s">
        <v>20</v>
      </c>
      <c r="G87" s="5" t="s">
        <v>5</v>
      </c>
      <c r="H87" s="7">
        <v>165404.28</v>
      </c>
      <c r="I87" s="7">
        <v>181465.43</v>
      </c>
      <c r="J87" s="7">
        <f t="shared" si="7"/>
        <v>16061.149999999994</v>
      </c>
      <c r="K87" s="8">
        <f t="shared" si="9"/>
        <v>9.7102384533217609E-2</v>
      </c>
    </row>
    <row r="88" spans="1:11" x14ac:dyDescent="0.3">
      <c r="A88" s="5" t="s">
        <v>43</v>
      </c>
      <c r="B88" s="6">
        <v>40227</v>
      </c>
      <c r="C88" s="5">
        <f t="shared" si="8"/>
        <v>8</v>
      </c>
      <c r="D88" s="5">
        <f t="shared" si="5"/>
        <v>2</v>
      </c>
      <c r="E88" s="5">
        <f t="shared" si="6"/>
        <v>2010</v>
      </c>
      <c r="F88" s="5" t="s">
        <v>21</v>
      </c>
      <c r="G88" s="5" t="s">
        <v>5</v>
      </c>
      <c r="H88" s="7">
        <v>409805.45</v>
      </c>
      <c r="I88" s="7">
        <v>429313.54</v>
      </c>
      <c r="J88" s="7">
        <f t="shared" si="7"/>
        <v>19508.089999999967</v>
      </c>
      <c r="K88" s="8">
        <f t="shared" si="9"/>
        <v>4.7603295661392417E-2</v>
      </c>
    </row>
    <row r="89" spans="1:11" x14ac:dyDescent="0.3">
      <c r="A89" s="5" t="s">
        <v>43</v>
      </c>
      <c r="B89" s="6">
        <v>40227</v>
      </c>
      <c r="C89" s="5">
        <f t="shared" si="8"/>
        <v>8</v>
      </c>
      <c r="D89" s="5">
        <f t="shared" si="5"/>
        <v>2</v>
      </c>
      <c r="E89" s="5">
        <f t="shared" si="6"/>
        <v>2010</v>
      </c>
      <c r="F89" s="5" t="s">
        <v>22</v>
      </c>
      <c r="G89" s="5" t="s">
        <v>8</v>
      </c>
      <c r="H89" s="7">
        <v>566883.78</v>
      </c>
      <c r="I89" s="7">
        <v>579053.31999999995</v>
      </c>
      <c r="J89" s="7">
        <f t="shared" si="7"/>
        <v>12169.539999999921</v>
      </c>
      <c r="K89" s="8">
        <f t="shared" si="9"/>
        <v>2.1467433765700476E-2</v>
      </c>
    </row>
    <row r="90" spans="1:11" x14ac:dyDescent="0.3">
      <c r="A90" s="5" t="s">
        <v>43</v>
      </c>
      <c r="B90" s="6">
        <v>40227</v>
      </c>
      <c r="C90" s="5">
        <f t="shared" si="8"/>
        <v>8</v>
      </c>
      <c r="D90" s="5">
        <f t="shared" si="5"/>
        <v>2</v>
      </c>
      <c r="E90" s="5">
        <f t="shared" si="6"/>
        <v>2010</v>
      </c>
      <c r="F90" s="5" t="s">
        <v>23</v>
      </c>
      <c r="G90" s="5" t="s">
        <v>8</v>
      </c>
      <c r="H90" s="7">
        <v>245222.89</v>
      </c>
      <c r="I90" s="7">
        <v>256680.55</v>
      </c>
      <c r="J90" s="7">
        <f t="shared" si="7"/>
        <v>11457.659999999974</v>
      </c>
      <c r="K90" s="8">
        <f t="shared" si="9"/>
        <v>4.672345228457251E-2</v>
      </c>
    </row>
    <row r="91" spans="1:11" x14ac:dyDescent="0.3">
      <c r="A91" s="5" t="s">
        <v>43</v>
      </c>
      <c r="B91" s="6">
        <v>40227</v>
      </c>
      <c r="C91" s="5">
        <f t="shared" si="8"/>
        <v>8</v>
      </c>
      <c r="D91" s="5">
        <f t="shared" si="5"/>
        <v>2</v>
      </c>
      <c r="E91" s="5">
        <f t="shared" si="6"/>
        <v>2010</v>
      </c>
      <c r="F91" s="5" t="s">
        <v>24</v>
      </c>
      <c r="G91" s="5" t="s">
        <v>8</v>
      </c>
      <c r="H91" s="7">
        <v>235750</v>
      </c>
      <c r="I91" s="7">
        <v>248232.85</v>
      </c>
      <c r="J91" s="7">
        <f t="shared" si="7"/>
        <v>12482.850000000006</v>
      </c>
      <c r="K91" s="8">
        <f t="shared" si="9"/>
        <v>5.2949522799575849E-2</v>
      </c>
    </row>
    <row r="92" spans="1:11" x14ac:dyDescent="0.3">
      <c r="A92" s="5" t="s">
        <v>43</v>
      </c>
      <c r="B92" s="6">
        <v>40227</v>
      </c>
      <c r="C92" s="5">
        <f t="shared" si="8"/>
        <v>8</v>
      </c>
      <c r="D92" s="5">
        <f t="shared" si="5"/>
        <v>2</v>
      </c>
      <c r="E92" s="5">
        <f t="shared" si="6"/>
        <v>2010</v>
      </c>
      <c r="F92" s="5" t="s">
        <v>25</v>
      </c>
      <c r="G92" s="5" t="s">
        <v>8</v>
      </c>
      <c r="H92" s="7">
        <v>20418.400000000001</v>
      </c>
      <c r="I92" s="7">
        <v>20923.73</v>
      </c>
      <c r="J92" s="7">
        <f t="shared" si="7"/>
        <v>505.32999999999811</v>
      </c>
      <c r="K92" s="8">
        <f t="shared" si="9"/>
        <v>2.4748756023978278E-2</v>
      </c>
    </row>
    <row r="93" spans="1:11" x14ac:dyDescent="0.3">
      <c r="A93" s="5" t="s">
        <v>43</v>
      </c>
      <c r="B93" s="6">
        <v>40227</v>
      </c>
      <c r="C93" s="5">
        <f t="shared" si="8"/>
        <v>8</v>
      </c>
      <c r="D93" s="5">
        <f t="shared" si="5"/>
        <v>2</v>
      </c>
      <c r="E93" s="5">
        <f t="shared" si="6"/>
        <v>2010</v>
      </c>
      <c r="F93" s="5" t="s">
        <v>27</v>
      </c>
      <c r="G93" s="5" t="s">
        <v>10</v>
      </c>
      <c r="H93" s="7">
        <v>284351.31</v>
      </c>
      <c r="I93" s="7">
        <v>312083.03000000003</v>
      </c>
      <c r="J93" s="7">
        <f t="shared" si="7"/>
        <v>27731.72000000003</v>
      </c>
      <c r="K93" s="8">
        <f t="shared" si="9"/>
        <v>9.7526260737114345E-2</v>
      </c>
    </row>
    <row r="94" spans="1:11" x14ac:dyDescent="0.3">
      <c r="A94" s="5" t="s">
        <v>43</v>
      </c>
      <c r="B94" s="6">
        <v>40227</v>
      </c>
      <c r="C94" s="5">
        <f t="shared" si="8"/>
        <v>8</v>
      </c>
      <c r="D94" s="5">
        <f t="shared" si="5"/>
        <v>2</v>
      </c>
      <c r="E94" s="5">
        <f t="shared" si="6"/>
        <v>2010</v>
      </c>
      <c r="F94" s="5" t="s">
        <v>28</v>
      </c>
      <c r="G94" s="5" t="s">
        <v>10</v>
      </c>
      <c r="H94" s="7">
        <v>104427.6</v>
      </c>
      <c r="I94" s="7">
        <v>115482.92</v>
      </c>
      <c r="J94" s="7">
        <f t="shared" si="7"/>
        <v>11055.319999999992</v>
      </c>
      <c r="K94" s="8">
        <f t="shared" si="9"/>
        <v>0.1058658821997249</v>
      </c>
    </row>
    <row r="95" spans="1:11" x14ac:dyDescent="0.3">
      <c r="A95" s="5" t="s">
        <v>43</v>
      </c>
      <c r="B95" s="6">
        <v>40227</v>
      </c>
      <c r="C95" s="5">
        <f t="shared" si="8"/>
        <v>8</v>
      </c>
      <c r="D95" s="5">
        <f t="shared" si="5"/>
        <v>2</v>
      </c>
      <c r="E95" s="5">
        <f t="shared" si="6"/>
        <v>2010</v>
      </c>
      <c r="F95" s="5" t="s">
        <v>29</v>
      </c>
      <c r="G95" s="5" t="s">
        <v>10</v>
      </c>
      <c r="H95" s="7">
        <v>969901.63</v>
      </c>
      <c r="I95" s="7">
        <v>1054134.8600000001</v>
      </c>
      <c r="J95" s="7">
        <f t="shared" si="7"/>
        <v>84233.230000000098</v>
      </c>
      <c r="K95" s="8">
        <f t="shared" si="9"/>
        <v>8.6847188822643903E-2</v>
      </c>
    </row>
    <row r="96" spans="1:11" x14ac:dyDescent="0.3">
      <c r="A96" s="5" t="s">
        <v>43</v>
      </c>
      <c r="B96" s="6">
        <v>40227</v>
      </c>
      <c r="C96" s="5">
        <f t="shared" si="8"/>
        <v>8</v>
      </c>
      <c r="D96" s="5">
        <f t="shared" si="5"/>
        <v>2</v>
      </c>
      <c r="E96" s="5">
        <f t="shared" si="6"/>
        <v>2010</v>
      </c>
      <c r="F96" s="5" t="s">
        <v>30</v>
      </c>
      <c r="G96" s="5" t="s">
        <v>10</v>
      </c>
      <c r="H96" s="7">
        <v>140090.94</v>
      </c>
      <c r="I96" s="7">
        <v>157668.45000000001</v>
      </c>
      <c r="J96" s="7">
        <f t="shared" si="7"/>
        <v>17577.510000000009</v>
      </c>
      <c r="K96" s="8">
        <f t="shared" si="9"/>
        <v>0.12547213974008603</v>
      </c>
    </row>
    <row r="97" spans="1:11" x14ac:dyDescent="0.3">
      <c r="A97" s="5" t="s">
        <v>43</v>
      </c>
      <c r="B97" s="6">
        <v>40227</v>
      </c>
      <c r="C97" s="5">
        <f t="shared" si="8"/>
        <v>8</v>
      </c>
      <c r="D97" s="5">
        <f t="shared" si="5"/>
        <v>2</v>
      </c>
      <c r="E97" s="5">
        <f t="shared" si="6"/>
        <v>2010</v>
      </c>
      <c r="F97" s="5" t="s">
        <v>9</v>
      </c>
      <c r="G97" s="5" t="s">
        <v>9</v>
      </c>
      <c r="H97" s="7">
        <v>1120393.94</v>
      </c>
      <c r="I97" s="7">
        <v>1337243.08</v>
      </c>
      <c r="J97" s="7">
        <f t="shared" si="7"/>
        <v>216849.14000000013</v>
      </c>
      <c r="K97" s="8">
        <f t="shared" si="9"/>
        <v>0.19354722679060557</v>
      </c>
    </row>
    <row r="98" spans="1:11" x14ac:dyDescent="0.3">
      <c r="A98" s="5" t="s">
        <v>43</v>
      </c>
      <c r="B98" s="6">
        <v>40227</v>
      </c>
      <c r="C98" s="5">
        <f t="shared" si="8"/>
        <v>8</v>
      </c>
      <c r="D98" s="5">
        <f t="shared" si="5"/>
        <v>2</v>
      </c>
      <c r="E98" s="5">
        <f t="shared" si="6"/>
        <v>2010</v>
      </c>
      <c r="F98" s="5" t="s">
        <v>31</v>
      </c>
      <c r="G98" s="5" t="s">
        <v>7</v>
      </c>
      <c r="H98" s="7">
        <v>11058.12</v>
      </c>
      <c r="I98" s="7">
        <v>23825</v>
      </c>
      <c r="J98" s="7">
        <f t="shared" si="7"/>
        <v>12766.88</v>
      </c>
      <c r="K98" s="8">
        <f t="shared" si="9"/>
        <v>1.1545253623581584</v>
      </c>
    </row>
    <row r="99" spans="1:11" x14ac:dyDescent="0.3">
      <c r="A99" s="5" t="s">
        <v>43</v>
      </c>
      <c r="B99" s="6">
        <v>40227</v>
      </c>
      <c r="C99" s="5">
        <f t="shared" si="8"/>
        <v>8</v>
      </c>
      <c r="D99" s="5">
        <f t="shared" si="5"/>
        <v>2</v>
      </c>
      <c r="E99" s="5">
        <f t="shared" si="6"/>
        <v>2010</v>
      </c>
      <c r="F99" s="5" t="s">
        <v>32</v>
      </c>
      <c r="G99" s="5" t="s">
        <v>7</v>
      </c>
      <c r="H99" s="7">
        <v>17365.95</v>
      </c>
      <c r="I99" s="7">
        <v>19239.45</v>
      </c>
      <c r="J99" s="7">
        <f t="shared" si="7"/>
        <v>1873.5</v>
      </c>
      <c r="K99" s="8">
        <f t="shared" si="9"/>
        <v>0.10788353070232265</v>
      </c>
    </row>
    <row r="100" spans="1:11" x14ac:dyDescent="0.3">
      <c r="A100" s="5" t="s">
        <v>43</v>
      </c>
      <c r="B100" s="6">
        <v>40227</v>
      </c>
      <c r="C100" s="5">
        <f t="shared" si="8"/>
        <v>8</v>
      </c>
      <c r="D100" s="5">
        <f t="shared" si="5"/>
        <v>2</v>
      </c>
      <c r="E100" s="5">
        <f t="shared" si="6"/>
        <v>2010</v>
      </c>
      <c r="F100" s="5" t="s">
        <v>33</v>
      </c>
      <c r="G100" s="5" t="s">
        <v>7</v>
      </c>
      <c r="H100" s="7">
        <v>200239.28</v>
      </c>
      <c r="I100" s="7">
        <v>401310.83</v>
      </c>
      <c r="J100" s="7">
        <f t="shared" si="7"/>
        <v>201071.55000000002</v>
      </c>
      <c r="K100" s="8">
        <f t="shared" si="9"/>
        <v>1.0041563773101863</v>
      </c>
    </row>
    <row r="101" spans="1:11" x14ac:dyDescent="0.3">
      <c r="A101" s="5" t="s">
        <v>43</v>
      </c>
      <c r="B101" s="6">
        <v>40227</v>
      </c>
      <c r="C101" s="5">
        <f t="shared" si="8"/>
        <v>8</v>
      </c>
      <c r="D101" s="5">
        <f t="shared" si="5"/>
        <v>2</v>
      </c>
      <c r="E101" s="5">
        <f t="shared" si="6"/>
        <v>2010</v>
      </c>
      <c r="F101" s="5" t="s">
        <v>34</v>
      </c>
      <c r="G101" s="5" t="s">
        <v>7</v>
      </c>
      <c r="H101" s="7">
        <v>133</v>
      </c>
      <c r="I101" s="7">
        <v>413</v>
      </c>
      <c r="J101" s="7">
        <f t="shared" si="7"/>
        <v>280</v>
      </c>
      <c r="K101" s="8">
        <f t="shared" si="9"/>
        <v>2.1052631578947367</v>
      </c>
    </row>
    <row r="102" spans="1:11" x14ac:dyDescent="0.3">
      <c r="A102" s="5" t="s">
        <v>43</v>
      </c>
      <c r="B102" s="6">
        <v>40227</v>
      </c>
      <c r="C102" s="5">
        <f t="shared" si="8"/>
        <v>8</v>
      </c>
      <c r="D102" s="5">
        <f t="shared" si="5"/>
        <v>2</v>
      </c>
      <c r="E102" s="5">
        <f t="shared" si="6"/>
        <v>2010</v>
      </c>
      <c r="F102" s="5" t="s">
        <v>35</v>
      </c>
      <c r="G102" s="5" t="s">
        <v>11</v>
      </c>
      <c r="H102" s="7">
        <v>711.6</v>
      </c>
      <c r="I102" s="7">
        <v>925</v>
      </c>
      <c r="J102" s="7">
        <f t="shared" si="7"/>
        <v>213.39999999999998</v>
      </c>
      <c r="K102" s="8">
        <f t="shared" si="9"/>
        <v>0.29988757729061266</v>
      </c>
    </row>
    <row r="103" spans="1:11" x14ac:dyDescent="0.3">
      <c r="A103" s="5" t="s">
        <v>43</v>
      </c>
      <c r="B103" s="6">
        <v>40227</v>
      </c>
      <c r="C103" s="5">
        <f t="shared" si="8"/>
        <v>8</v>
      </c>
      <c r="D103" s="5">
        <f t="shared" si="5"/>
        <v>2</v>
      </c>
      <c r="E103" s="5">
        <f t="shared" si="6"/>
        <v>2010</v>
      </c>
      <c r="F103" s="5" t="s">
        <v>36</v>
      </c>
      <c r="G103" s="5" t="s">
        <v>11</v>
      </c>
      <c r="H103" s="7">
        <v>216388.36</v>
      </c>
      <c r="I103" s="7">
        <v>235890.15</v>
      </c>
      <c r="J103" s="7">
        <f t="shared" si="7"/>
        <v>19501.790000000008</v>
      </c>
      <c r="K103" s="8">
        <f t="shared" si="9"/>
        <v>9.01240251555121E-2</v>
      </c>
    </row>
    <row r="104" spans="1:11" x14ac:dyDescent="0.3">
      <c r="A104" s="5" t="s">
        <v>43</v>
      </c>
      <c r="B104" s="6">
        <v>40227</v>
      </c>
      <c r="C104" s="5">
        <f t="shared" si="8"/>
        <v>8</v>
      </c>
      <c r="D104" s="5">
        <f t="shared" si="5"/>
        <v>2</v>
      </c>
      <c r="E104" s="5">
        <f t="shared" si="6"/>
        <v>2010</v>
      </c>
      <c r="F104" s="5" t="s">
        <v>37</v>
      </c>
      <c r="G104" s="5" t="s">
        <v>11</v>
      </c>
      <c r="H104" s="7">
        <v>504392.34</v>
      </c>
      <c r="I104" s="7">
        <v>543249.19999999995</v>
      </c>
      <c r="J104" s="7">
        <f t="shared" si="7"/>
        <v>38856.859999999928</v>
      </c>
      <c r="K104" s="8">
        <f t="shared" si="9"/>
        <v>7.7036974827968091E-2</v>
      </c>
    </row>
    <row r="105" spans="1:11" x14ac:dyDescent="0.3">
      <c r="A105" s="5" t="s">
        <v>43</v>
      </c>
      <c r="B105" s="6">
        <v>40227</v>
      </c>
      <c r="C105" s="5">
        <f t="shared" si="8"/>
        <v>8</v>
      </c>
      <c r="D105" s="5">
        <f t="shared" si="5"/>
        <v>2</v>
      </c>
      <c r="E105" s="5">
        <f t="shared" si="6"/>
        <v>2010</v>
      </c>
      <c r="F105" s="5" t="s">
        <v>38</v>
      </c>
      <c r="G105" s="5" t="s">
        <v>11</v>
      </c>
      <c r="H105" s="7">
        <v>381272.21</v>
      </c>
      <c r="I105" s="7">
        <v>404586.12</v>
      </c>
      <c r="J105" s="7">
        <f t="shared" si="7"/>
        <v>23313.909999999974</v>
      </c>
      <c r="K105" s="8">
        <f t="shared" si="9"/>
        <v>6.1147677141221421E-2</v>
      </c>
    </row>
    <row r="106" spans="1:11" x14ac:dyDescent="0.3">
      <c r="A106" s="5" t="s">
        <v>43</v>
      </c>
      <c r="B106" s="6">
        <v>40228</v>
      </c>
      <c r="C106" s="5">
        <f t="shared" si="8"/>
        <v>8</v>
      </c>
      <c r="D106" s="5">
        <f t="shared" si="5"/>
        <v>2</v>
      </c>
      <c r="E106" s="5">
        <f t="shared" si="6"/>
        <v>2010</v>
      </c>
      <c r="F106" s="5" t="s">
        <v>14</v>
      </c>
      <c r="G106" s="5" t="s">
        <v>6</v>
      </c>
      <c r="H106" s="7">
        <v>10881</v>
      </c>
      <c r="I106" s="7">
        <v>12727.45</v>
      </c>
      <c r="J106" s="7">
        <f t="shared" si="7"/>
        <v>1846.4500000000007</v>
      </c>
      <c r="K106" s="8">
        <f t="shared" si="9"/>
        <v>0.16969488098520363</v>
      </c>
    </row>
    <row r="107" spans="1:11" x14ac:dyDescent="0.3">
      <c r="A107" s="5" t="s">
        <v>43</v>
      </c>
      <c r="B107" s="6">
        <v>40228</v>
      </c>
      <c r="C107" s="5">
        <f t="shared" si="8"/>
        <v>8</v>
      </c>
      <c r="D107" s="5">
        <f t="shared" si="5"/>
        <v>2</v>
      </c>
      <c r="E107" s="5">
        <f t="shared" si="6"/>
        <v>2010</v>
      </c>
      <c r="F107" s="5" t="s">
        <v>15</v>
      </c>
      <c r="G107" s="5" t="s">
        <v>6</v>
      </c>
      <c r="H107" s="7">
        <v>453554.61</v>
      </c>
      <c r="I107" s="7">
        <v>545606.09</v>
      </c>
      <c r="J107" s="7">
        <f t="shared" si="7"/>
        <v>92051.479999999981</v>
      </c>
      <c r="K107" s="8">
        <f t="shared" si="9"/>
        <v>0.20295567054207647</v>
      </c>
    </row>
    <row r="108" spans="1:11" x14ac:dyDescent="0.3">
      <c r="A108" s="5" t="s">
        <v>43</v>
      </c>
      <c r="B108" s="6">
        <v>40228</v>
      </c>
      <c r="C108" s="5">
        <f t="shared" si="8"/>
        <v>8</v>
      </c>
      <c r="D108" s="5">
        <f t="shared" si="5"/>
        <v>2</v>
      </c>
      <c r="E108" s="5">
        <f t="shared" si="6"/>
        <v>2010</v>
      </c>
      <c r="F108" s="5" t="s">
        <v>16</v>
      </c>
      <c r="G108" s="5" t="s">
        <v>6</v>
      </c>
      <c r="H108" s="7">
        <v>135409.35</v>
      </c>
      <c r="I108" s="7">
        <v>151477.26999999999</v>
      </c>
      <c r="J108" s="7">
        <f t="shared" si="7"/>
        <v>16067.919999999984</v>
      </c>
      <c r="K108" s="8">
        <f t="shared" si="9"/>
        <v>0.11866182062021553</v>
      </c>
    </row>
    <row r="109" spans="1:11" x14ac:dyDescent="0.3">
      <c r="A109" s="5" t="s">
        <v>43</v>
      </c>
      <c r="B109" s="6">
        <v>40228</v>
      </c>
      <c r="C109" s="5">
        <f t="shared" si="8"/>
        <v>8</v>
      </c>
      <c r="D109" s="5">
        <f t="shared" si="5"/>
        <v>2</v>
      </c>
      <c r="E109" s="5">
        <f t="shared" si="6"/>
        <v>2010</v>
      </c>
      <c r="F109" s="5" t="s">
        <v>17</v>
      </c>
      <c r="G109" s="5" t="s">
        <v>6</v>
      </c>
      <c r="H109" s="7">
        <v>4591</v>
      </c>
      <c r="I109" s="7">
        <v>4979.13</v>
      </c>
      <c r="J109" s="7">
        <f t="shared" si="7"/>
        <v>388.13000000000011</v>
      </c>
      <c r="K109" s="8">
        <f t="shared" si="9"/>
        <v>8.4541494227837091E-2</v>
      </c>
    </row>
    <row r="110" spans="1:11" x14ac:dyDescent="0.3">
      <c r="A110" s="5" t="s">
        <v>43</v>
      </c>
      <c r="B110" s="6">
        <v>40228</v>
      </c>
      <c r="C110" s="5">
        <f t="shared" si="8"/>
        <v>8</v>
      </c>
      <c r="D110" s="5">
        <f t="shared" si="5"/>
        <v>2</v>
      </c>
      <c r="E110" s="5">
        <f t="shared" si="6"/>
        <v>2010</v>
      </c>
      <c r="F110" s="5" t="s">
        <v>18</v>
      </c>
      <c r="G110" s="5" t="s">
        <v>6</v>
      </c>
      <c r="H110" s="7">
        <v>4550</v>
      </c>
      <c r="I110" s="7">
        <v>5232.62</v>
      </c>
      <c r="J110" s="7">
        <f t="shared" si="7"/>
        <v>682.61999999999989</v>
      </c>
      <c r="K110" s="8">
        <f t="shared" si="9"/>
        <v>0.15002637362637361</v>
      </c>
    </row>
    <row r="111" spans="1:11" x14ac:dyDescent="0.3">
      <c r="A111" s="5" t="s">
        <v>43</v>
      </c>
      <c r="B111" s="6">
        <v>40228</v>
      </c>
      <c r="C111" s="5">
        <f t="shared" si="8"/>
        <v>8</v>
      </c>
      <c r="D111" s="5">
        <f t="shared" si="5"/>
        <v>2</v>
      </c>
      <c r="E111" s="5">
        <f t="shared" si="6"/>
        <v>2010</v>
      </c>
      <c r="F111" s="5" t="s">
        <v>19</v>
      </c>
      <c r="G111" s="5" t="s">
        <v>5</v>
      </c>
      <c r="H111" s="7">
        <v>250739.52</v>
      </c>
      <c r="I111" s="7">
        <v>272928.93</v>
      </c>
      <c r="J111" s="7">
        <f t="shared" si="7"/>
        <v>22189.410000000003</v>
      </c>
      <c r="K111" s="8">
        <f t="shared" si="9"/>
        <v>8.8495862160061584E-2</v>
      </c>
    </row>
    <row r="112" spans="1:11" x14ac:dyDescent="0.3">
      <c r="A112" s="5" t="s">
        <v>43</v>
      </c>
      <c r="B112" s="6">
        <v>40228</v>
      </c>
      <c r="C112" s="5">
        <f t="shared" si="8"/>
        <v>8</v>
      </c>
      <c r="D112" s="5">
        <f t="shared" si="5"/>
        <v>2</v>
      </c>
      <c r="E112" s="5">
        <f t="shared" si="6"/>
        <v>2010</v>
      </c>
      <c r="F112" s="5" t="s">
        <v>5</v>
      </c>
      <c r="G112" s="5" t="s">
        <v>5</v>
      </c>
      <c r="H112" s="7">
        <v>745928.41</v>
      </c>
      <c r="I112" s="7">
        <v>800276.61</v>
      </c>
      <c r="J112" s="7">
        <f t="shared" si="7"/>
        <v>54348.199999999953</v>
      </c>
      <c r="K112" s="8">
        <f t="shared" si="9"/>
        <v>7.2859807015528411E-2</v>
      </c>
    </row>
    <row r="113" spans="1:11" x14ac:dyDescent="0.3">
      <c r="A113" s="5" t="s">
        <v>43</v>
      </c>
      <c r="B113" s="6">
        <v>40228</v>
      </c>
      <c r="C113" s="5">
        <f t="shared" si="8"/>
        <v>8</v>
      </c>
      <c r="D113" s="5">
        <f t="shared" si="5"/>
        <v>2</v>
      </c>
      <c r="E113" s="5">
        <f t="shared" si="6"/>
        <v>2010</v>
      </c>
      <c r="F113" s="5" t="s">
        <v>20</v>
      </c>
      <c r="G113" s="5" t="s">
        <v>5</v>
      </c>
      <c r="H113" s="7">
        <v>175935.22</v>
      </c>
      <c r="I113" s="7">
        <v>192630.43</v>
      </c>
      <c r="J113" s="7">
        <f t="shared" si="7"/>
        <v>16695.209999999992</v>
      </c>
      <c r="K113" s="8">
        <f t="shared" si="9"/>
        <v>9.4894075217003118E-2</v>
      </c>
    </row>
    <row r="114" spans="1:11" x14ac:dyDescent="0.3">
      <c r="A114" s="5" t="s">
        <v>43</v>
      </c>
      <c r="B114" s="6">
        <v>40228</v>
      </c>
      <c r="C114" s="5">
        <f t="shared" si="8"/>
        <v>8</v>
      </c>
      <c r="D114" s="5">
        <f t="shared" si="5"/>
        <v>2</v>
      </c>
      <c r="E114" s="5">
        <f t="shared" si="6"/>
        <v>2010</v>
      </c>
      <c r="F114" s="5" t="s">
        <v>21</v>
      </c>
      <c r="G114" s="5" t="s">
        <v>5</v>
      </c>
      <c r="H114" s="7">
        <v>372338.91</v>
      </c>
      <c r="I114" s="7">
        <v>395971.19</v>
      </c>
      <c r="J114" s="7">
        <f t="shared" si="7"/>
        <v>23632.280000000028</v>
      </c>
      <c r="K114" s="8">
        <f t="shared" si="9"/>
        <v>6.3469810340262389E-2</v>
      </c>
    </row>
    <row r="115" spans="1:11" x14ac:dyDescent="0.3">
      <c r="A115" s="5" t="s">
        <v>43</v>
      </c>
      <c r="B115" s="6">
        <v>40228</v>
      </c>
      <c r="C115" s="5">
        <f t="shared" si="8"/>
        <v>8</v>
      </c>
      <c r="D115" s="5">
        <f t="shared" si="5"/>
        <v>2</v>
      </c>
      <c r="E115" s="5">
        <f t="shared" si="6"/>
        <v>2010</v>
      </c>
      <c r="F115" s="5" t="s">
        <v>22</v>
      </c>
      <c r="G115" s="5" t="s">
        <v>8</v>
      </c>
      <c r="H115" s="7">
        <v>946750.28</v>
      </c>
      <c r="I115" s="7">
        <v>1014530.87</v>
      </c>
      <c r="J115" s="7">
        <f t="shared" si="7"/>
        <v>67780.589999999967</v>
      </c>
      <c r="K115" s="8">
        <f t="shared" si="9"/>
        <v>7.1592891422223789E-2</v>
      </c>
    </row>
    <row r="116" spans="1:11" x14ac:dyDescent="0.3">
      <c r="A116" s="5" t="s">
        <v>43</v>
      </c>
      <c r="B116" s="6">
        <v>40228</v>
      </c>
      <c r="C116" s="5">
        <f t="shared" si="8"/>
        <v>8</v>
      </c>
      <c r="D116" s="5">
        <f t="shared" si="5"/>
        <v>2</v>
      </c>
      <c r="E116" s="5">
        <f t="shared" si="6"/>
        <v>2010</v>
      </c>
      <c r="F116" s="5" t="s">
        <v>23</v>
      </c>
      <c r="G116" s="5" t="s">
        <v>8</v>
      </c>
      <c r="H116" s="7">
        <v>238323.69</v>
      </c>
      <c r="I116" s="7">
        <v>249772.27</v>
      </c>
      <c r="J116" s="7">
        <f t="shared" si="7"/>
        <v>11448.579999999987</v>
      </c>
      <c r="K116" s="8">
        <f t="shared" si="9"/>
        <v>4.8037943689106133E-2</v>
      </c>
    </row>
    <row r="117" spans="1:11" x14ac:dyDescent="0.3">
      <c r="A117" s="5" t="s">
        <v>43</v>
      </c>
      <c r="B117" s="6">
        <v>40228</v>
      </c>
      <c r="C117" s="5">
        <f t="shared" si="8"/>
        <v>8</v>
      </c>
      <c r="D117" s="5">
        <f t="shared" si="5"/>
        <v>2</v>
      </c>
      <c r="E117" s="5">
        <f t="shared" si="6"/>
        <v>2010</v>
      </c>
      <c r="F117" s="5" t="s">
        <v>24</v>
      </c>
      <c r="G117" s="5" t="s">
        <v>8</v>
      </c>
      <c r="H117" s="7">
        <v>277017.25</v>
      </c>
      <c r="I117" s="7">
        <v>291314.71000000002</v>
      </c>
      <c r="J117" s="7">
        <f t="shared" si="7"/>
        <v>14297.460000000021</v>
      </c>
      <c r="K117" s="8">
        <f t="shared" si="9"/>
        <v>5.1612164946406844E-2</v>
      </c>
    </row>
    <row r="118" spans="1:11" x14ac:dyDescent="0.3">
      <c r="A118" s="5" t="s">
        <v>43</v>
      </c>
      <c r="B118" s="6">
        <v>40228</v>
      </c>
      <c r="C118" s="5">
        <f t="shared" si="8"/>
        <v>8</v>
      </c>
      <c r="D118" s="5">
        <f t="shared" si="5"/>
        <v>2</v>
      </c>
      <c r="E118" s="5">
        <f t="shared" si="6"/>
        <v>2010</v>
      </c>
      <c r="F118" s="5" t="s">
        <v>25</v>
      </c>
      <c r="G118" s="5" t="s">
        <v>8</v>
      </c>
      <c r="H118" s="7">
        <v>16249.6</v>
      </c>
      <c r="I118" s="7">
        <v>16566.43</v>
      </c>
      <c r="J118" s="7">
        <f t="shared" si="7"/>
        <v>316.82999999999993</v>
      </c>
      <c r="K118" s="8">
        <f t="shared" si="9"/>
        <v>1.949771071287908E-2</v>
      </c>
    </row>
    <row r="119" spans="1:11" x14ac:dyDescent="0.3">
      <c r="A119" s="5" t="s">
        <v>43</v>
      </c>
      <c r="B119" s="6">
        <v>40228</v>
      </c>
      <c r="C119" s="5">
        <f t="shared" si="8"/>
        <v>8</v>
      </c>
      <c r="D119" s="5">
        <f t="shared" si="5"/>
        <v>2</v>
      </c>
      <c r="E119" s="5">
        <f t="shared" si="6"/>
        <v>2010</v>
      </c>
      <c r="F119" s="5" t="s">
        <v>26</v>
      </c>
      <c r="G119" s="5" t="s">
        <v>10</v>
      </c>
      <c r="H119" s="7">
        <v>9675</v>
      </c>
      <c r="I119" s="7">
        <v>10857.68</v>
      </c>
      <c r="J119" s="7">
        <f t="shared" si="7"/>
        <v>1182.6800000000003</v>
      </c>
      <c r="K119" s="8">
        <f t="shared" si="9"/>
        <v>0.12224082687338504</v>
      </c>
    </row>
    <row r="120" spans="1:11" x14ac:dyDescent="0.3">
      <c r="A120" s="5" t="s">
        <v>43</v>
      </c>
      <c r="B120" s="6">
        <v>40228</v>
      </c>
      <c r="C120" s="5">
        <f t="shared" si="8"/>
        <v>8</v>
      </c>
      <c r="D120" s="5">
        <f t="shared" si="5"/>
        <v>2</v>
      </c>
      <c r="E120" s="5">
        <f t="shared" si="6"/>
        <v>2010</v>
      </c>
      <c r="F120" s="5" t="s">
        <v>27</v>
      </c>
      <c r="G120" s="5" t="s">
        <v>10</v>
      </c>
      <c r="H120" s="7">
        <v>303395.88</v>
      </c>
      <c r="I120" s="7">
        <v>332939.28000000003</v>
      </c>
      <c r="J120" s="7">
        <f t="shared" si="7"/>
        <v>29543.400000000023</v>
      </c>
      <c r="K120" s="8">
        <f t="shared" si="9"/>
        <v>9.7375745511112485E-2</v>
      </c>
    </row>
    <row r="121" spans="1:11" x14ac:dyDescent="0.3">
      <c r="A121" s="5" t="s">
        <v>43</v>
      </c>
      <c r="B121" s="6">
        <v>40228</v>
      </c>
      <c r="C121" s="5">
        <f t="shared" si="8"/>
        <v>8</v>
      </c>
      <c r="D121" s="5">
        <f t="shared" si="5"/>
        <v>2</v>
      </c>
      <c r="E121" s="5">
        <f t="shared" si="6"/>
        <v>2010</v>
      </c>
      <c r="F121" s="5" t="s">
        <v>28</v>
      </c>
      <c r="G121" s="5" t="s">
        <v>10</v>
      </c>
      <c r="H121" s="7">
        <v>156748.41</v>
      </c>
      <c r="I121" s="7">
        <v>169281.96</v>
      </c>
      <c r="J121" s="7">
        <f t="shared" si="7"/>
        <v>12533.549999999988</v>
      </c>
      <c r="K121" s="8">
        <f t="shared" si="9"/>
        <v>7.9959662748732119E-2</v>
      </c>
    </row>
    <row r="122" spans="1:11" x14ac:dyDescent="0.3">
      <c r="A122" s="5" t="s">
        <v>43</v>
      </c>
      <c r="B122" s="6">
        <v>40228</v>
      </c>
      <c r="C122" s="5">
        <f t="shared" si="8"/>
        <v>8</v>
      </c>
      <c r="D122" s="5">
        <f t="shared" si="5"/>
        <v>2</v>
      </c>
      <c r="E122" s="5">
        <f t="shared" si="6"/>
        <v>2010</v>
      </c>
      <c r="F122" s="5" t="s">
        <v>29</v>
      </c>
      <c r="G122" s="5" t="s">
        <v>10</v>
      </c>
      <c r="H122" s="7">
        <v>904585.96</v>
      </c>
      <c r="I122" s="7">
        <v>986962.97</v>
      </c>
      <c r="J122" s="7">
        <f t="shared" si="7"/>
        <v>82377.010000000009</v>
      </c>
      <c r="K122" s="8">
        <f t="shared" si="9"/>
        <v>9.1065983380949234E-2</v>
      </c>
    </row>
    <row r="123" spans="1:11" x14ac:dyDescent="0.3">
      <c r="A123" s="5" t="s">
        <v>43</v>
      </c>
      <c r="B123" s="6">
        <v>40228</v>
      </c>
      <c r="C123" s="5">
        <f t="shared" si="8"/>
        <v>8</v>
      </c>
      <c r="D123" s="5">
        <f t="shared" si="5"/>
        <v>2</v>
      </c>
      <c r="E123" s="5">
        <f t="shared" si="6"/>
        <v>2010</v>
      </c>
      <c r="F123" s="5" t="s">
        <v>30</v>
      </c>
      <c r="G123" s="5" t="s">
        <v>10</v>
      </c>
      <c r="H123" s="7">
        <v>155647.66</v>
      </c>
      <c r="I123" s="7">
        <v>176268.2</v>
      </c>
      <c r="J123" s="7">
        <f t="shared" si="7"/>
        <v>20620.540000000008</v>
      </c>
      <c r="K123" s="8">
        <f t="shared" si="9"/>
        <v>0.13248217159191475</v>
      </c>
    </row>
    <row r="124" spans="1:11" x14ac:dyDescent="0.3">
      <c r="A124" s="5" t="s">
        <v>43</v>
      </c>
      <c r="B124" s="6">
        <v>40228</v>
      </c>
      <c r="C124" s="5">
        <f t="shared" si="8"/>
        <v>8</v>
      </c>
      <c r="D124" s="5">
        <f t="shared" si="5"/>
        <v>2</v>
      </c>
      <c r="E124" s="5">
        <f t="shared" si="6"/>
        <v>2010</v>
      </c>
      <c r="F124" s="5" t="s">
        <v>9</v>
      </c>
      <c r="G124" s="5" t="s">
        <v>9</v>
      </c>
      <c r="H124" s="7">
        <v>1241720.55</v>
      </c>
      <c r="I124" s="7">
        <v>1466299.85</v>
      </c>
      <c r="J124" s="7">
        <f t="shared" si="7"/>
        <v>224579.30000000005</v>
      </c>
      <c r="K124" s="8">
        <f t="shared" si="9"/>
        <v>0.18086138624346682</v>
      </c>
    </row>
    <row r="125" spans="1:11" x14ac:dyDescent="0.3">
      <c r="A125" s="5" t="s">
        <v>43</v>
      </c>
      <c r="B125" s="6">
        <v>40228</v>
      </c>
      <c r="C125" s="5">
        <f t="shared" si="8"/>
        <v>8</v>
      </c>
      <c r="D125" s="5">
        <f t="shared" si="5"/>
        <v>2</v>
      </c>
      <c r="E125" s="5">
        <f t="shared" si="6"/>
        <v>2010</v>
      </c>
      <c r="F125" s="5" t="s">
        <v>31</v>
      </c>
      <c r="G125" s="5" t="s">
        <v>7</v>
      </c>
      <c r="H125" s="7">
        <v>12188.16</v>
      </c>
      <c r="I125" s="7">
        <v>26819.9</v>
      </c>
      <c r="J125" s="7">
        <f t="shared" si="7"/>
        <v>14631.740000000002</v>
      </c>
      <c r="K125" s="8">
        <f t="shared" si="9"/>
        <v>1.2004880145977737</v>
      </c>
    </row>
    <row r="126" spans="1:11" x14ac:dyDescent="0.3">
      <c r="A126" s="5" t="s">
        <v>43</v>
      </c>
      <c r="B126" s="6">
        <v>40228</v>
      </c>
      <c r="C126" s="5">
        <f t="shared" si="8"/>
        <v>8</v>
      </c>
      <c r="D126" s="5">
        <f t="shared" si="5"/>
        <v>2</v>
      </c>
      <c r="E126" s="5">
        <f t="shared" si="6"/>
        <v>2010</v>
      </c>
      <c r="F126" s="5" t="s">
        <v>32</v>
      </c>
      <c r="G126" s="5" t="s">
        <v>7</v>
      </c>
      <c r="H126" s="7">
        <v>8478.31</v>
      </c>
      <c r="I126" s="7">
        <v>9372.7800000000007</v>
      </c>
      <c r="J126" s="7">
        <f t="shared" si="7"/>
        <v>894.47000000000116</v>
      </c>
      <c r="K126" s="8">
        <f t="shared" si="9"/>
        <v>0.10550097837894595</v>
      </c>
    </row>
    <row r="127" spans="1:11" x14ac:dyDescent="0.3">
      <c r="A127" s="5" t="s">
        <v>43</v>
      </c>
      <c r="B127" s="6">
        <v>40228</v>
      </c>
      <c r="C127" s="5">
        <f t="shared" si="8"/>
        <v>8</v>
      </c>
      <c r="D127" s="5">
        <f t="shared" si="5"/>
        <v>2</v>
      </c>
      <c r="E127" s="5">
        <f t="shared" si="6"/>
        <v>2010</v>
      </c>
      <c r="F127" s="5" t="s">
        <v>33</v>
      </c>
      <c r="G127" s="5" t="s">
        <v>7</v>
      </c>
      <c r="H127" s="7">
        <v>239982.77</v>
      </c>
      <c r="I127" s="7">
        <v>474449.18</v>
      </c>
      <c r="J127" s="7">
        <f t="shared" si="7"/>
        <v>234466.41</v>
      </c>
      <c r="K127" s="8">
        <f t="shared" si="9"/>
        <v>0.97701351642870038</v>
      </c>
    </row>
    <row r="128" spans="1:11" x14ac:dyDescent="0.3">
      <c r="A128" s="5" t="s">
        <v>43</v>
      </c>
      <c r="B128" s="6">
        <v>40228</v>
      </c>
      <c r="C128" s="5">
        <f t="shared" si="8"/>
        <v>8</v>
      </c>
      <c r="D128" s="5">
        <f t="shared" si="5"/>
        <v>2</v>
      </c>
      <c r="E128" s="5">
        <f t="shared" si="6"/>
        <v>2010</v>
      </c>
      <c r="F128" s="5" t="s">
        <v>34</v>
      </c>
      <c r="G128" s="5" t="s">
        <v>7</v>
      </c>
      <c r="H128" s="7">
        <v>247</v>
      </c>
      <c r="I128" s="7">
        <v>766.83</v>
      </c>
      <c r="J128" s="7">
        <f t="shared" si="7"/>
        <v>519.83000000000004</v>
      </c>
      <c r="K128" s="8">
        <f t="shared" si="9"/>
        <v>2.1045748987854251</v>
      </c>
    </row>
    <row r="129" spans="1:11" x14ac:dyDescent="0.3">
      <c r="A129" s="5" t="s">
        <v>43</v>
      </c>
      <c r="B129" s="6">
        <v>40228</v>
      </c>
      <c r="C129" s="5">
        <f t="shared" si="8"/>
        <v>8</v>
      </c>
      <c r="D129" s="5">
        <f t="shared" si="5"/>
        <v>2</v>
      </c>
      <c r="E129" s="5">
        <f t="shared" si="6"/>
        <v>2010</v>
      </c>
      <c r="F129" s="5" t="s">
        <v>35</v>
      </c>
      <c r="G129" s="5" t="s">
        <v>11</v>
      </c>
      <c r="H129" s="7">
        <v>1437.44</v>
      </c>
      <c r="I129" s="7">
        <v>1867.13</v>
      </c>
      <c r="J129" s="7">
        <f t="shared" si="7"/>
        <v>429.69000000000005</v>
      </c>
      <c r="K129" s="8">
        <f t="shared" si="9"/>
        <v>0.29892725957257349</v>
      </c>
    </row>
    <row r="130" spans="1:11" x14ac:dyDescent="0.3">
      <c r="A130" s="5" t="s">
        <v>43</v>
      </c>
      <c r="B130" s="6">
        <v>40228</v>
      </c>
      <c r="C130" s="5">
        <f t="shared" si="8"/>
        <v>8</v>
      </c>
      <c r="D130" s="5">
        <f t="shared" ref="D130:D193" si="10">MONTH(B130)</f>
        <v>2</v>
      </c>
      <c r="E130" s="5">
        <f t="shared" ref="E130:E193" si="11">YEAR(B130)</f>
        <v>2010</v>
      </c>
      <c r="F130" s="5" t="s">
        <v>36</v>
      </c>
      <c r="G130" s="5" t="s">
        <v>11</v>
      </c>
      <c r="H130" s="7">
        <v>228994.39</v>
      </c>
      <c r="I130" s="7">
        <v>249300.83</v>
      </c>
      <c r="J130" s="7">
        <f t="shared" ref="J130:J193" si="12">I130-H130</f>
        <v>20306.439999999973</v>
      </c>
      <c r="K130" s="8">
        <f t="shared" si="9"/>
        <v>8.8676582863012374E-2</v>
      </c>
    </row>
    <row r="131" spans="1:11" x14ac:dyDescent="0.3">
      <c r="A131" s="5" t="s">
        <v>43</v>
      </c>
      <c r="B131" s="6">
        <v>40228</v>
      </c>
      <c r="C131" s="5">
        <f t="shared" ref="C131:C194" si="13">WEEKNUM(B131,1)</f>
        <v>8</v>
      </c>
      <c r="D131" s="5">
        <f t="shared" si="10"/>
        <v>2</v>
      </c>
      <c r="E131" s="5">
        <f t="shared" si="11"/>
        <v>2010</v>
      </c>
      <c r="F131" s="5" t="s">
        <v>37</v>
      </c>
      <c r="G131" s="5" t="s">
        <v>11</v>
      </c>
      <c r="H131" s="7">
        <v>596715.32999999996</v>
      </c>
      <c r="I131" s="7">
        <v>639358.88</v>
      </c>
      <c r="J131" s="7">
        <f t="shared" si="12"/>
        <v>42643.550000000047</v>
      </c>
      <c r="K131" s="8">
        <f t="shared" ref="K131:K194" si="14">(I131-H131)/H131</f>
        <v>7.1463808379114466E-2</v>
      </c>
    </row>
    <row r="132" spans="1:11" x14ac:dyDescent="0.3">
      <c r="A132" s="5" t="s">
        <v>43</v>
      </c>
      <c r="B132" s="6">
        <v>40228</v>
      </c>
      <c r="C132" s="5">
        <f t="shared" si="13"/>
        <v>8</v>
      </c>
      <c r="D132" s="5">
        <f t="shared" si="10"/>
        <v>2</v>
      </c>
      <c r="E132" s="5">
        <f t="shared" si="11"/>
        <v>2010</v>
      </c>
      <c r="F132" s="5" t="s">
        <v>38</v>
      </c>
      <c r="G132" s="5" t="s">
        <v>11</v>
      </c>
      <c r="H132" s="7">
        <v>447875.21</v>
      </c>
      <c r="I132" s="7">
        <v>475710.64</v>
      </c>
      <c r="J132" s="7">
        <f t="shared" si="12"/>
        <v>27835.429999999993</v>
      </c>
      <c r="K132" s="8">
        <f t="shared" si="14"/>
        <v>6.2149968068114313E-2</v>
      </c>
    </row>
    <row r="133" spans="1:11" x14ac:dyDescent="0.3">
      <c r="A133" s="5" t="s">
        <v>43</v>
      </c>
      <c r="B133" s="6">
        <v>40229</v>
      </c>
      <c r="C133" s="5">
        <f t="shared" si="13"/>
        <v>8</v>
      </c>
      <c r="D133" s="5">
        <f t="shared" si="10"/>
        <v>2</v>
      </c>
      <c r="E133" s="5">
        <f t="shared" si="11"/>
        <v>2010</v>
      </c>
      <c r="F133" s="5" t="s">
        <v>14</v>
      </c>
      <c r="G133" s="5" t="s">
        <v>6</v>
      </c>
      <c r="H133" s="7">
        <v>17343</v>
      </c>
      <c r="I133" s="7">
        <v>20457.13</v>
      </c>
      <c r="J133" s="7">
        <f t="shared" si="12"/>
        <v>3114.130000000001</v>
      </c>
      <c r="K133" s="8">
        <f t="shared" si="14"/>
        <v>0.17956120625036043</v>
      </c>
    </row>
    <row r="134" spans="1:11" x14ac:dyDescent="0.3">
      <c r="A134" s="5" t="s">
        <v>43</v>
      </c>
      <c r="B134" s="6">
        <v>40229</v>
      </c>
      <c r="C134" s="5">
        <f t="shared" si="13"/>
        <v>8</v>
      </c>
      <c r="D134" s="5">
        <f t="shared" si="10"/>
        <v>2</v>
      </c>
      <c r="E134" s="5">
        <f t="shared" si="11"/>
        <v>2010</v>
      </c>
      <c r="F134" s="5" t="s">
        <v>15</v>
      </c>
      <c r="G134" s="5" t="s">
        <v>6</v>
      </c>
      <c r="H134" s="7">
        <v>553352.85</v>
      </c>
      <c r="I134" s="7">
        <v>659189.61</v>
      </c>
      <c r="J134" s="7">
        <f t="shared" si="12"/>
        <v>105836.76000000001</v>
      </c>
      <c r="K134" s="8">
        <f t="shared" si="14"/>
        <v>0.1912645069054944</v>
      </c>
    </row>
    <row r="135" spans="1:11" x14ac:dyDescent="0.3">
      <c r="A135" s="5" t="s">
        <v>43</v>
      </c>
      <c r="B135" s="6">
        <v>40229</v>
      </c>
      <c r="C135" s="5">
        <f t="shared" si="13"/>
        <v>8</v>
      </c>
      <c r="D135" s="5">
        <f t="shared" si="10"/>
        <v>2</v>
      </c>
      <c r="E135" s="5">
        <f t="shared" si="11"/>
        <v>2010</v>
      </c>
      <c r="F135" s="5" t="s">
        <v>16</v>
      </c>
      <c r="G135" s="5" t="s">
        <v>6</v>
      </c>
      <c r="H135" s="7">
        <v>187334.15</v>
      </c>
      <c r="I135" s="7">
        <v>208164.29</v>
      </c>
      <c r="J135" s="7">
        <f t="shared" si="12"/>
        <v>20830.140000000014</v>
      </c>
      <c r="K135" s="8">
        <f t="shared" si="14"/>
        <v>0.111192433413769</v>
      </c>
    </row>
    <row r="136" spans="1:11" x14ac:dyDescent="0.3">
      <c r="A136" s="5" t="s">
        <v>43</v>
      </c>
      <c r="B136" s="6">
        <v>40229</v>
      </c>
      <c r="C136" s="5">
        <f t="shared" si="13"/>
        <v>8</v>
      </c>
      <c r="D136" s="5">
        <f t="shared" si="10"/>
        <v>2</v>
      </c>
      <c r="E136" s="5">
        <f t="shared" si="11"/>
        <v>2010</v>
      </c>
      <c r="F136" s="5" t="s">
        <v>17</v>
      </c>
      <c r="G136" s="5" t="s">
        <v>6</v>
      </c>
      <c r="H136" s="7">
        <v>12141</v>
      </c>
      <c r="I136" s="7">
        <v>13668.66</v>
      </c>
      <c r="J136" s="7">
        <f t="shared" si="12"/>
        <v>1527.6599999999999</v>
      </c>
      <c r="K136" s="8">
        <f t="shared" si="14"/>
        <v>0.12582653817642697</v>
      </c>
    </row>
    <row r="137" spans="1:11" x14ac:dyDescent="0.3">
      <c r="A137" s="5" t="s">
        <v>43</v>
      </c>
      <c r="B137" s="6">
        <v>40229</v>
      </c>
      <c r="C137" s="5">
        <f t="shared" si="13"/>
        <v>8</v>
      </c>
      <c r="D137" s="5">
        <f t="shared" si="10"/>
        <v>2</v>
      </c>
      <c r="E137" s="5">
        <f t="shared" si="11"/>
        <v>2010</v>
      </c>
      <c r="F137" s="5" t="s">
        <v>18</v>
      </c>
      <c r="G137" s="5" t="s">
        <v>6</v>
      </c>
      <c r="H137" s="7">
        <v>176</v>
      </c>
      <c r="I137" s="7">
        <v>179.49</v>
      </c>
      <c r="J137" s="7">
        <f t="shared" si="12"/>
        <v>3.4900000000000091</v>
      </c>
      <c r="K137" s="8">
        <f t="shared" si="14"/>
        <v>1.9829545454545506E-2</v>
      </c>
    </row>
    <row r="138" spans="1:11" x14ac:dyDescent="0.3">
      <c r="A138" s="5" t="s">
        <v>43</v>
      </c>
      <c r="B138" s="6">
        <v>40229</v>
      </c>
      <c r="C138" s="5">
        <f t="shared" si="13"/>
        <v>8</v>
      </c>
      <c r="D138" s="5">
        <f t="shared" si="10"/>
        <v>2</v>
      </c>
      <c r="E138" s="5">
        <f t="shared" si="11"/>
        <v>2010</v>
      </c>
      <c r="F138" s="5" t="s">
        <v>19</v>
      </c>
      <c r="G138" s="5" t="s">
        <v>5</v>
      </c>
      <c r="H138" s="7">
        <v>259594.01</v>
      </c>
      <c r="I138" s="7">
        <v>286743.53999999998</v>
      </c>
      <c r="J138" s="7">
        <f t="shared" si="12"/>
        <v>27149.52999999997</v>
      </c>
      <c r="K138" s="8">
        <f t="shared" si="14"/>
        <v>0.10458457804939324</v>
      </c>
    </row>
    <row r="139" spans="1:11" x14ac:dyDescent="0.3">
      <c r="A139" s="5" t="s">
        <v>43</v>
      </c>
      <c r="B139" s="6">
        <v>40229</v>
      </c>
      <c r="C139" s="5">
        <f t="shared" si="13"/>
        <v>8</v>
      </c>
      <c r="D139" s="5">
        <f t="shared" si="10"/>
        <v>2</v>
      </c>
      <c r="E139" s="5">
        <f t="shared" si="11"/>
        <v>2010</v>
      </c>
      <c r="F139" s="5" t="s">
        <v>5</v>
      </c>
      <c r="G139" s="5" t="s">
        <v>5</v>
      </c>
      <c r="H139" s="7">
        <v>1048995.3899999999</v>
      </c>
      <c r="I139" s="7">
        <v>1119846.1000000001</v>
      </c>
      <c r="J139" s="7">
        <f t="shared" si="12"/>
        <v>70850.710000000196</v>
      </c>
      <c r="K139" s="8">
        <f t="shared" si="14"/>
        <v>6.7541488433042779E-2</v>
      </c>
    </row>
    <row r="140" spans="1:11" x14ac:dyDescent="0.3">
      <c r="A140" s="5" t="s">
        <v>43</v>
      </c>
      <c r="B140" s="6">
        <v>40229</v>
      </c>
      <c r="C140" s="5">
        <f t="shared" si="13"/>
        <v>8</v>
      </c>
      <c r="D140" s="5">
        <f t="shared" si="10"/>
        <v>2</v>
      </c>
      <c r="E140" s="5">
        <f t="shared" si="11"/>
        <v>2010</v>
      </c>
      <c r="F140" s="5" t="s">
        <v>20</v>
      </c>
      <c r="G140" s="5" t="s">
        <v>5</v>
      </c>
      <c r="H140" s="7">
        <v>237267.79</v>
      </c>
      <c r="I140" s="7">
        <v>259471.56</v>
      </c>
      <c r="J140" s="7">
        <f t="shared" si="12"/>
        <v>22203.76999999999</v>
      </c>
      <c r="K140" s="8">
        <f t="shared" si="14"/>
        <v>9.3581054554433996E-2</v>
      </c>
    </row>
    <row r="141" spans="1:11" x14ac:dyDescent="0.3">
      <c r="A141" s="5" t="s">
        <v>43</v>
      </c>
      <c r="B141" s="6">
        <v>40229</v>
      </c>
      <c r="C141" s="5">
        <f t="shared" si="13"/>
        <v>8</v>
      </c>
      <c r="D141" s="5">
        <f t="shared" si="10"/>
        <v>2</v>
      </c>
      <c r="E141" s="5">
        <f t="shared" si="11"/>
        <v>2010</v>
      </c>
      <c r="F141" s="5" t="s">
        <v>21</v>
      </c>
      <c r="G141" s="5" t="s">
        <v>5</v>
      </c>
      <c r="H141" s="7">
        <v>474253.91</v>
      </c>
      <c r="I141" s="7">
        <v>504438.91</v>
      </c>
      <c r="J141" s="7">
        <f t="shared" si="12"/>
        <v>30185</v>
      </c>
      <c r="K141" s="8">
        <f t="shared" si="14"/>
        <v>6.3647340303425226E-2</v>
      </c>
    </row>
    <row r="142" spans="1:11" x14ac:dyDescent="0.3">
      <c r="A142" s="5" t="s">
        <v>43</v>
      </c>
      <c r="B142" s="6">
        <v>40229</v>
      </c>
      <c r="C142" s="5">
        <f t="shared" si="13"/>
        <v>8</v>
      </c>
      <c r="D142" s="5">
        <f t="shared" si="10"/>
        <v>2</v>
      </c>
      <c r="E142" s="5">
        <f t="shared" si="11"/>
        <v>2010</v>
      </c>
      <c r="F142" s="5" t="s">
        <v>22</v>
      </c>
      <c r="G142" s="5" t="s">
        <v>8</v>
      </c>
      <c r="H142" s="7">
        <v>895284.99</v>
      </c>
      <c r="I142" s="7">
        <v>957496.01</v>
      </c>
      <c r="J142" s="7">
        <f t="shared" si="12"/>
        <v>62211.020000000019</v>
      </c>
      <c r="K142" s="8">
        <f t="shared" si="14"/>
        <v>6.9487393059052646E-2</v>
      </c>
    </row>
    <row r="143" spans="1:11" x14ac:dyDescent="0.3">
      <c r="A143" s="5" t="s">
        <v>43</v>
      </c>
      <c r="B143" s="6">
        <v>40229</v>
      </c>
      <c r="C143" s="5">
        <f t="shared" si="13"/>
        <v>8</v>
      </c>
      <c r="D143" s="5">
        <f t="shared" si="10"/>
        <v>2</v>
      </c>
      <c r="E143" s="5">
        <f t="shared" si="11"/>
        <v>2010</v>
      </c>
      <c r="F143" s="5" t="s">
        <v>23</v>
      </c>
      <c r="G143" s="5" t="s">
        <v>8</v>
      </c>
      <c r="H143" s="7">
        <v>290216.53999999998</v>
      </c>
      <c r="I143" s="7">
        <v>304920.25</v>
      </c>
      <c r="J143" s="7">
        <f t="shared" si="12"/>
        <v>14703.710000000021</v>
      </c>
      <c r="K143" s="8">
        <f t="shared" si="14"/>
        <v>5.0664617530069178E-2</v>
      </c>
    </row>
    <row r="144" spans="1:11" x14ac:dyDescent="0.3">
      <c r="A144" s="5" t="s">
        <v>43</v>
      </c>
      <c r="B144" s="6">
        <v>40229</v>
      </c>
      <c r="C144" s="5">
        <f t="shared" si="13"/>
        <v>8</v>
      </c>
      <c r="D144" s="5">
        <f t="shared" si="10"/>
        <v>2</v>
      </c>
      <c r="E144" s="5">
        <f t="shared" si="11"/>
        <v>2010</v>
      </c>
      <c r="F144" s="5" t="s">
        <v>24</v>
      </c>
      <c r="G144" s="5" t="s">
        <v>8</v>
      </c>
      <c r="H144" s="7">
        <v>308782.5</v>
      </c>
      <c r="I144" s="7">
        <v>329397.58</v>
      </c>
      <c r="J144" s="7">
        <f t="shared" si="12"/>
        <v>20615.080000000016</v>
      </c>
      <c r="K144" s="8">
        <f t="shared" si="14"/>
        <v>6.6762462250937196E-2</v>
      </c>
    </row>
    <row r="145" spans="1:11" x14ac:dyDescent="0.3">
      <c r="A145" s="5" t="s">
        <v>43</v>
      </c>
      <c r="B145" s="6">
        <v>40229</v>
      </c>
      <c r="C145" s="5">
        <f t="shared" si="13"/>
        <v>8</v>
      </c>
      <c r="D145" s="5">
        <f t="shared" si="10"/>
        <v>2</v>
      </c>
      <c r="E145" s="5">
        <f t="shared" si="11"/>
        <v>2010</v>
      </c>
      <c r="F145" s="5" t="s">
        <v>25</v>
      </c>
      <c r="G145" s="5" t="s">
        <v>8</v>
      </c>
      <c r="H145" s="7">
        <v>21282.799999999999</v>
      </c>
      <c r="I145" s="7">
        <v>22054.3</v>
      </c>
      <c r="J145" s="7">
        <f t="shared" si="12"/>
        <v>771.5</v>
      </c>
      <c r="K145" s="8">
        <f t="shared" si="14"/>
        <v>3.624992952055181E-2</v>
      </c>
    </row>
    <row r="146" spans="1:11" x14ac:dyDescent="0.3">
      <c r="A146" s="5" t="s">
        <v>43</v>
      </c>
      <c r="B146" s="6">
        <v>40229</v>
      </c>
      <c r="C146" s="5">
        <f t="shared" si="13"/>
        <v>8</v>
      </c>
      <c r="D146" s="5">
        <f t="shared" si="10"/>
        <v>2</v>
      </c>
      <c r="E146" s="5">
        <f t="shared" si="11"/>
        <v>2010</v>
      </c>
      <c r="F146" s="5" t="s">
        <v>26</v>
      </c>
      <c r="G146" s="5" t="s">
        <v>10</v>
      </c>
      <c r="H146" s="7">
        <v>30788</v>
      </c>
      <c r="I146" s="7">
        <v>33678.629999999997</v>
      </c>
      <c r="J146" s="7">
        <f t="shared" si="12"/>
        <v>2890.6299999999974</v>
      </c>
      <c r="K146" s="8">
        <f t="shared" si="14"/>
        <v>9.3888203196050318E-2</v>
      </c>
    </row>
    <row r="147" spans="1:11" x14ac:dyDescent="0.3">
      <c r="A147" s="5" t="s">
        <v>43</v>
      </c>
      <c r="B147" s="6">
        <v>40229</v>
      </c>
      <c r="C147" s="5">
        <f t="shared" si="13"/>
        <v>8</v>
      </c>
      <c r="D147" s="5">
        <f t="shared" si="10"/>
        <v>2</v>
      </c>
      <c r="E147" s="5">
        <f t="shared" si="11"/>
        <v>2010</v>
      </c>
      <c r="F147" s="5" t="s">
        <v>27</v>
      </c>
      <c r="G147" s="5" t="s">
        <v>10</v>
      </c>
      <c r="H147" s="7">
        <v>368217.84</v>
      </c>
      <c r="I147" s="7">
        <v>420899.44</v>
      </c>
      <c r="J147" s="7">
        <f t="shared" si="12"/>
        <v>52681.599999999977</v>
      </c>
      <c r="K147" s="8">
        <f t="shared" si="14"/>
        <v>0.1430718294366182</v>
      </c>
    </row>
    <row r="148" spans="1:11" x14ac:dyDescent="0.3">
      <c r="A148" s="5" t="s">
        <v>43</v>
      </c>
      <c r="B148" s="6">
        <v>40229</v>
      </c>
      <c r="C148" s="5">
        <f t="shared" si="13"/>
        <v>8</v>
      </c>
      <c r="D148" s="5">
        <f t="shared" si="10"/>
        <v>2</v>
      </c>
      <c r="E148" s="5">
        <f t="shared" si="11"/>
        <v>2010</v>
      </c>
      <c r="F148" s="5" t="s">
        <v>28</v>
      </c>
      <c r="G148" s="5" t="s">
        <v>10</v>
      </c>
      <c r="H148" s="7">
        <v>196499.23</v>
      </c>
      <c r="I148" s="7">
        <v>218939.1</v>
      </c>
      <c r="J148" s="7">
        <f t="shared" si="12"/>
        <v>22439.869999999995</v>
      </c>
      <c r="K148" s="8">
        <f t="shared" si="14"/>
        <v>0.11419825919928538</v>
      </c>
    </row>
    <row r="149" spans="1:11" x14ac:dyDescent="0.3">
      <c r="A149" s="5" t="s">
        <v>43</v>
      </c>
      <c r="B149" s="6">
        <v>40229</v>
      </c>
      <c r="C149" s="5">
        <f t="shared" si="13"/>
        <v>8</v>
      </c>
      <c r="D149" s="5">
        <f t="shared" si="10"/>
        <v>2</v>
      </c>
      <c r="E149" s="5">
        <f t="shared" si="11"/>
        <v>2010</v>
      </c>
      <c r="F149" s="5" t="s">
        <v>29</v>
      </c>
      <c r="G149" s="5" t="s">
        <v>10</v>
      </c>
      <c r="H149" s="7">
        <v>1110807.0900000001</v>
      </c>
      <c r="I149" s="7">
        <v>1212976.03</v>
      </c>
      <c r="J149" s="7">
        <f t="shared" si="12"/>
        <v>102168.93999999994</v>
      </c>
      <c r="K149" s="8">
        <f t="shared" si="14"/>
        <v>9.1977212712965245E-2</v>
      </c>
    </row>
    <row r="150" spans="1:11" x14ac:dyDescent="0.3">
      <c r="A150" s="5" t="s">
        <v>43</v>
      </c>
      <c r="B150" s="6">
        <v>40229</v>
      </c>
      <c r="C150" s="5">
        <f t="shared" si="13"/>
        <v>8</v>
      </c>
      <c r="D150" s="5">
        <f t="shared" si="10"/>
        <v>2</v>
      </c>
      <c r="E150" s="5">
        <f t="shared" si="11"/>
        <v>2010</v>
      </c>
      <c r="F150" s="5" t="s">
        <v>30</v>
      </c>
      <c r="G150" s="5" t="s">
        <v>10</v>
      </c>
      <c r="H150" s="7">
        <v>186971.36</v>
      </c>
      <c r="I150" s="7">
        <v>210417.91</v>
      </c>
      <c r="J150" s="7">
        <f t="shared" si="12"/>
        <v>23446.550000000017</v>
      </c>
      <c r="K150" s="8">
        <f t="shared" si="14"/>
        <v>0.12540182624761365</v>
      </c>
    </row>
    <row r="151" spans="1:11" x14ac:dyDescent="0.3">
      <c r="A151" s="5" t="s">
        <v>43</v>
      </c>
      <c r="B151" s="6">
        <v>40229</v>
      </c>
      <c r="C151" s="5">
        <f t="shared" si="13"/>
        <v>8</v>
      </c>
      <c r="D151" s="5">
        <f t="shared" si="10"/>
        <v>2</v>
      </c>
      <c r="E151" s="5">
        <f t="shared" si="11"/>
        <v>2010</v>
      </c>
      <c r="F151" s="5" t="s">
        <v>9</v>
      </c>
      <c r="G151" s="5" t="s">
        <v>9</v>
      </c>
      <c r="H151" s="7">
        <v>1383643.01</v>
      </c>
      <c r="I151" s="7">
        <v>1660848.09</v>
      </c>
      <c r="J151" s="7">
        <f t="shared" si="12"/>
        <v>277205.08000000007</v>
      </c>
      <c r="K151" s="8">
        <f t="shared" si="14"/>
        <v>0.20034436483728565</v>
      </c>
    </row>
    <row r="152" spans="1:11" x14ac:dyDescent="0.3">
      <c r="A152" s="5" t="s">
        <v>43</v>
      </c>
      <c r="B152" s="6">
        <v>40229</v>
      </c>
      <c r="C152" s="5">
        <f t="shared" si="13"/>
        <v>8</v>
      </c>
      <c r="D152" s="5">
        <f t="shared" si="10"/>
        <v>2</v>
      </c>
      <c r="E152" s="5">
        <f t="shared" si="11"/>
        <v>2010</v>
      </c>
      <c r="F152" s="5" t="s">
        <v>31</v>
      </c>
      <c r="G152" s="5" t="s">
        <v>7</v>
      </c>
      <c r="H152" s="7">
        <v>18600.900000000001</v>
      </c>
      <c r="I152" s="7">
        <v>40696.050000000003</v>
      </c>
      <c r="J152" s="7">
        <f t="shared" si="12"/>
        <v>22095.15</v>
      </c>
      <c r="K152" s="8">
        <f t="shared" si="14"/>
        <v>1.187853813525152</v>
      </c>
    </row>
    <row r="153" spans="1:11" x14ac:dyDescent="0.3">
      <c r="A153" s="5" t="s">
        <v>43</v>
      </c>
      <c r="B153" s="6">
        <v>40229</v>
      </c>
      <c r="C153" s="5">
        <f t="shared" si="13"/>
        <v>8</v>
      </c>
      <c r="D153" s="5">
        <f t="shared" si="10"/>
        <v>2</v>
      </c>
      <c r="E153" s="5">
        <f t="shared" si="11"/>
        <v>2010</v>
      </c>
      <c r="F153" s="5" t="s">
        <v>32</v>
      </c>
      <c r="G153" s="5" t="s">
        <v>7</v>
      </c>
      <c r="H153" s="7">
        <v>21411.75</v>
      </c>
      <c r="I153" s="7">
        <v>23799.13</v>
      </c>
      <c r="J153" s="7">
        <f t="shared" si="12"/>
        <v>2387.380000000001</v>
      </c>
      <c r="K153" s="8">
        <f t="shared" si="14"/>
        <v>0.11149859306222056</v>
      </c>
    </row>
    <row r="154" spans="1:11" x14ac:dyDescent="0.3">
      <c r="A154" s="5" t="s">
        <v>43</v>
      </c>
      <c r="B154" s="6">
        <v>40229</v>
      </c>
      <c r="C154" s="5">
        <f t="shared" si="13"/>
        <v>8</v>
      </c>
      <c r="D154" s="5">
        <f t="shared" si="10"/>
        <v>2</v>
      </c>
      <c r="E154" s="5">
        <f t="shared" si="11"/>
        <v>2010</v>
      </c>
      <c r="F154" s="5" t="s">
        <v>33</v>
      </c>
      <c r="G154" s="5" t="s">
        <v>7</v>
      </c>
      <c r="H154" s="7">
        <v>274278.21999999997</v>
      </c>
      <c r="I154" s="7">
        <v>560166.14</v>
      </c>
      <c r="J154" s="7">
        <f t="shared" si="12"/>
        <v>285887.92000000004</v>
      </c>
      <c r="K154" s="8">
        <f t="shared" si="14"/>
        <v>1.0423281877795476</v>
      </c>
    </row>
    <row r="155" spans="1:11" x14ac:dyDescent="0.3">
      <c r="A155" s="5" t="s">
        <v>43</v>
      </c>
      <c r="B155" s="6">
        <v>40229</v>
      </c>
      <c r="C155" s="5">
        <f t="shared" si="13"/>
        <v>8</v>
      </c>
      <c r="D155" s="5">
        <f t="shared" si="10"/>
        <v>2</v>
      </c>
      <c r="E155" s="5">
        <f t="shared" si="11"/>
        <v>2010</v>
      </c>
      <c r="F155" s="5" t="s">
        <v>34</v>
      </c>
      <c r="G155" s="5" t="s">
        <v>7</v>
      </c>
      <c r="H155" s="7">
        <v>76</v>
      </c>
      <c r="I155" s="7">
        <v>235.98</v>
      </c>
      <c r="J155" s="7">
        <f t="shared" si="12"/>
        <v>159.97999999999999</v>
      </c>
      <c r="K155" s="8">
        <f t="shared" si="14"/>
        <v>2.105</v>
      </c>
    </row>
    <row r="156" spans="1:11" x14ac:dyDescent="0.3">
      <c r="A156" s="5" t="s">
        <v>43</v>
      </c>
      <c r="B156" s="6">
        <v>40229</v>
      </c>
      <c r="C156" s="5">
        <f t="shared" si="13"/>
        <v>8</v>
      </c>
      <c r="D156" s="5">
        <f t="shared" si="10"/>
        <v>2</v>
      </c>
      <c r="E156" s="5">
        <f t="shared" si="11"/>
        <v>2010</v>
      </c>
      <c r="F156" s="5" t="s">
        <v>35</v>
      </c>
      <c r="G156" s="5" t="s">
        <v>11</v>
      </c>
      <c r="H156" s="7">
        <v>3181.12</v>
      </c>
      <c r="I156" s="7">
        <v>3949.21</v>
      </c>
      <c r="J156" s="7">
        <f t="shared" si="12"/>
        <v>768.09000000000015</v>
      </c>
      <c r="K156" s="8">
        <f t="shared" si="14"/>
        <v>0.24145269590584453</v>
      </c>
    </row>
    <row r="157" spans="1:11" x14ac:dyDescent="0.3">
      <c r="A157" s="5" t="s">
        <v>43</v>
      </c>
      <c r="B157" s="6">
        <v>40229</v>
      </c>
      <c r="C157" s="5">
        <f t="shared" si="13"/>
        <v>8</v>
      </c>
      <c r="D157" s="5">
        <f t="shared" si="10"/>
        <v>2</v>
      </c>
      <c r="E157" s="5">
        <f t="shared" si="11"/>
        <v>2010</v>
      </c>
      <c r="F157" s="5" t="s">
        <v>36</v>
      </c>
      <c r="G157" s="5" t="s">
        <v>11</v>
      </c>
      <c r="H157" s="7">
        <v>320100.44</v>
      </c>
      <c r="I157" s="7">
        <v>349718.4</v>
      </c>
      <c r="J157" s="7">
        <f t="shared" si="12"/>
        <v>29617.960000000021</v>
      </c>
      <c r="K157" s="8">
        <f t="shared" si="14"/>
        <v>9.2527083061804044E-2</v>
      </c>
    </row>
    <row r="158" spans="1:11" x14ac:dyDescent="0.3">
      <c r="A158" s="5" t="s">
        <v>43</v>
      </c>
      <c r="B158" s="6">
        <v>40229</v>
      </c>
      <c r="C158" s="5">
        <f t="shared" si="13"/>
        <v>8</v>
      </c>
      <c r="D158" s="5">
        <f t="shared" si="10"/>
        <v>2</v>
      </c>
      <c r="E158" s="5">
        <f t="shared" si="11"/>
        <v>2010</v>
      </c>
      <c r="F158" s="5" t="s">
        <v>37</v>
      </c>
      <c r="G158" s="5" t="s">
        <v>11</v>
      </c>
      <c r="H158" s="7">
        <v>691964.79</v>
      </c>
      <c r="I158" s="7">
        <v>745299.03</v>
      </c>
      <c r="J158" s="7">
        <f t="shared" si="12"/>
        <v>53334.239999999991</v>
      </c>
      <c r="K158" s="8">
        <f t="shared" si="14"/>
        <v>7.707652292539334E-2</v>
      </c>
    </row>
    <row r="159" spans="1:11" x14ac:dyDescent="0.3">
      <c r="A159" s="5" t="s">
        <v>43</v>
      </c>
      <c r="B159" s="6">
        <v>40229</v>
      </c>
      <c r="C159" s="5">
        <f t="shared" si="13"/>
        <v>8</v>
      </c>
      <c r="D159" s="5">
        <f t="shared" si="10"/>
        <v>2</v>
      </c>
      <c r="E159" s="5">
        <f t="shared" si="11"/>
        <v>2010</v>
      </c>
      <c r="F159" s="5" t="s">
        <v>38</v>
      </c>
      <c r="G159" s="5" t="s">
        <v>11</v>
      </c>
      <c r="H159" s="7">
        <v>650148.07999999996</v>
      </c>
      <c r="I159" s="7">
        <v>691065.01</v>
      </c>
      <c r="J159" s="7">
        <f t="shared" si="12"/>
        <v>40916.930000000051</v>
      </c>
      <c r="K159" s="8">
        <f t="shared" si="14"/>
        <v>6.2934785564544085E-2</v>
      </c>
    </row>
    <row r="160" spans="1:11" x14ac:dyDescent="0.3">
      <c r="A160" s="5" t="s">
        <v>43</v>
      </c>
      <c r="B160" s="6">
        <v>40230</v>
      </c>
      <c r="C160" s="5">
        <f t="shared" si="13"/>
        <v>9</v>
      </c>
      <c r="D160" s="5">
        <f t="shared" si="10"/>
        <v>2</v>
      </c>
      <c r="E160" s="5">
        <f t="shared" si="11"/>
        <v>2010</v>
      </c>
      <c r="F160" s="5" t="s">
        <v>14</v>
      </c>
      <c r="G160" s="5" t="s">
        <v>6</v>
      </c>
      <c r="H160" s="7">
        <v>15420</v>
      </c>
      <c r="I160" s="7">
        <v>18148.28</v>
      </c>
      <c r="J160" s="7">
        <f t="shared" si="12"/>
        <v>2728.2799999999988</v>
      </c>
      <c r="K160" s="8">
        <f t="shared" si="14"/>
        <v>0.17693125810635529</v>
      </c>
    </row>
    <row r="161" spans="1:11" x14ac:dyDescent="0.3">
      <c r="A161" s="5" t="s">
        <v>43</v>
      </c>
      <c r="B161" s="6">
        <v>40230</v>
      </c>
      <c r="C161" s="5">
        <f t="shared" si="13"/>
        <v>9</v>
      </c>
      <c r="D161" s="5">
        <f t="shared" si="10"/>
        <v>2</v>
      </c>
      <c r="E161" s="5">
        <f t="shared" si="11"/>
        <v>2010</v>
      </c>
      <c r="F161" s="5" t="s">
        <v>15</v>
      </c>
      <c r="G161" s="5" t="s">
        <v>6</v>
      </c>
      <c r="H161" s="7">
        <v>322703.37</v>
      </c>
      <c r="I161" s="7">
        <v>401832.68</v>
      </c>
      <c r="J161" s="7">
        <f t="shared" si="12"/>
        <v>79129.31</v>
      </c>
      <c r="K161" s="8">
        <f t="shared" si="14"/>
        <v>0.24520757251465952</v>
      </c>
    </row>
    <row r="162" spans="1:11" x14ac:dyDescent="0.3">
      <c r="A162" s="5" t="s">
        <v>43</v>
      </c>
      <c r="B162" s="6">
        <v>40230</v>
      </c>
      <c r="C162" s="5">
        <f t="shared" si="13"/>
        <v>9</v>
      </c>
      <c r="D162" s="5">
        <f t="shared" si="10"/>
        <v>2</v>
      </c>
      <c r="E162" s="5">
        <f t="shared" si="11"/>
        <v>2010</v>
      </c>
      <c r="F162" s="5" t="s">
        <v>16</v>
      </c>
      <c r="G162" s="5" t="s">
        <v>6</v>
      </c>
      <c r="H162" s="7">
        <v>120249.21</v>
      </c>
      <c r="I162" s="7">
        <v>133538.71</v>
      </c>
      <c r="J162" s="7">
        <f t="shared" si="12"/>
        <v>13289.499999999985</v>
      </c>
      <c r="K162" s="8">
        <f t="shared" si="14"/>
        <v>0.11051631856874557</v>
      </c>
    </row>
    <row r="163" spans="1:11" x14ac:dyDescent="0.3">
      <c r="A163" s="5" t="s">
        <v>43</v>
      </c>
      <c r="B163" s="6">
        <v>40230</v>
      </c>
      <c r="C163" s="5">
        <f t="shared" si="13"/>
        <v>9</v>
      </c>
      <c r="D163" s="5">
        <f t="shared" si="10"/>
        <v>2</v>
      </c>
      <c r="E163" s="5">
        <f t="shared" si="11"/>
        <v>2010</v>
      </c>
      <c r="F163" s="5" t="s">
        <v>17</v>
      </c>
      <c r="G163" s="5" t="s">
        <v>6</v>
      </c>
      <c r="H163" s="7">
        <v>3186</v>
      </c>
      <c r="I163" s="7">
        <v>3512.27</v>
      </c>
      <c r="J163" s="7">
        <f t="shared" si="12"/>
        <v>326.27</v>
      </c>
      <c r="K163" s="8">
        <f t="shared" si="14"/>
        <v>0.10240740740740741</v>
      </c>
    </row>
    <row r="164" spans="1:11" x14ac:dyDescent="0.3">
      <c r="A164" s="5" t="s">
        <v>43</v>
      </c>
      <c r="B164" s="6">
        <v>40230</v>
      </c>
      <c r="C164" s="5">
        <f t="shared" si="13"/>
        <v>9</v>
      </c>
      <c r="D164" s="5">
        <f t="shared" si="10"/>
        <v>2</v>
      </c>
      <c r="E164" s="5">
        <f t="shared" si="11"/>
        <v>2010</v>
      </c>
      <c r="F164" s="5" t="s">
        <v>19</v>
      </c>
      <c r="G164" s="5" t="s">
        <v>5</v>
      </c>
      <c r="H164" s="7">
        <v>272594.28999999998</v>
      </c>
      <c r="I164" s="7">
        <v>298384.02</v>
      </c>
      <c r="J164" s="7">
        <f t="shared" si="12"/>
        <v>25789.73000000004</v>
      </c>
      <c r="K164" s="8">
        <f t="shared" si="14"/>
        <v>9.4608474740978776E-2</v>
      </c>
    </row>
    <row r="165" spans="1:11" x14ac:dyDescent="0.3">
      <c r="A165" s="5" t="s">
        <v>43</v>
      </c>
      <c r="B165" s="6">
        <v>40230</v>
      </c>
      <c r="C165" s="5">
        <f t="shared" si="13"/>
        <v>9</v>
      </c>
      <c r="D165" s="5">
        <f t="shared" si="10"/>
        <v>2</v>
      </c>
      <c r="E165" s="5">
        <f t="shared" si="11"/>
        <v>2010</v>
      </c>
      <c r="F165" s="5" t="s">
        <v>5</v>
      </c>
      <c r="G165" s="5" t="s">
        <v>5</v>
      </c>
      <c r="H165" s="7">
        <v>859080.94</v>
      </c>
      <c r="I165" s="7">
        <v>921341.07</v>
      </c>
      <c r="J165" s="7">
        <f t="shared" si="12"/>
        <v>62260.130000000005</v>
      </c>
      <c r="K165" s="8">
        <f t="shared" si="14"/>
        <v>7.2472949987692672E-2</v>
      </c>
    </row>
    <row r="166" spans="1:11" x14ac:dyDescent="0.3">
      <c r="A166" s="5" t="s">
        <v>43</v>
      </c>
      <c r="B166" s="6">
        <v>40230</v>
      </c>
      <c r="C166" s="5">
        <f t="shared" si="13"/>
        <v>9</v>
      </c>
      <c r="D166" s="5">
        <f t="shared" si="10"/>
        <v>2</v>
      </c>
      <c r="E166" s="5">
        <f t="shared" si="11"/>
        <v>2010</v>
      </c>
      <c r="F166" s="5" t="s">
        <v>20</v>
      </c>
      <c r="G166" s="5" t="s">
        <v>5</v>
      </c>
      <c r="H166" s="7">
        <v>168928.99</v>
      </c>
      <c r="I166" s="7">
        <v>184276.36</v>
      </c>
      <c r="J166" s="7">
        <f t="shared" si="12"/>
        <v>15347.369999999995</v>
      </c>
      <c r="K166" s="8">
        <f t="shared" si="14"/>
        <v>9.0851013789877019E-2</v>
      </c>
    </row>
    <row r="167" spans="1:11" x14ac:dyDescent="0.3">
      <c r="A167" s="5" t="s">
        <v>43</v>
      </c>
      <c r="B167" s="6">
        <v>40230</v>
      </c>
      <c r="C167" s="5">
        <f t="shared" si="13"/>
        <v>9</v>
      </c>
      <c r="D167" s="5">
        <f t="shared" si="10"/>
        <v>2</v>
      </c>
      <c r="E167" s="5">
        <f t="shared" si="11"/>
        <v>2010</v>
      </c>
      <c r="F167" s="5" t="s">
        <v>21</v>
      </c>
      <c r="G167" s="5" t="s">
        <v>5</v>
      </c>
      <c r="H167" s="7">
        <v>415616.13</v>
      </c>
      <c r="I167" s="7">
        <v>440941.96</v>
      </c>
      <c r="J167" s="7">
        <f t="shared" si="12"/>
        <v>25325.830000000016</v>
      </c>
      <c r="K167" s="8">
        <f t="shared" si="14"/>
        <v>6.093562826832543E-2</v>
      </c>
    </row>
    <row r="168" spans="1:11" x14ac:dyDescent="0.3">
      <c r="A168" s="5" t="s">
        <v>43</v>
      </c>
      <c r="B168" s="6">
        <v>40230</v>
      </c>
      <c r="C168" s="5">
        <f t="shared" si="13"/>
        <v>9</v>
      </c>
      <c r="D168" s="5">
        <f t="shared" si="10"/>
        <v>2</v>
      </c>
      <c r="E168" s="5">
        <f t="shared" si="11"/>
        <v>2010</v>
      </c>
      <c r="F168" s="5" t="s">
        <v>22</v>
      </c>
      <c r="G168" s="5" t="s">
        <v>8</v>
      </c>
      <c r="H168" s="7">
        <v>571208.71</v>
      </c>
      <c r="I168" s="7">
        <v>614066.48</v>
      </c>
      <c r="J168" s="7">
        <f t="shared" si="12"/>
        <v>42857.770000000019</v>
      </c>
      <c r="K168" s="8">
        <f t="shared" si="14"/>
        <v>7.5029965842082519E-2</v>
      </c>
    </row>
    <row r="169" spans="1:11" x14ac:dyDescent="0.3">
      <c r="A169" s="5" t="s">
        <v>43</v>
      </c>
      <c r="B169" s="6">
        <v>40230</v>
      </c>
      <c r="C169" s="5">
        <f t="shared" si="13"/>
        <v>9</v>
      </c>
      <c r="D169" s="5">
        <f t="shared" si="10"/>
        <v>2</v>
      </c>
      <c r="E169" s="5">
        <f t="shared" si="11"/>
        <v>2010</v>
      </c>
      <c r="F169" s="5" t="s">
        <v>23</v>
      </c>
      <c r="G169" s="5" t="s">
        <v>8</v>
      </c>
      <c r="H169" s="7">
        <v>232243.01</v>
      </c>
      <c r="I169" s="7">
        <v>245838.75</v>
      </c>
      <c r="J169" s="7">
        <f t="shared" si="12"/>
        <v>13595.739999999991</v>
      </c>
      <c r="K169" s="8">
        <f t="shared" si="14"/>
        <v>5.8541008403223807E-2</v>
      </c>
    </row>
    <row r="170" spans="1:11" x14ac:dyDescent="0.3">
      <c r="A170" s="5" t="s">
        <v>43</v>
      </c>
      <c r="B170" s="6">
        <v>40230</v>
      </c>
      <c r="C170" s="5">
        <f t="shared" si="13"/>
        <v>9</v>
      </c>
      <c r="D170" s="5">
        <f t="shared" si="10"/>
        <v>2</v>
      </c>
      <c r="E170" s="5">
        <f t="shared" si="11"/>
        <v>2010</v>
      </c>
      <c r="F170" s="5" t="s">
        <v>24</v>
      </c>
      <c r="G170" s="5" t="s">
        <v>8</v>
      </c>
      <c r="H170" s="7">
        <v>253457</v>
      </c>
      <c r="I170" s="7">
        <v>270578.56</v>
      </c>
      <c r="J170" s="7">
        <f t="shared" si="12"/>
        <v>17121.559999999998</v>
      </c>
      <c r="K170" s="8">
        <f t="shared" si="14"/>
        <v>6.7552129158003127E-2</v>
      </c>
    </row>
    <row r="171" spans="1:11" x14ac:dyDescent="0.3">
      <c r="A171" s="5" t="s">
        <v>43</v>
      </c>
      <c r="B171" s="6">
        <v>40230</v>
      </c>
      <c r="C171" s="5">
        <f t="shared" si="13"/>
        <v>9</v>
      </c>
      <c r="D171" s="5">
        <f t="shared" si="10"/>
        <v>2</v>
      </c>
      <c r="E171" s="5">
        <f t="shared" si="11"/>
        <v>2010</v>
      </c>
      <c r="F171" s="5" t="s">
        <v>25</v>
      </c>
      <c r="G171" s="5" t="s">
        <v>8</v>
      </c>
      <c r="H171" s="7">
        <v>20477.2</v>
      </c>
      <c r="I171" s="7">
        <v>20980.639999999999</v>
      </c>
      <c r="J171" s="7">
        <f t="shared" si="12"/>
        <v>503.43999999999869</v>
      </c>
      <c r="K171" s="8">
        <f t="shared" si="14"/>
        <v>2.4585392534135463E-2</v>
      </c>
    </row>
    <row r="172" spans="1:11" x14ac:dyDescent="0.3">
      <c r="A172" s="5" t="s">
        <v>43</v>
      </c>
      <c r="B172" s="6">
        <v>40230</v>
      </c>
      <c r="C172" s="5">
        <f t="shared" si="13"/>
        <v>9</v>
      </c>
      <c r="D172" s="5">
        <f t="shared" si="10"/>
        <v>2</v>
      </c>
      <c r="E172" s="5">
        <f t="shared" si="11"/>
        <v>2010</v>
      </c>
      <c r="F172" s="5" t="s">
        <v>26</v>
      </c>
      <c r="G172" s="5" t="s">
        <v>10</v>
      </c>
      <c r="H172" s="7">
        <v>17892</v>
      </c>
      <c r="I172" s="7">
        <v>20139.73</v>
      </c>
      <c r="J172" s="7">
        <f t="shared" si="12"/>
        <v>2247.7299999999996</v>
      </c>
      <c r="K172" s="8">
        <f t="shared" si="14"/>
        <v>0.12562765481779564</v>
      </c>
    </row>
    <row r="173" spans="1:11" x14ac:dyDescent="0.3">
      <c r="A173" s="5" t="s">
        <v>43</v>
      </c>
      <c r="B173" s="6">
        <v>40230</v>
      </c>
      <c r="C173" s="5">
        <f t="shared" si="13"/>
        <v>9</v>
      </c>
      <c r="D173" s="5">
        <f t="shared" si="10"/>
        <v>2</v>
      </c>
      <c r="E173" s="5">
        <f t="shared" si="11"/>
        <v>2010</v>
      </c>
      <c r="F173" s="5" t="s">
        <v>27</v>
      </c>
      <c r="G173" s="5" t="s">
        <v>10</v>
      </c>
      <c r="H173" s="7">
        <v>291470.21000000002</v>
      </c>
      <c r="I173" s="7">
        <v>331170.77</v>
      </c>
      <c r="J173" s="7">
        <f t="shared" si="12"/>
        <v>39700.559999999998</v>
      </c>
      <c r="K173" s="8">
        <f t="shared" si="14"/>
        <v>0.13620795071990374</v>
      </c>
    </row>
    <row r="174" spans="1:11" x14ac:dyDescent="0.3">
      <c r="A174" s="5" t="s">
        <v>43</v>
      </c>
      <c r="B174" s="6">
        <v>40230</v>
      </c>
      <c r="C174" s="5">
        <f t="shared" si="13"/>
        <v>9</v>
      </c>
      <c r="D174" s="5">
        <f t="shared" si="10"/>
        <v>2</v>
      </c>
      <c r="E174" s="5">
        <f t="shared" si="11"/>
        <v>2010</v>
      </c>
      <c r="F174" s="5" t="s">
        <v>28</v>
      </c>
      <c r="G174" s="5" t="s">
        <v>10</v>
      </c>
      <c r="H174" s="7">
        <v>140762.75</v>
      </c>
      <c r="I174" s="7">
        <v>157601.31</v>
      </c>
      <c r="J174" s="7">
        <f t="shared" si="12"/>
        <v>16838.559999999998</v>
      </c>
      <c r="K174" s="8">
        <f t="shared" si="14"/>
        <v>0.11962369305800005</v>
      </c>
    </row>
    <row r="175" spans="1:11" x14ac:dyDescent="0.3">
      <c r="A175" s="5" t="s">
        <v>43</v>
      </c>
      <c r="B175" s="6">
        <v>40230</v>
      </c>
      <c r="C175" s="5">
        <f t="shared" si="13"/>
        <v>9</v>
      </c>
      <c r="D175" s="5">
        <f t="shared" si="10"/>
        <v>2</v>
      </c>
      <c r="E175" s="5">
        <f t="shared" si="11"/>
        <v>2010</v>
      </c>
      <c r="F175" s="5" t="s">
        <v>29</v>
      </c>
      <c r="G175" s="5" t="s">
        <v>10</v>
      </c>
      <c r="H175" s="7">
        <v>950500.19</v>
      </c>
      <c r="I175" s="7">
        <v>1030339.73</v>
      </c>
      <c r="J175" s="7">
        <f t="shared" si="12"/>
        <v>79839.540000000037</v>
      </c>
      <c r="K175" s="8">
        <f t="shared" si="14"/>
        <v>8.3997395097837949E-2</v>
      </c>
    </row>
    <row r="176" spans="1:11" x14ac:dyDescent="0.3">
      <c r="A176" s="5" t="s">
        <v>43</v>
      </c>
      <c r="B176" s="6">
        <v>40230</v>
      </c>
      <c r="C176" s="5">
        <f t="shared" si="13"/>
        <v>9</v>
      </c>
      <c r="D176" s="5">
        <f t="shared" si="10"/>
        <v>2</v>
      </c>
      <c r="E176" s="5">
        <f t="shared" si="11"/>
        <v>2010</v>
      </c>
      <c r="F176" s="5" t="s">
        <v>30</v>
      </c>
      <c r="G176" s="5" t="s">
        <v>10</v>
      </c>
      <c r="H176" s="7">
        <v>137408.07999999999</v>
      </c>
      <c r="I176" s="7">
        <v>154529.57999999999</v>
      </c>
      <c r="J176" s="7">
        <f t="shared" si="12"/>
        <v>17121.5</v>
      </c>
      <c r="K176" s="8">
        <f t="shared" si="14"/>
        <v>0.12460329843776291</v>
      </c>
    </row>
    <row r="177" spans="1:11" x14ac:dyDescent="0.3">
      <c r="A177" s="5" t="s">
        <v>43</v>
      </c>
      <c r="B177" s="6">
        <v>40230</v>
      </c>
      <c r="C177" s="5">
        <f t="shared" si="13"/>
        <v>9</v>
      </c>
      <c r="D177" s="5">
        <f t="shared" si="10"/>
        <v>2</v>
      </c>
      <c r="E177" s="5">
        <f t="shared" si="11"/>
        <v>2010</v>
      </c>
      <c r="F177" s="5" t="s">
        <v>9</v>
      </c>
      <c r="G177" s="5" t="s">
        <v>9</v>
      </c>
      <c r="H177" s="7">
        <v>910731.55</v>
      </c>
      <c r="I177" s="7">
        <v>1100297.22</v>
      </c>
      <c r="J177" s="7">
        <f t="shared" si="12"/>
        <v>189565.66999999993</v>
      </c>
      <c r="K177" s="8">
        <f t="shared" si="14"/>
        <v>0.20814659380143349</v>
      </c>
    </row>
    <row r="178" spans="1:11" x14ac:dyDescent="0.3">
      <c r="A178" s="5" t="s">
        <v>43</v>
      </c>
      <c r="B178" s="6">
        <v>40230</v>
      </c>
      <c r="C178" s="5">
        <f t="shared" si="13"/>
        <v>9</v>
      </c>
      <c r="D178" s="5">
        <f t="shared" si="10"/>
        <v>2</v>
      </c>
      <c r="E178" s="5">
        <f t="shared" si="11"/>
        <v>2010</v>
      </c>
      <c r="F178" s="5" t="s">
        <v>31</v>
      </c>
      <c r="G178" s="5" t="s">
        <v>7</v>
      </c>
      <c r="H178" s="7">
        <v>9677.2000000000007</v>
      </c>
      <c r="I178" s="7">
        <v>21117.14</v>
      </c>
      <c r="J178" s="7">
        <f t="shared" si="12"/>
        <v>11439.939999999999</v>
      </c>
      <c r="K178" s="8">
        <f t="shared" si="14"/>
        <v>1.1821539288223863</v>
      </c>
    </row>
    <row r="179" spans="1:11" x14ac:dyDescent="0.3">
      <c r="A179" s="5" t="s">
        <v>43</v>
      </c>
      <c r="B179" s="6">
        <v>40230</v>
      </c>
      <c r="C179" s="5">
        <f t="shared" si="13"/>
        <v>9</v>
      </c>
      <c r="D179" s="5">
        <f t="shared" si="10"/>
        <v>2</v>
      </c>
      <c r="E179" s="5">
        <f t="shared" si="11"/>
        <v>2010</v>
      </c>
      <c r="F179" s="5" t="s">
        <v>32</v>
      </c>
      <c r="G179" s="5" t="s">
        <v>7</v>
      </c>
      <c r="H179" s="7">
        <v>16997.080000000002</v>
      </c>
      <c r="I179" s="7">
        <v>18909.29</v>
      </c>
      <c r="J179" s="7">
        <f t="shared" si="12"/>
        <v>1912.2099999999991</v>
      </c>
      <c r="K179" s="8">
        <f t="shared" si="14"/>
        <v>0.11250226509494565</v>
      </c>
    </row>
    <row r="180" spans="1:11" x14ac:dyDescent="0.3">
      <c r="A180" s="5" t="s">
        <v>43</v>
      </c>
      <c r="B180" s="6">
        <v>40230</v>
      </c>
      <c r="C180" s="5">
        <f t="shared" si="13"/>
        <v>9</v>
      </c>
      <c r="D180" s="5">
        <f t="shared" si="10"/>
        <v>2</v>
      </c>
      <c r="E180" s="5">
        <f t="shared" si="11"/>
        <v>2010</v>
      </c>
      <c r="F180" s="5" t="s">
        <v>33</v>
      </c>
      <c r="G180" s="5" t="s">
        <v>7</v>
      </c>
      <c r="H180" s="7">
        <v>225704.91</v>
      </c>
      <c r="I180" s="7">
        <v>447551.5</v>
      </c>
      <c r="J180" s="7">
        <f t="shared" si="12"/>
        <v>221846.59</v>
      </c>
      <c r="K180" s="8">
        <f t="shared" si="14"/>
        <v>0.98290546714291682</v>
      </c>
    </row>
    <row r="181" spans="1:11" x14ac:dyDescent="0.3">
      <c r="A181" s="5" t="s">
        <v>43</v>
      </c>
      <c r="B181" s="6">
        <v>40230</v>
      </c>
      <c r="C181" s="5">
        <f t="shared" si="13"/>
        <v>9</v>
      </c>
      <c r="D181" s="5">
        <f t="shared" si="10"/>
        <v>2</v>
      </c>
      <c r="E181" s="5">
        <f t="shared" si="11"/>
        <v>2010</v>
      </c>
      <c r="F181" s="5" t="s">
        <v>34</v>
      </c>
      <c r="G181" s="5" t="s">
        <v>7</v>
      </c>
      <c r="H181" s="7">
        <v>247</v>
      </c>
      <c r="I181" s="7">
        <v>766.81</v>
      </c>
      <c r="J181" s="7">
        <f t="shared" si="12"/>
        <v>519.80999999999995</v>
      </c>
      <c r="K181" s="8">
        <f t="shared" si="14"/>
        <v>2.1044939271255059</v>
      </c>
    </row>
    <row r="182" spans="1:11" x14ac:dyDescent="0.3">
      <c r="A182" s="5" t="s">
        <v>43</v>
      </c>
      <c r="B182" s="6">
        <v>40230</v>
      </c>
      <c r="C182" s="5">
        <f t="shared" si="13"/>
        <v>9</v>
      </c>
      <c r="D182" s="5">
        <f t="shared" si="10"/>
        <v>2</v>
      </c>
      <c r="E182" s="5">
        <f t="shared" si="11"/>
        <v>2010</v>
      </c>
      <c r="F182" s="5" t="s">
        <v>35</v>
      </c>
      <c r="G182" s="5" t="s">
        <v>11</v>
      </c>
      <c r="H182" s="7">
        <v>4100.92</v>
      </c>
      <c r="I182" s="7">
        <v>5253.1</v>
      </c>
      <c r="J182" s="7">
        <f t="shared" si="12"/>
        <v>1152.1800000000003</v>
      </c>
      <c r="K182" s="8">
        <f t="shared" si="14"/>
        <v>0.28095646830467319</v>
      </c>
    </row>
    <row r="183" spans="1:11" x14ac:dyDescent="0.3">
      <c r="A183" s="5" t="s">
        <v>43</v>
      </c>
      <c r="B183" s="6">
        <v>40230</v>
      </c>
      <c r="C183" s="5">
        <f t="shared" si="13"/>
        <v>9</v>
      </c>
      <c r="D183" s="5">
        <f t="shared" si="10"/>
        <v>2</v>
      </c>
      <c r="E183" s="5">
        <f t="shared" si="11"/>
        <v>2010</v>
      </c>
      <c r="F183" s="5" t="s">
        <v>36</v>
      </c>
      <c r="G183" s="5" t="s">
        <v>11</v>
      </c>
      <c r="H183" s="7">
        <v>283245.84000000003</v>
      </c>
      <c r="I183" s="7">
        <v>307792.11</v>
      </c>
      <c r="J183" s="7">
        <f t="shared" si="12"/>
        <v>24546.26999999996</v>
      </c>
      <c r="K183" s="8">
        <f t="shared" si="14"/>
        <v>8.6660654927888645E-2</v>
      </c>
    </row>
    <row r="184" spans="1:11" x14ac:dyDescent="0.3">
      <c r="A184" s="5" t="s">
        <v>43</v>
      </c>
      <c r="B184" s="6">
        <v>40230</v>
      </c>
      <c r="C184" s="5">
        <f t="shared" si="13"/>
        <v>9</v>
      </c>
      <c r="D184" s="5">
        <f t="shared" si="10"/>
        <v>2</v>
      </c>
      <c r="E184" s="5">
        <f t="shared" si="11"/>
        <v>2010</v>
      </c>
      <c r="F184" s="5" t="s">
        <v>37</v>
      </c>
      <c r="G184" s="5" t="s">
        <v>11</v>
      </c>
      <c r="H184" s="7">
        <v>634052.31999999995</v>
      </c>
      <c r="I184" s="7">
        <v>680485.49</v>
      </c>
      <c r="J184" s="7">
        <f t="shared" si="12"/>
        <v>46433.170000000042</v>
      </c>
      <c r="K184" s="8">
        <f t="shared" si="14"/>
        <v>7.3232395080582699E-2</v>
      </c>
    </row>
    <row r="185" spans="1:11" x14ac:dyDescent="0.3">
      <c r="A185" s="5" t="s">
        <v>43</v>
      </c>
      <c r="B185" s="6">
        <v>40230</v>
      </c>
      <c r="C185" s="5">
        <f t="shared" si="13"/>
        <v>9</v>
      </c>
      <c r="D185" s="5">
        <f t="shared" si="10"/>
        <v>2</v>
      </c>
      <c r="E185" s="5">
        <f t="shared" si="11"/>
        <v>2010</v>
      </c>
      <c r="F185" s="5" t="s">
        <v>38</v>
      </c>
      <c r="G185" s="5" t="s">
        <v>11</v>
      </c>
      <c r="H185" s="7">
        <v>479999.58</v>
      </c>
      <c r="I185" s="7">
        <v>511582.05</v>
      </c>
      <c r="J185" s="7">
        <f t="shared" si="12"/>
        <v>31582.469999999972</v>
      </c>
      <c r="K185" s="8">
        <f t="shared" si="14"/>
        <v>6.5796870072261246E-2</v>
      </c>
    </row>
    <row r="186" spans="1:11" x14ac:dyDescent="0.3">
      <c r="A186" s="5" t="s">
        <v>43</v>
      </c>
      <c r="B186" s="6">
        <v>40231</v>
      </c>
      <c r="C186" s="5">
        <f t="shared" si="13"/>
        <v>9</v>
      </c>
      <c r="D186" s="5">
        <f t="shared" si="10"/>
        <v>2</v>
      </c>
      <c r="E186" s="5">
        <f t="shared" si="11"/>
        <v>2010</v>
      </c>
      <c r="F186" s="5" t="s">
        <v>14</v>
      </c>
      <c r="G186" s="5" t="s">
        <v>6</v>
      </c>
      <c r="H186" s="7">
        <v>10522</v>
      </c>
      <c r="I186" s="7">
        <v>12496.95</v>
      </c>
      <c r="J186" s="7">
        <f t="shared" si="12"/>
        <v>1974.9500000000007</v>
      </c>
      <c r="K186" s="8">
        <f t="shared" si="14"/>
        <v>0.18769720585440036</v>
      </c>
    </row>
    <row r="187" spans="1:11" x14ac:dyDescent="0.3">
      <c r="A187" s="5" t="s">
        <v>43</v>
      </c>
      <c r="B187" s="6">
        <v>40231</v>
      </c>
      <c r="C187" s="5">
        <f t="shared" si="13"/>
        <v>9</v>
      </c>
      <c r="D187" s="5">
        <f t="shared" si="10"/>
        <v>2</v>
      </c>
      <c r="E187" s="5">
        <f t="shared" si="11"/>
        <v>2010</v>
      </c>
      <c r="F187" s="5" t="s">
        <v>15</v>
      </c>
      <c r="G187" s="5" t="s">
        <v>6</v>
      </c>
      <c r="H187" s="7">
        <v>392228.47</v>
      </c>
      <c r="I187" s="7">
        <v>508092.51</v>
      </c>
      <c r="J187" s="7">
        <f t="shared" si="12"/>
        <v>115864.04000000004</v>
      </c>
      <c r="K187" s="8">
        <f t="shared" si="14"/>
        <v>0.29539936251950311</v>
      </c>
    </row>
    <row r="188" spans="1:11" x14ac:dyDescent="0.3">
      <c r="A188" s="5" t="s">
        <v>43</v>
      </c>
      <c r="B188" s="6">
        <v>40231</v>
      </c>
      <c r="C188" s="5">
        <f t="shared" si="13"/>
        <v>9</v>
      </c>
      <c r="D188" s="5">
        <f t="shared" si="10"/>
        <v>2</v>
      </c>
      <c r="E188" s="5">
        <f t="shared" si="11"/>
        <v>2010</v>
      </c>
      <c r="F188" s="5" t="s">
        <v>16</v>
      </c>
      <c r="G188" s="5" t="s">
        <v>6</v>
      </c>
      <c r="H188" s="7">
        <v>111761.42</v>
      </c>
      <c r="I188" s="7">
        <v>122614.72</v>
      </c>
      <c r="J188" s="7">
        <f t="shared" si="12"/>
        <v>10853.300000000003</v>
      </c>
      <c r="K188" s="8">
        <f t="shared" si="14"/>
        <v>9.7111328757276016E-2</v>
      </c>
    </row>
    <row r="189" spans="1:11" x14ac:dyDescent="0.3">
      <c r="A189" s="5" t="s">
        <v>43</v>
      </c>
      <c r="B189" s="6">
        <v>40231</v>
      </c>
      <c r="C189" s="5">
        <f t="shared" si="13"/>
        <v>9</v>
      </c>
      <c r="D189" s="5">
        <f t="shared" si="10"/>
        <v>2</v>
      </c>
      <c r="E189" s="5">
        <f t="shared" si="11"/>
        <v>2010</v>
      </c>
      <c r="F189" s="5" t="s">
        <v>17</v>
      </c>
      <c r="G189" s="5" t="s">
        <v>6</v>
      </c>
      <c r="H189" s="7">
        <v>1612</v>
      </c>
      <c r="I189" s="7">
        <v>1798.33</v>
      </c>
      <c r="J189" s="7">
        <f t="shared" si="12"/>
        <v>186.32999999999993</v>
      </c>
      <c r="K189" s="8">
        <f t="shared" si="14"/>
        <v>0.11558933002481385</v>
      </c>
    </row>
    <row r="190" spans="1:11" x14ac:dyDescent="0.3">
      <c r="A190" s="5" t="s">
        <v>43</v>
      </c>
      <c r="B190" s="6">
        <v>40231</v>
      </c>
      <c r="C190" s="5">
        <f t="shared" si="13"/>
        <v>9</v>
      </c>
      <c r="D190" s="5">
        <f t="shared" si="10"/>
        <v>2</v>
      </c>
      <c r="E190" s="5">
        <f t="shared" si="11"/>
        <v>2010</v>
      </c>
      <c r="F190" s="5" t="s">
        <v>19</v>
      </c>
      <c r="G190" s="5" t="s">
        <v>5</v>
      </c>
      <c r="H190" s="7">
        <v>189069.35</v>
      </c>
      <c r="I190" s="7">
        <v>210023</v>
      </c>
      <c r="J190" s="7">
        <f t="shared" si="12"/>
        <v>20953.649999999994</v>
      </c>
      <c r="K190" s="8">
        <f t="shared" si="14"/>
        <v>0.11082520778751286</v>
      </c>
    </row>
    <row r="191" spans="1:11" x14ac:dyDescent="0.3">
      <c r="A191" s="5" t="s">
        <v>43</v>
      </c>
      <c r="B191" s="6">
        <v>40231</v>
      </c>
      <c r="C191" s="5">
        <f t="shared" si="13"/>
        <v>9</v>
      </c>
      <c r="D191" s="5">
        <f t="shared" si="10"/>
        <v>2</v>
      </c>
      <c r="E191" s="5">
        <f t="shared" si="11"/>
        <v>2010</v>
      </c>
      <c r="F191" s="5" t="s">
        <v>5</v>
      </c>
      <c r="G191" s="5" t="s">
        <v>5</v>
      </c>
      <c r="H191" s="7">
        <v>876524.68</v>
      </c>
      <c r="I191" s="7">
        <v>945557.54</v>
      </c>
      <c r="J191" s="7">
        <f t="shared" si="12"/>
        <v>69032.859999999986</v>
      </c>
      <c r="K191" s="8">
        <f t="shared" si="14"/>
        <v>7.8757462938750314E-2</v>
      </c>
    </row>
    <row r="192" spans="1:11" x14ac:dyDescent="0.3">
      <c r="A192" s="5" t="s">
        <v>43</v>
      </c>
      <c r="B192" s="6">
        <v>40231</v>
      </c>
      <c r="C192" s="5">
        <f t="shared" si="13"/>
        <v>9</v>
      </c>
      <c r="D192" s="5">
        <f t="shared" si="10"/>
        <v>2</v>
      </c>
      <c r="E192" s="5">
        <f t="shared" si="11"/>
        <v>2010</v>
      </c>
      <c r="F192" s="5" t="s">
        <v>20</v>
      </c>
      <c r="G192" s="5" t="s">
        <v>5</v>
      </c>
      <c r="H192" s="7">
        <v>149540.37</v>
      </c>
      <c r="I192" s="7">
        <v>164236.53</v>
      </c>
      <c r="J192" s="7">
        <f t="shared" si="12"/>
        <v>14696.160000000003</v>
      </c>
      <c r="K192" s="8">
        <f t="shared" si="14"/>
        <v>9.8275535897095909E-2</v>
      </c>
    </row>
    <row r="193" spans="1:11" x14ac:dyDescent="0.3">
      <c r="A193" s="5" t="s">
        <v>43</v>
      </c>
      <c r="B193" s="6">
        <v>40231</v>
      </c>
      <c r="C193" s="5">
        <f t="shared" si="13"/>
        <v>9</v>
      </c>
      <c r="D193" s="5">
        <f t="shared" si="10"/>
        <v>2</v>
      </c>
      <c r="E193" s="5">
        <f t="shared" si="11"/>
        <v>2010</v>
      </c>
      <c r="F193" s="5" t="s">
        <v>21</v>
      </c>
      <c r="G193" s="5" t="s">
        <v>5</v>
      </c>
      <c r="H193" s="7">
        <v>329764.09999999998</v>
      </c>
      <c r="I193" s="7">
        <v>354092.76</v>
      </c>
      <c r="J193" s="7">
        <f t="shared" si="12"/>
        <v>24328.660000000033</v>
      </c>
      <c r="K193" s="8">
        <f t="shared" si="14"/>
        <v>7.3775950747822561E-2</v>
      </c>
    </row>
    <row r="194" spans="1:11" x14ac:dyDescent="0.3">
      <c r="A194" s="5" t="s">
        <v>43</v>
      </c>
      <c r="B194" s="6">
        <v>40231</v>
      </c>
      <c r="C194" s="5">
        <f t="shared" si="13"/>
        <v>9</v>
      </c>
      <c r="D194" s="5">
        <f t="shared" ref="D194:D257" si="15">MONTH(B194)</f>
        <v>2</v>
      </c>
      <c r="E194" s="5">
        <f t="shared" ref="E194:E257" si="16">YEAR(B194)</f>
        <v>2010</v>
      </c>
      <c r="F194" s="5" t="s">
        <v>22</v>
      </c>
      <c r="G194" s="5" t="s">
        <v>8</v>
      </c>
      <c r="H194" s="7">
        <v>887055.34</v>
      </c>
      <c r="I194" s="7">
        <v>942093.14</v>
      </c>
      <c r="J194" s="7">
        <f t="shared" ref="J194:J257" si="17">I194-H194</f>
        <v>55037.800000000047</v>
      </c>
      <c r="K194" s="8">
        <f t="shared" si="14"/>
        <v>6.204550890815904E-2</v>
      </c>
    </row>
    <row r="195" spans="1:11" x14ac:dyDescent="0.3">
      <c r="A195" s="5" t="s">
        <v>43</v>
      </c>
      <c r="B195" s="6">
        <v>40231</v>
      </c>
      <c r="C195" s="5">
        <f t="shared" ref="C195:C258" si="18">WEEKNUM(B195,1)</f>
        <v>9</v>
      </c>
      <c r="D195" s="5">
        <f t="shared" si="15"/>
        <v>2</v>
      </c>
      <c r="E195" s="5">
        <f t="shared" si="16"/>
        <v>2010</v>
      </c>
      <c r="F195" s="5" t="s">
        <v>23</v>
      </c>
      <c r="G195" s="5" t="s">
        <v>8</v>
      </c>
      <c r="H195" s="7">
        <v>194078.29</v>
      </c>
      <c r="I195" s="7">
        <v>205201.58</v>
      </c>
      <c r="J195" s="7">
        <f t="shared" si="17"/>
        <v>11123.289999999979</v>
      </c>
      <c r="K195" s="8">
        <f t="shared" ref="K195:K258" si="19">(I195-H195)/H195</f>
        <v>5.7313417178191224E-2</v>
      </c>
    </row>
    <row r="196" spans="1:11" x14ac:dyDescent="0.3">
      <c r="A196" s="5" t="s">
        <v>43</v>
      </c>
      <c r="B196" s="6">
        <v>40231</v>
      </c>
      <c r="C196" s="5">
        <f t="shared" si="18"/>
        <v>9</v>
      </c>
      <c r="D196" s="5">
        <f t="shared" si="15"/>
        <v>2</v>
      </c>
      <c r="E196" s="5">
        <f t="shared" si="16"/>
        <v>2010</v>
      </c>
      <c r="F196" s="5" t="s">
        <v>24</v>
      </c>
      <c r="G196" s="5" t="s">
        <v>8</v>
      </c>
      <c r="H196" s="7">
        <v>206769</v>
      </c>
      <c r="I196" s="7">
        <v>219848.54</v>
      </c>
      <c r="J196" s="7">
        <f t="shared" si="17"/>
        <v>13079.540000000008</v>
      </c>
      <c r="K196" s="8">
        <f t="shared" si="19"/>
        <v>6.3256774468126303E-2</v>
      </c>
    </row>
    <row r="197" spans="1:11" x14ac:dyDescent="0.3">
      <c r="A197" s="5" t="s">
        <v>43</v>
      </c>
      <c r="B197" s="6">
        <v>40231</v>
      </c>
      <c r="C197" s="5">
        <f t="shared" si="18"/>
        <v>9</v>
      </c>
      <c r="D197" s="5">
        <f t="shared" si="15"/>
        <v>2</v>
      </c>
      <c r="E197" s="5">
        <f t="shared" si="16"/>
        <v>2010</v>
      </c>
      <c r="F197" s="5" t="s">
        <v>25</v>
      </c>
      <c r="G197" s="5" t="s">
        <v>8</v>
      </c>
      <c r="H197" s="7">
        <v>16978.400000000001</v>
      </c>
      <c r="I197" s="7">
        <v>17496.84</v>
      </c>
      <c r="J197" s="7">
        <f t="shared" si="17"/>
        <v>518.43999999999869</v>
      </c>
      <c r="K197" s="8">
        <f t="shared" si="19"/>
        <v>3.0535268340950775E-2</v>
      </c>
    </row>
    <row r="198" spans="1:11" x14ac:dyDescent="0.3">
      <c r="A198" s="5" t="s">
        <v>43</v>
      </c>
      <c r="B198" s="6">
        <v>40231</v>
      </c>
      <c r="C198" s="5">
        <f t="shared" si="18"/>
        <v>9</v>
      </c>
      <c r="D198" s="5">
        <f t="shared" si="15"/>
        <v>2</v>
      </c>
      <c r="E198" s="5">
        <f t="shared" si="16"/>
        <v>2010</v>
      </c>
      <c r="F198" s="5" t="s">
        <v>26</v>
      </c>
      <c r="G198" s="5" t="s">
        <v>10</v>
      </c>
      <c r="H198" s="7">
        <v>18224</v>
      </c>
      <c r="I198" s="7">
        <v>20385.61</v>
      </c>
      <c r="J198" s="7">
        <f t="shared" si="17"/>
        <v>2161.6100000000006</v>
      </c>
      <c r="K198" s="8">
        <f t="shared" si="19"/>
        <v>0.11861336698858652</v>
      </c>
    </row>
    <row r="199" spans="1:11" x14ac:dyDescent="0.3">
      <c r="A199" s="5" t="s">
        <v>43</v>
      </c>
      <c r="B199" s="6">
        <v>40231</v>
      </c>
      <c r="C199" s="5">
        <f t="shared" si="18"/>
        <v>9</v>
      </c>
      <c r="D199" s="5">
        <f t="shared" si="15"/>
        <v>2</v>
      </c>
      <c r="E199" s="5">
        <f t="shared" si="16"/>
        <v>2010</v>
      </c>
      <c r="F199" s="5" t="s">
        <v>27</v>
      </c>
      <c r="G199" s="5" t="s">
        <v>10</v>
      </c>
      <c r="H199" s="7">
        <v>236336.13</v>
      </c>
      <c r="I199" s="7">
        <v>267116.88</v>
      </c>
      <c r="J199" s="7">
        <f t="shared" si="17"/>
        <v>30780.75</v>
      </c>
      <c r="K199" s="8">
        <f t="shared" si="19"/>
        <v>0.13024140659322805</v>
      </c>
    </row>
    <row r="200" spans="1:11" x14ac:dyDescent="0.3">
      <c r="A200" s="5" t="s">
        <v>43</v>
      </c>
      <c r="B200" s="6">
        <v>40231</v>
      </c>
      <c r="C200" s="5">
        <f t="shared" si="18"/>
        <v>9</v>
      </c>
      <c r="D200" s="5">
        <f t="shared" si="15"/>
        <v>2</v>
      </c>
      <c r="E200" s="5">
        <f t="shared" si="16"/>
        <v>2010</v>
      </c>
      <c r="F200" s="5" t="s">
        <v>28</v>
      </c>
      <c r="G200" s="5" t="s">
        <v>10</v>
      </c>
      <c r="H200" s="7">
        <v>127016.73</v>
      </c>
      <c r="I200" s="7">
        <v>141542.98000000001</v>
      </c>
      <c r="J200" s="7">
        <f t="shared" si="17"/>
        <v>14526.250000000015</v>
      </c>
      <c r="K200" s="8">
        <f t="shared" si="19"/>
        <v>0.11436485571625105</v>
      </c>
    </row>
    <row r="201" spans="1:11" x14ac:dyDescent="0.3">
      <c r="A201" s="5" t="s">
        <v>43</v>
      </c>
      <c r="B201" s="6">
        <v>40231</v>
      </c>
      <c r="C201" s="5">
        <f t="shared" si="18"/>
        <v>9</v>
      </c>
      <c r="D201" s="5">
        <f t="shared" si="15"/>
        <v>2</v>
      </c>
      <c r="E201" s="5">
        <f t="shared" si="16"/>
        <v>2010</v>
      </c>
      <c r="F201" s="5" t="s">
        <v>29</v>
      </c>
      <c r="G201" s="5" t="s">
        <v>10</v>
      </c>
      <c r="H201" s="7">
        <v>915303.52</v>
      </c>
      <c r="I201" s="7">
        <v>998393.41</v>
      </c>
      <c r="J201" s="7">
        <f t="shared" si="17"/>
        <v>83089.890000000014</v>
      </c>
      <c r="K201" s="8">
        <f t="shared" si="19"/>
        <v>9.0778510280393118E-2</v>
      </c>
    </row>
    <row r="202" spans="1:11" x14ac:dyDescent="0.3">
      <c r="A202" s="5" t="s">
        <v>43</v>
      </c>
      <c r="B202" s="6">
        <v>40231</v>
      </c>
      <c r="C202" s="5">
        <f t="shared" si="18"/>
        <v>9</v>
      </c>
      <c r="D202" s="5">
        <f t="shared" si="15"/>
        <v>2</v>
      </c>
      <c r="E202" s="5">
        <f t="shared" si="16"/>
        <v>2010</v>
      </c>
      <c r="F202" s="5" t="s">
        <v>30</v>
      </c>
      <c r="G202" s="5" t="s">
        <v>10</v>
      </c>
      <c r="H202" s="7">
        <v>134627.26</v>
      </c>
      <c r="I202" s="7">
        <v>152650.37</v>
      </c>
      <c r="J202" s="7">
        <f t="shared" si="17"/>
        <v>18023.109999999986</v>
      </c>
      <c r="K202" s="8">
        <f t="shared" si="19"/>
        <v>0.13387415000498401</v>
      </c>
    </row>
    <row r="203" spans="1:11" x14ac:dyDescent="0.3">
      <c r="A203" s="5" t="s">
        <v>43</v>
      </c>
      <c r="B203" s="6">
        <v>40231</v>
      </c>
      <c r="C203" s="5">
        <f t="shared" si="18"/>
        <v>9</v>
      </c>
      <c r="D203" s="5">
        <f t="shared" si="15"/>
        <v>2</v>
      </c>
      <c r="E203" s="5">
        <f t="shared" si="16"/>
        <v>2010</v>
      </c>
      <c r="F203" s="5" t="s">
        <v>9</v>
      </c>
      <c r="G203" s="5" t="s">
        <v>9</v>
      </c>
      <c r="H203" s="7">
        <v>728454.52</v>
      </c>
      <c r="I203" s="7">
        <v>863806.6</v>
      </c>
      <c r="J203" s="7">
        <f t="shared" si="17"/>
        <v>135352.07999999996</v>
      </c>
      <c r="K203" s="8">
        <f t="shared" si="19"/>
        <v>0.18580717983601772</v>
      </c>
    </row>
    <row r="204" spans="1:11" x14ac:dyDescent="0.3">
      <c r="A204" s="5" t="s">
        <v>43</v>
      </c>
      <c r="B204" s="6">
        <v>40231</v>
      </c>
      <c r="C204" s="5">
        <f t="shared" si="18"/>
        <v>9</v>
      </c>
      <c r="D204" s="5">
        <f t="shared" si="15"/>
        <v>2</v>
      </c>
      <c r="E204" s="5">
        <f t="shared" si="16"/>
        <v>2010</v>
      </c>
      <c r="F204" s="5" t="s">
        <v>31</v>
      </c>
      <c r="G204" s="5" t="s">
        <v>7</v>
      </c>
      <c r="H204" s="7">
        <v>12510.1</v>
      </c>
      <c r="I204" s="7">
        <v>27455.8</v>
      </c>
      <c r="J204" s="7">
        <f t="shared" si="17"/>
        <v>14945.699999999999</v>
      </c>
      <c r="K204" s="8">
        <f t="shared" si="19"/>
        <v>1.1946906899225425</v>
      </c>
    </row>
    <row r="205" spans="1:11" x14ac:dyDescent="0.3">
      <c r="A205" s="5" t="s">
        <v>43</v>
      </c>
      <c r="B205" s="6">
        <v>40231</v>
      </c>
      <c r="C205" s="5">
        <f t="shared" si="18"/>
        <v>9</v>
      </c>
      <c r="D205" s="5">
        <f t="shared" si="15"/>
        <v>2</v>
      </c>
      <c r="E205" s="5">
        <f t="shared" si="16"/>
        <v>2010</v>
      </c>
      <c r="F205" s="5" t="s">
        <v>32</v>
      </c>
      <c r="G205" s="5" t="s">
        <v>7</v>
      </c>
      <c r="H205" s="7">
        <v>24471.8</v>
      </c>
      <c r="I205" s="7">
        <v>27178.720000000001</v>
      </c>
      <c r="J205" s="7">
        <f t="shared" si="17"/>
        <v>2706.9200000000019</v>
      </c>
      <c r="K205" s="8">
        <f t="shared" si="19"/>
        <v>0.11061384941034177</v>
      </c>
    </row>
    <row r="206" spans="1:11" x14ac:dyDescent="0.3">
      <c r="A206" s="5" t="s">
        <v>43</v>
      </c>
      <c r="B206" s="6">
        <v>40231</v>
      </c>
      <c r="C206" s="5">
        <f t="shared" si="18"/>
        <v>9</v>
      </c>
      <c r="D206" s="5">
        <f t="shared" si="15"/>
        <v>2</v>
      </c>
      <c r="E206" s="5">
        <f t="shared" si="16"/>
        <v>2010</v>
      </c>
      <c r="F206" s="5" t="s">
        <v>33</v>
      </c>
      <c r="G206" s="5" t="s">
        <v>7</v>
      </c>
      <c r="H206" s="7">
        <v>218939.83</v>
      </c>
      <c r="I206" s="7">
        <v>427388.97</v>
      </c>
      <c r="J206" s="7">
        <f t="shared" si="17"/>
        <v>208449.13999999998</v>
      </c>
      <c r="K206" s="8">
        <f t="shared" si="19"/>
        <v>0.95208414110854112</v>
      </c>
    </row>
    <row r="207" spans="1:11" x14ac:dyDescent="0.3">
      <c r="A207" s="5" t="s">
        <v>43</v>
      </c>
      <c r="B207" s="6">
        <v>40231</v>
      </c>
      <c r="C207" s="5">
        <f t="shared" si="18"/>
        <v>9</v>
      </c>
      <c r="D207" s="5">
        <f t="shared" si="15"/>
        <v>2</v>
      </c>
      <c r="E207" s="5">
        <f t="shared" si="16"/>
        <v>2010</v>
      </c>
      <c r="F207" s="5" t="s">
        <v>34</v>
      </c>
      <c r="G207" s="5" t="s">
        <v>7</v>
      </c>
      <c r="H207" s="7">
        <v>114</v>
      </c>
      <c r="I207" s="7">
        <v>353.96</v>
      </c>
      <c r="J207" s="7">
        <f t="shared" si="17"/>
        <v>239.95999999999998</v>
      </c>
      <c r="K207" s="8">
        <f t="shared" si="19"/>
        <v>2.1049122807017544</v>
      </c>
    </row>
    <row r="208" spans="1:11" x14ac:dyDescent="0.3">
      <c r="A208" s="5" t="s">
        <v>43</v>
      </c>
      <c r="B208" s="6">
        <v>40231</v>
      </c>
      <c r="C208" s="5">
        <f t="shared" si="18"/>
        <v>9</v>
      </c>
      <c r="D208" s="5">
        <f t="shared" si="15"/>
        <v>2</v>
      </c>
      <c r="E208" s="5">
        <f t="shared" si="16"/>
        <v>2010</v>
      </c>
      <c r="F208" s="5" t="s">
        <v>35</v>
      </c>
      <c r="G208" s="5" t="s">
        <v>11</v>
      </c>
      <c r="H208" s="7">
        <v>3247.72</v>
      </c>
      <c r="I208" s="7">
        <v>4037.44</v>
      </c>
      <c r="J208" s="7">
        <f t="shared" si="17"/>
        <v>789.72000000000025</v>
      </c>
      <c r="K208" s="8">
        <f t="shared" si="19"/>
        <v>0.24316135627455579</v>
      </c>
    </row>
    <row r="209" spans="1:11" x14ac:dyDescent="0.3">
      <c r="A209" s="5" t="s">
        <v>43</v>
      </c>
      <c r="B209" s="6">
        <v>40231</v>
      </c>
      <c r="C209" s="5">
        <f t="shared" si="18"/>
        <v>9</v>
      </c>
      <c r="D209" s="5">
        <f t="shared" si="15"/>
        <v>2</v>
      </c>
      <c r="E209" s="5">
        <f t="shared" si="16"/>
        <v>2010</v>
      </c>
      <c r="F209" s="5" t="s">
        <v>36</v>
      </c>
      <c r="G209" s="5" t="s">
        <v>11</v>
      </c>
      <c r="H209" s="7">
        <v>219850.83</v>
      </c>
      <c r="I209" s="7">
        <v>244437.35</v>
      </c>
      <c r="J209" s="7">
        <f t="shared" si="17"/>
        <v>24586.520000000019</v>
      </c>
      <c r="K209" s="8">
        <f t="shared" si="19"/>
        <v>0.11183273676974528</v>
      </c>
    </row>
    <row r="210" spans="1:11" x14ac:dyDescent="0.3">
      <c r="A210" s="5" t="s">
        <v>43</v>
      </c>
      <c r="B210" s="6">
        <v>40231</v>
      </c>
      <c r="C210" s="5">
        <f t="shared" si="18"/>
        <v>9</v>
      </c>
      <c r="D210" s="5">
        <f t="shared" si="15"/>
        <v>2</v>
      </c>
      <c r="E210" s="5">
        <f t="shared" si="16"/>
        <v>2010</v>
      </c>
      <c r="F210" s="5" t="s">
        <v>37</v>
      </c>
      <c r="G210" s="5" t="s">
        <v>11</v>
      </c>
      <c r="H210" s="7">
        <v>561850.92000000004</v>
      </c>
      <c r="I210" s="7">
        <v>602406.26</v>
      </c>
      <c r="J210" s="7">
        <f t="shared" si="17"/>
        <v>40555.339999999967</v>
      </c>
      <c r="K210" s="8">
        <f t="shared" si="19"/>
        <v>7.2181674099599163E-2</v>
      </c>
    </row>
    <row r="211" spans="1:11" x14ac:dyDescent="0.3">
      <c r="A211" s="5" t="s">
        <v>43</v>
      </c>
      <c r="B211" s="6">
        <v>40231</v>
      </c>
      <c r="C211" s="5">
        <f t="shared" si="18"/>
        <v>9</v>
      </c>
      <c r="D211" s="5">
        <f t="shared" si="15"/>
        <v>2</v>
      </c>
      <c r="E211" s="5">
        <f t="shared" si="16"/>
        <v>2010</v>
      </c>
      <c r="F211" s="5" t="s">
        <v>38</v>
      </c>
      <c r="G211" s="5" t="s">
        <v>11</v>
      </c>
      <c r="H211" s="7">
        <v>474667.3</v>
      </c>
      <c r="I211" s="7">
        <v>503102.33</v>
      </c>
      <c r="J211" s="7">
        <f t="shared" si="17"/>
        <v>28435.030000000028</v>
      </c>
      <c r="K211" s="8">
        <f t="shared" si="19"/>
        <v>5.9905179901796543E-2</v>
      </c>
    </row>
    <row r="212" spans="1:11" x14ac:dyDescent="0.3">
      <c r="A212" s="5" t="s">
        <v>43</v>
      </c>
      <c r="B212" s="6">
        <v>40232</v>
      </c>
      <c r="C212" s="5">
        <f t="shared" si="18"/>
        <v>9</v>
      </c>
      <c r="D212" s="5">
        <f t="shared" si="15"/>
        <v>2</v>
      </c>
      <c r="E212" s="5">
        <f t="shared" si="16"/>
        <v>2010</v>
      </c>
      <c r="F212" s="5" t="s">
        <v>14</v>
      </c>
      <c r="G212" s="5" t="s">
        <v>6</v>
      </c>
      <c r="H212" s="7">
        <v>12621</v>
      </c>
      <c r="I212" s="7">
        <v>14962.47</v>
      </c>
      <c r="J212" s="7">
        <f t="shared" si="17"/>
        <v>2341.4699999999993</v>
      </c>
      <c r="K212" s="8">
        <f t="shared" si="19"/>
        <v>0.18552174946517702</v>
      </c>
    </row>
    <row r="213" spans="1:11" x14ac:dyDescent="0.3">
      <c r="A213" s="5" t="s">
        <v>43</v>
      </c>
      <c r="B213" s="6">
        <v>40232</v>
      </c>
      <c r="C213" s="5">
        <f t="shared" si="18"/>
        <v>9</v>
      </c>
      <c r="D213" s="5">
        <f t="shared" si="15"/>
        <v>2</v>
      </c>
      <c r="E213" s="5">
        <f t="shared" si="16"/>
        <v>2010</v>
      </c>
      <c r="F213" s="5" t="s">
        <v>15</v>
      </c>
      <c r="G213" s="5" t="s">
        <v>6</v>
      </c>
      <c r="H213" s="7">
        <v>407225.14</v>
      </c>
      <c r="I213" s="7">
        <v>532651.27</v>
      </c>
      <c r="J213" s="7">
        <f t="shared" si="17"/>
        <v>125426.13</v>
      </c>
      <c r="K213" s="8">
        <f t="shared" si="19"/>
        <v>0.30800193229720541</v>
      </c>
    </row>
    <row r="214" spans="1:11" x14ac:dyDescent="0.3">
      <c r="A214" s="5" t="s">
        <v>43</v>
      </c>
      <c r="B214" s="6">
        <v>40232</v>
      </c>
      <c r="C214" s="5">
        <f t="shared" si="18"/>
        <v>9</v>
      </c>
      <c r="D214" s="5">
        <f t="shared" si="15"/>
        <v>2</v>
      </c>
      <c r="E214" s="5">
        <f t="shared" si="16"/>
        <v>2010</v>
      </c>
      <c r="F214" s="5" t="s">
        <v>16</v>
      </c>
      <c r="G214" s="5" t="s">
        <v>6</v>
      </c>
      <c r="H214" s="7">
        <v>138949.54999999999</v>
      </c>
      <c r="I214" s="7">
        <v>151901.03</v>
      </c>
      <c r="J214" s="7">
        <f t="shared" si="17"/>
        <v>12951.48000000001</v>
      </c>
      <c r="K214" s="8">
        <f t="shared" si="19"/>
        <v>9.3209945624149276E-2</v>
      </c>
    </row>
    <row r="215" spans="1:11" x14ac:dyDescent="0.3">
      <c r="A215" s="5" t="s">
        <v>43</v>
      </c>
      <c r="B215" s="6">
        <v>40232</v>
      </c>
      <c r="C215" s="5">
        <f t="shared" si="18"/>
        <v>9</v>
      </c>
      <c r="D215" s="5">
        <f t="shared" si="15"/>
        <v>2</v>
      </c>
      <c r="E215" s="5">
        <f t="shared" si="16"/>
        <v>2010</v>
      </c>
      <c r="F215" s="5" t="s">
        <v>17</v>
      </c>
      <c r="G215" s="5" t="s">
        <v>6</v>
      </c>
      <c r="H215" s="7">
        <v>3156</v>
      </c>
      <c r="I215" s="7">
        <v>3413</v>
      </c>
      <c r="J215" s="7">
        <f t="shared" si="17"/>
        <v>257</v>
      </c>
      <c r="K215" s="8">
        <f t="shared" si="19"/>
        <v>8.1432192648922694E-2</v>
      </c>
    </row>
    <row r="216" spans="1:11" x14ac:dyDescent="0.3">
      <c r="A216" s="5" t="s">
        <v>43</v>
      </c>
      <c r="B216" s="6">
        <v>40232</v>
      </c>
      <c r="C216" s="5">
        <f t="shared" si="18"/>
        <v>9</v>
      </c>
      <c r="D216" s="5">
        <f t="shared" si="15"/>
        <v>2</v>
      </c>
      <c r="E216" s="5">
        <f t="shared" si="16"/>
        <v>2010</v>
      </c>
      <c r="F216" s="5" t="s">
        <v>19</v>
      </c>
      <c r="G216" s="5" t="s">
        <v>5</v>
      </c>
      <c r="H216" s="7">
        <v>142190.32</v>
      </c>
      <c r="I216" s="7">
        <v>157484.01</v>
      </c>
      <c r="J216" s="7">
        <f t="shared" si="17"/>
        <v>15293.690000000002</v>
      </c>
      <c r="K216" s="8">
        <f t="shared" si="19"/>
        <v>0.10755788439044234</v>
      </c>
    </row>
    <row r="217" spans="1:11" x14ac:dyDescent="0.3">
      <c r="A217" s="5" t="s">
        <v>43</v>
      </c>
      <c r="B217" s="6">
        <v>40232</v>
      </c>
      <c r="C217" s="5">
        <f t="shared" si="18"/>
        <v>9</v>
      </c>
      <c r="D217" s="5">
        <f t="shared" si="15"/>
        <v>2</v>
      </c>
      <c r="E217" s="5">
        <f t="shared" si="16"/>
        <v>2010</v>
      </c>
      <c r="F217" s="5" t="s">
        <v>5</v>
      </c>
      <c r="G217" s="5" t="s">
        <v>5</v>
      </c>
      <c r="H217" s="7">
        <v>745202.73</v>
      </c>
      <c r="I217" s="7">
        <v>792493.42</v>
      </c>
      <c r="J217" s="7">
        <f t="shared" si="17"/>
        <v>47290.690000000061</v>
      </c>
      <c r="K217" s="8">
        <f t="shared" si="19"/>
        <v>6.3460167409746415E-2</v>
      </c>
    </row>
    <row r="218" spans="1:11" x14ac:dyDescent="0.3">
      <c r="A218" s="5" t="s">
        <v>43</v>
      </c>
      <c r="B218" s="6">
        <v>40232</v>
      </c>
      <c r="C218" s="5">
        <f t="shared" si="18"/>
        <v>9</v>
      </c>
      <c r="D218" s="5">
        <f t="shared" si="15"/>
        <v>2</v>
      </c>
      <c r="E218" s="5">
        <f t="shared" si="16"/>
        <v>2010</v>
      </c>
      <c r="F218" s="5" t="s">
        <v>20</v>
      </c>
      <c r="G218" s="5" t="s">
        <v>5</v>
      </c>
      <c r="H218" s="7">
        <v>95463.98</v>
      </c>
      <c r="I218" s="7">
        <v>105153.44</v>
      </c>
      <c r="J218" s="7">
        <f t="shared" si="17"/>
        <v>9689.4600000000064</v>
      </c>
      <c r="K218" s="8">
        <f t="shared" si="19"/>
        <v>0.10149859664346707</v>
      </c>
    </row>
    <row r="219" spans="1:11" x14ac:dyDescent="0.3">
      <c r="A219" s="5" t="s">
        <v>43</v>
      </c>
      <c r="B219" s="6">
        <v>40232</v>
      </c>
      <c r="C219" s="5">
        <f t="shared" si="18"/>
        <v>9</v>
      </c>
      <c r="D219" s="5">
        <f t="shared" si="15"/>
        <v>2</v>
      </c>
      <c r="E219" s="5">
        <f t="shared" si="16"/>
        <v>2010</v>
      </c>
      <c r="F219" s="5" t="s">
        <v>21</v>
      </c>
      <c r="G219" s="5" t="s">
        <v>5</v>
      </c>
      <c r="H219" s="7">
        <v>276111.99</v>
      </c>
      <c r="I219" s="7">
        <v>297672.14</v>
      </c>
      <c r="J219" s="7">
        <f t="shared" si="17"/>
        <v>21560.150000000023</v>
      </c>
      <c r="K219" s="8">
        <f t="shared" si="19"/>
        <v>7.8084801750188476E-2</v>
      </c>
    </row>
    <row r="220" spans="1:11" x14ac:dyDescent="0.3">
      <c r="A220" s="5" t="s">
        <v>43</v>
      </c>
      <c r="B220" s="6">
        <v>40232</v>
      </c>
      <c r="C220" s="5">
        <f t="shared" si="18"/>
        <v>9</v>
      </c>
      <c r="D220" s="5">
        <f t="shared" si="15"/>
        <v>2</v>
      </c>
      <c r="E220" s="5">
        <f t="shared" si="16"/>
        <v>2010</v>
      </c>
      <c r="F220" s="5" t="s">
        <v>22</v>
      </c>
      <c r="G220" s="5" t="s">
        <v>8</v>
      </c>
      <c r="H220" s="7">
        <v>631649.68999999994</v>
      </c>
      <c r="I220" s="7">
        <v>679536.74</v>
      </c>
      <c r="J220" s="7">
        <f t="shared" si="17"/>
        <v>47887.050000000047</v>
      </c>
      <c r="K220" s="8">
        <f t="shared" si="19"/>
        <v>7.5812670785922576E-2</v>
      </c>
    </row>
    <row r="221" spans="1:11" x14ac:dyDescent="0.3">
      <c r="A221" s="5" t="s">
        <v>43</v>
      </c>
      <c r="B221" s="6">
        <v>40232</v>
      </c>
      <c r="C221" s="5">
        <f t="shared" si="18"/>
        <v>9</v>
      </c>
      <c r="D221" s="5">
        <f t="shared" si="15"/>
        <v>2</v>
      </c>
      <c r="E221" s="5">
        <f t="shared" si="16"/>
        <v>2010</v>
      </c>
      <c r="F221" s="5" t="s">
        <v>23</v>
      </c>
      <c r="G221" s="5" t="s">
        <v>8</v>
      </c>
      <c r="H221" s="7">
        <v>209240.9</v>
      </c>
      <c r="I221" s="7">
        <v>220266.55</v>
      </c>
      <c r="J221" s="7">
        <f t="shared" si="17"/>
        <v>11025.649999999994</v>
      </c>
      <c r="K221" s="8">
        <f t="shared" si="19"/>
        <v>5.2693569947366861E-2</v>
      </c>
    </row>
    <row r="222" spans="1:11" x14ac:dyDescent="0.3">
      <c r="A222" s="5" t="s">
        <v>43</v>
      </c>
      <c r="B222" s="6">
        <v>40232</v>
      </c>
      <c r="C222" s="5">
        <f t="shared" si="18"/>
        <v>9</v>
      </c>
      <c r="D222" s="5">
        <f t="shared" si="15"/>
        <v>2</v>
      </c>
      <c r="E222" s="5">
        <f t="shared" si="16"/>
        <v>2010</v>
      </c>
      <c r="F222" s="5" t="s">
        <v>24</v>
      </c>
      <c r="G222" s="5" t="s">
        <v>8</v>
      </c>
      <c r="H222" s="7">
        <v>191582</v>
      </c>
      <c r="I222" s="7">
        <v>203957.02</v>
      </c>
      <c r="J222" s="7">
        <f t="shared" si="17"/>
        <v>12375.01999999999</v>
      </c>
      <c r="K222" s="8">
        <f t="shared" si="19"/>
        <v>6.4593855372634124E-2</v>
      </c>
    </row>
    <row r="223" spans="1:11" x14ac:dyDescent="0.3">
      <c r="A223" s="5" t="s">
        <v>43</v>
      </c>
      <c r="B223" s="6">
        <v>40232</v>
      </c>
      <c r="C223" s="5">
        <f t="shared" si="18"/>
        <v>9</v>
      </c>
      <c r="D223" s="5">
        <f t="shared" si="15"/>
        <v>2</v>
      </c>
      <c r="E223" s="5">
        <f t="shared" si="16"/>
        <v>2010</v>
      </c>
      <c r="F223" s="5" t="s">
        <v>25</v>
      </c>
      <c r="G223" s="5" t="s">
        <v>8</v>
      </c>
      <c r="H223" s="7">
        <v>7830.8</v>
      </c>
      <c r="I223" s="7">
        <v>8215.58</v>
      </c>
      <c r="J223" s="7">
        <f t="shared" si="17"/>
        <v>384.77999999999975</v>
      </c>
      <c r="K223" s="8">
        <f t="shared" si="19"/>
        <v>4.9136742095315898E-2</v>
      </c>
    </row>
    <row r="224" spans="1:11" x14ac:dyDescent="0.3">
      <c r="A224" s="5" t="s">
        <v>43</v>
      </c>
      <c r="B224" s="6">
        <v>40232</v>
      </c>
      <c r="C224" s="5">
        <f t="shared" si="18"/>
        <v>9</v>
      </c>
      <c r="D224" s="5">
        <f t="shared" si="15"/>
        <v>2</v>
      </c>
      <c r="E224" s="5">
        <f t="shared" si="16"/>
        <v>2010</v>
      </c>
      <c r="F224" s="5" t="s">
        <v>26</v>
      </c>
      <c r="G224" s="5" t="s">
        <v>10</v>
      </c>
      <c r="H224" s="7">
        <v>14543</v>
      </c>
      <c r="I224" s="7">
        <v>16349.6</v>
      </c>
      <c r="J224" s="7">
        <f t="shared" si="17"/>
        <v>1806.6000000000004</v>
      </c>
      <c r="K224" s="8">
        <f t="shared" si="19"/>
        <v>0.12422471292030533</v>
      </c>
    </row>
    <row r="225" spans="1:11" x14ac:dyDescent="0.3">
      <c r="A225" s="5" t="s">
        <v>43</v>
      </c>
      <c r="B225" s="6">
        <v>40232</v>
      </c>
      <c r="C225" s="5">
        <f t="shared" si="18"/>
        <v>9</v>
      </c>
      <c r="D225" s="5">
        <f t="shared" si="15"/>
        <v>2</v>
      </c>
      <c r="E225" s="5">
        <f t="shared" si="16"/>
        <v>2010</v>
      </c>
      <c r="F225" s="5" t="s">
        <v>27</v>
      </c>
      <c r="G225" s="5" t="s">
        <v>10</v>
      </c>
      <c r="H225" s="7">
        <v>212585.87</v>
      </c>
      <c r="I225" s="7">
        <v>241807.01</v>
      </c>
      <c r="J225" s="7">
        <f t="shared" si="17"/>
        <v>29221.140000000014</v>
      </c>
      <c r="K225" s="8">
        <f t="shared" si="19"/>
        <v>0.13745570201820101</v>
      </c>
    </row>
    <row r="226" spans="1:11" x14ac:dyDescent="0.3">
      <c r="A226" s="5" t="s">
        <v>43</v>
      </c>
      <c r="B226" s="6">
        <v>40232</v>
      </c>
      <c r="C226" s="5">
        <f t="shared" si="18"/>
        <v>9</v>
      </c>
      <c r="D226" s="5">
        <f t="shared" si="15"/>
        <v>2</v>
      </c>
      <c r="E226" s="5">
        <f t="shared" si="16"/>
        <v>2010</v>
      </c>
      <c r="F226" s="5" t="s">
        <v>28</v>
      </c>
      <c r="G226" s="5" t="s">
        <v>10</v>
      </c>
      <c r="H226" s="7">
        <v>54263.66</v>
      </c>
      <c r="I226" s="7">
        <v>65106.64</v>
      </c>
      <c r="J226" s="7">
        <f t="shared" si="17"/>
        <v>10842.979999999996</v>
      </c>
      <c r="K226" s="8">
        <f t="shared" si="19"/>
        <v>0.19982028488310585</v>
      </c>
    </row>
    <row r="227" spans="1:11" x14ac:dyDescent="0.3">
      <c r="A227" s="5" t="s">
        <v>43</v>
      </c>
      <c r="B227" s="6">
        <v>40232</v>
      </c>
      <c r="C227" s="5">
        <f t="shared" si="18"/>
        <v>9</v>
      </c>
      <c r="D227" s="5">
        <f t="shared" si="15"/>
        <v>2</v>
      </c>
      <c r="E227" s="5">
        <f t="shared" si="16"/>
        <v>2010</v>
      </c>
      <c r="F227" s="5" t="s">
        <v>29</v>
      </c>
      <c r="G227" s="5" t="s">
        <v>10</v>
      </c>
      <c r="H227" s="7">
        <v>626836.66</v>
      </c>
      <c r="I227" s="7">
        <v>692735.98</v>
      </c>
      <c r="J227" s="7">
        <f t="shared" si="17"/>
        <v>65899.319999999949</v>
      </c>
      <c r="K227" s="8">
        <f t="shared" si="19"/>
        <v>0.10512997117941369</v>
      </c>
    </row>
    <row r="228" spans="1:11" x14ac:dyDescent="0.3">
      <c r="A228" s="5" t="s">
        <v>43</v>
      </c>
      <c r="B228" s="6">
        <v>40232</v>
      </c>
      <c r="C228" s="5">
        <f t="shared" si="18"/>
        <v>9</v>
      </c>
      <c r="D228" s="5">
        <f t="shared" si="15"/>
        <v>2</v>
      </c>
      <c r="E228" s="5">
        <f t="shared" si="16"/>
        <v>2010</v>
      </c>
      <c r="F228" s="5" t="s">
        <v>30</v>
      </c>
      <c r="G228" s="5" t="s">
        <v>10</v>
      </c>
      <c r="H228" s="7">
        <v>99099.6</v>
      </c>
      <c r="I228" s="7">
        <v>112605.32</v>
      </c>
      <c r="J228" s="7">
        <f t="shared" si="17"/>
        <v>13505.720000000001</v>
      </c>
      <c r="K228" s="8">
        <f t="shared" si="19"/>
        <v>0.13628430387206406</v>
      </c>
    </row>
    <row r="229" spans="1:11" x14ac:dyDescent="0.3">
      <c r="A229" s="5" t="s">
        <v>43</v>
      </c>
      <c r="B229" s="6">
        <v>40232</v>
      </c>
      <c r="C229" s="5">
        <f t="shared" si="18"/>
        <v>9</v>
      </c>
      <c r="D229" s="5">
        <f t="shared" si="15"/>
        <v>2</v>
      </c>
      <c r="E229" s="5">
        <f t="shared" si="16"/>
        <v>2010</v>
      </c>
      <c r="F229" s="5" t="s">
        <v>9</v>
      </c>
      <c r="G229" s="5" t="s">
        <v>9</v>
      </c>
      <c r="H229" s="7">
        <v>784023.65</v>
      </c>
      <c r="I229" s="7">
        <v>932959.62</v>
      </c>
      <c r="J229" s="7">
        <f t="shared" si="17"/>
        <v>148935.96999999997</v>
      </c>
      <c r="K229" s="8">
        <f t="shared" si="19"/>
        <v>0.18996361908215392</v>
      </c>
    </row>
    <row r="230" spans="1:11" x14ac:dyDescent="0.3">
      <c r="A230" s="5" t="s">
        <v>43</v>
      </c>
      <c r="B230" s="6">
        <v>40232</v>
      </c>
      <c r="C230" s="5">
        <f t="shared" si="18"/>
        <v>9</v>
      </c>
      <c r="D230" s="5">
        <f t="shared" si="15"/>
        <v>2</v>
      </c>
      <c r="E230" s="5">
        <f t="shared" si="16"/>
        <v>2010</v>
      </c>
      <c r="F230" s="5" t="s">
        <v>31</v>
      </c>
      <c r="G230" s="5" t="s">
        <v>7</v>
      </c>
      <c r="H230" s="7">
        <v>11367.86</v>
      </c>
      <c r="I230" s="7">
        <v>24978.07</v>
      </c>
      <c r="J230" s="7">
        <f t="shared" si="17"/>
        <v>13610.21</v>
      </c>
      <c r="K230" s="8">
        <f t="shared" si="19"/>
        <v>1.1972534848247602</v>
      </c>
    </row>
    <row r="231" spans="1:11" x14ac:dyDescent="0.3">
      <c r="A231" s="5" t="s">
        <v>43</v>
      </c>
      <c r="B231" s="6">
        <v>40232</v>
      </c>
      <c r="C231" s="5">
        <f t="shared" si="18"/>
        <v>9</v>
      </c>
      <c r="D231" s="5">
        <f t="shared" si="15"/>
        <v>2</v>
      </c>
      <c r="E231" s="5">
        <f t="shared" si="16"/>
        <v>2010</v>
      </c>
      <c r="F231" s="5" t="s">
        <v>32</v>
      </c>
      <c r="G231" s="5" t="s">
        <v>7</v>
      </c>
      <c r="H231" s="7">
        <v>9428.77</v>
      </c>
      <c r="I231" s="7">
        <v>10503.01</v>
      </c>
      <c r="J231" s="7">
        <f t="shared" si="17"/>
        <v>1074.2399999999998</v>
      </c>
      <c r="K231" s="8">
        <f t="shared" si="19"/>
        <v>0.11393214597450142</v>
      </c>
    </row>
    <row r="232" spans="1:11" x14ac:dyDescent="0.3">
      <c r="A232" s="5" t="s">
        <v>43</v>
      </c>
      <c r="B232" s="6">
        <v>40232</v>
      </c>
      <c r="C232" s="5">
        <f t="shared" si="18"/>
        <v>9</v>
      </c>
      <c r="D232" s="5">
        <f t="shared" si="15"/>
        <v>2</v>
      </c>
      <c r="E232" s="5">
        <f t="shared" si="16"/>
        <v>2010</v>
      </c>
      <c r="F232" s="5" t="s">
        <v>33</v>
      </c>
      <c r="G232" s="5" t="s">
        <v>7</v>
      </c>
      <c r="H232" s="7">
        <v>232231.89</v>
      </c>
      <c r="I232" s="7">
        <v>466240.44</v>
      </c>
      <c r="J232" s="7">
        <f t="shared" si="17"/>
        <v>234008.55</v>
      </c>
      <c r="K232" s="8">
        <f t="shared" si="19"/>
        <v>1.0076503704982118</v>
      </c>
    </row>
    <row r="233" spans="1:11" x14ac:dyDescent="0.3">
      <c r="A233" s="5" t="s">
        <v>43</v>
      </c>
      <c r="B233" s="6">
        <v>40232</v>
      </c>
      <c r="C233" s="5">
        <f t="shared" si="18"/>
        <v>9</v>
      </c>
      <c r="D233" s="5">
        <f t="shared" si="15"/>
        <v>2</v>
      </c>
      <c r="E233" s="5">
        <f t="shared" si="16"/>
        <v>2010</v>
      </c>
      <c r="F233" s="5" t="s">
        <v>34</v>
      </c>
      <c r="G233" s="5" t="s">
        <v>7</v>
      </c>
      <c r="H233" s="7">
        <v>133</v>
      </c>
      <c r="I233" s="7">
        <v>412.94</v>
      </c>
      <c r="J233" s="7">
        <f t="shared" si="17"/>
        <v>279.94</v>
      </c>
      <c r="K233" s="8">
        <f t="shared" si="19"/>
        <v>2.104812030075188</v>
      </c>
    </row>
    <row r="234" spans="1:11" x14ac:dyDescent="0.3">
      <c r="A234" s="5" t="s">
        <v>43</v>
      </c>
      <c r="B234" s="6">
        <v>40232</v>
      </c>
      <c r="C234" s="5">
        <f t="shared" si="18"/>
        <v>9</v>
      </c>
      <c r="D234" s="5">
        <f t="shared" si="15"/>
        <v>2</v>
      </c>
      <c r="E234" s="5">
        <f t="shared" si="16"/>
        <v>2010</v>
      </c>
      <c r="F234" s="5" t="s">
        <v>35</v>
      </c>
      <c r="G234" s="5" t="s">
        <v>11</v>
      </c>
      <c r="H234" s="7">
        <v>2740.72</v>
      </c>
      <c r="I234" s="7">
        <v>3484.79</v>
      </c>
      <c r="J234" s="7">
        <f t="shared" si="17"/>
        <v>744.07000000000016</v>
      </c>
      <c r="K234" s="8">
        <f t="shared" si="19"/>
        <v>0.27148705449662869</v>
      </c>
    </row>
    <row r="235" spans="1:11" x14ac:dyDescent="0.3">
      <c r="A235" s="5" t="s">
        <v>43</v>
      </c>
      <c r="B235" s="6">
        <v>40232</v>
      </c>
      <c r="C235" s="5">
        <f t="shared" si="18"/>
        <v>9</v>
      </c>
      <c r="D235" s="5">
        <f t="shared" si="15"/>
        <v>2</v>
      </c>
      <c r="E235" s="5">
        <f t="shared" si="16"/>
        <v>2010</v>
      </c>
      <c r="F235" s="5" t="s">
        <v>36</v>
      </c>
      <c r="G235" s="5" t="s">
        <v>11</v>
      </c>
      <c r="H235" s="7">
        <v>199352.67</v>
      </c>
      <c r="I235" s="7">
        <v>223393.39</v>
      </c>
      <c r="J235" s="7">
        <f t="shared" si="17"/>
        <v>24040.720000000001</v>
      </c>
      <c r="K235" s="8">
        <f t="shared" si="19"/>
        <v>0.12059392031217842</v>
      </c>
    </row>
    <row r="236" spans="1:11" x14ac:dyDescent="0.3">
      <c r="A236" s="5" t="s">
        <v>43</v>
      </c>
      <c r="B236" s="6">
        <v>40232</v>
      </c>
      <c r="C236" s="5">
        <f t="shared" si="18"/>
        <v>9</v>
      </c>
      <c r="D236" s="5">
        <f t="shared" si="15"/>
        <v>2</v>
      </c>
      <c r="E236" s="5">
        <f t="shared" si="16"/>
        <v>2010</v>
      </c>
      <c r="F236" s="5" t="s">
        <v>37</v>
      </c>
      <c r="G236" s="5" t="s">
        <v>11</v>
      </c>
      <c r="H236" s="7">
        <v>422931.65</v>
      </c>
      <c r="I236" s="7">
        <v>456978.86</v>
      </c>
      <c r="J236" s="7">
        <f t="shared" si="17"/>
        <v>34047.209999999963</v>
      </c>
      <c r="K236" s="8">
        <f t="shared" si="19"/>
        <v>8.0502866125058178E-2</v>
      </c>
    </row>
    <row r="237" spans="1:11" x14ac:dyDescent="0.3">
      <c r="A237" s="5" t="s">
        <v>43</v>
      </c>
      <c r="B237" s="6">
        <v>40232</v>
      </c>
      <c r="C237" s="5">
        <f t="shared" si="18"/>
        <v>9</v>
      </c>
      <c r="D237" s="5">
        <f t="shared" si="15"/>
        <v>2</v>
      </c>
      <c r="E237" s="5">
        <f t="shared" si="16"/>
        <v>2010</v>
      </c>
      <c r="F237" s="5" t="s">
        <v>38</v>
      </c>
      <c r="G237" s="5" t="s">
        <v>11</v>
      </c>
      <c r="H237" s="7">
        <v>335197.64</v>
      </c>
      <c r="I237" s="7">
        <v>357190.14</v>
      </c>
      <c r="J237" s="7">
        <f t="shared" si="17"/>
        <v>21992.5</v>
      </c>
      <c r="K237" s="8">
        <f t="shared" si="19"/>
        <v>6.5610545468040876E-2</v>
      </c>
    </row>
    <row r="238" spans="1:11" x14ac:dyDescent="0.3">
      <c r="A238" s="5" t="s">
        <v>43</v>
      </c>
      <c r="B238" s="6">
        <v>40233</v>
      </c>
      <c r="C238" s="5">
        <f t="shared" si="18"/>
        <v>9</v>
      </c>
      <c r="D238" s="5">
        <f t="shared" si="15"/>
        <v>2</v>
      </c>
      <c r="E238" s="5">
        <f t="shared" si="16"/>
        <v>2010</v>
      </c>
      <c r="F238" s="5" t="s">
        <v>14</v>
      </c>
      <c r="G238" s="5" t="s">
        <v>6</v>
      </c>
      <c r="H238" s="7">
        <v>10299</v>
      </c>
      <c r="I238" s="7">
        <v>12110.39</v>
      </c>
      <c r="J238" s="7">
        <f t="shared" si="17"/>
        <v>1811.3899999999994</v>
      </c>
      <c r="K238" s="8">
        <f t="shared" si="19"/>
        <v>0.17588018254199431</v>
      </c>
    </row>
    <row r="239" spans="1:11" x14ac:dyDescent="0.3">
      <c r="A239" s="5" t="s">
        <v>43</v>
      </c>
      <c r="B239" s="6">
        <v>40233</v>
      </c>
      <c r="C239" s="5">
        <f t="shared" si="18"/>
        <v>9</v>
      </c>
      <c r="D239" s="5">
        <f t="shared" si="15"/>
        <v>2</v>
      </c>
      <c r="E239" s="5">
        <f t="shared" si="16"/>
        <v>2010</v>
      </c>
      <c r="F239" s="5" t="s">
        <v>15</v>
      </c>
      <c r="G239" s="5" t="s">
        <v>6</v>
      </c>
      <c r="H239" s="7">
        <v>265835.34000000003</v>
      </c>
      <c r="I239" s="7">
        <v>343377.41</v>
      </c>
      <c r="J239" s="7">
        <f t="shared" si="17"/>
        <v>77542.069999999949</v>
      </c>
      <c r="K239" s="8">
        <f t="shared" si="19"/>
        <v>0.29169210534611367</v>
      </c>
    </row>
    <row r="240" spans="1:11" x14ac:dyDescent="0.3">
      <c r="A240" s="5" t="s">
        <v>43</v>
      </c>
      <c r="B240" s="6">
        <v>40233</v>
      </c>
      <c r="C240" s="5">
        <f t="shared" si="18"/>
        <v>9</v>
      </c>
      <c r="D240" s="5">
        <f t="shared" si="15"/>
        <v>2</v>
      </c>
      <c r="E240" s="5">
        <f t="shared" si="16"/>
        <v>2010</v>
      </c>
      <c r="F240" s="5" t="s">
        <v>16</v>
      </c>
      <c r="G240" s="5" t="s">
        <v>6</v>
      </c>
      <c r="H240" s="7">
        <v>86174.43</v>
      </c>
      <c r="I240" s="7">
        <v>93472.58</v>
      </c>
      <c r="J240" s="7">
        <f t="shared" si="17"/>
        <v>7298.1500000000087</v>
      </c>
      <c r="K240" s="8">
        <f t="shared" si="19"/>
        <v>8.4690435434269878E-2</v>
      </c>
    </row>
    <row r="241" spans="1:11" x14ac:dyDescent="0.3">
      <c r="A241" s="5" t="s">
        <v>43</v>
      </c>
      <c r="B241" s="6">
        <v>40233</v>
      </c>
      <c r="C241" s="5">
        <f t="shared" si="18"/>
        <v>9</v>
      </c>
      <c r="D241" s="5">
        <f t="shared" si="15"/>
        <v>2</v>
      </c>
      <c r="E241" s="5">
        <f t="shared" si="16"/>
        <v>2010</v>
      </c>
      <c r="F241" s="5" t="s">
        <v>17</v>
      </c>
      <c r="G241" s="5" t="s">
        <v>6</v>
      </c>
      <c r="H241" s="7">
        <v>4234</v>
      </c>
      <c r="I241" s="7">
        <v>4776.6400000000003</v>
      </c>
      <c r="J241" s="7">
        <f t="shared" si="17"/>
        <v>542.64000000000033</v>
      </c>
      <c r="K241" s="8">
        <f t="shared" si="19"/>
        <v>0.12816249409541813</v>
      </c>
    </row>
    <row r="242" spans="1:11" x14ac:dyDescent="0.3">
      <c r="A242" s="5" t="s">
        <v>43</v>
      </c>
      <c r="B242" s="6">
        <v>40233</v>
      </c>
      <c r="C242" s="5">
        <f t="shared" si="18"/>
        <v>9</v>
      </c>
      <c r="D242" s="5">
        <f t="shared" si="15"/>
        <v>2</v>
      </c>
      <c r="E242" s="5">
        <f t="shared" si="16"/>
        <v>2010</v>
      </c>
      <c r="F242" s="5" t="s">
        <v>18</v>
      </c>
      <c r="G242" s="5" t="s">
        <v>6</v>
      </c>
      <c r="H242" s="7">
        <v>1422</v>
      </c>
      <c r="I242" s="7">
        <v>1635</v>
      </c>
      <c r="J242" s="7">
        <f t="shared" si="17"/>
        <v>213</v>
      </c>
      <c r="K242" s="8">
        <f t="shared" si="19"/>
        <v>0.14978902953586498</v>
      </c>
    </row>
    <row r="243" spans="1:11" x14ac:dyDescent="0.3">
      <c r="A243" s="5" t="s">
        <v>43</v>
      </c>
      <c r="B243" s="6">
        <v>40233</v>
      </c>
      <c r="C243" s="5">
        <f t="shared" si="18"/>
        <v>9</v>
      </c>
      <c r="D243" s="5">
        <f t="shared" si="15"/>
        <v>2</v>
      </c>
      <c r="E243" s="5">
        <f t="shared" si="16"/>
        <v>2010</v>
      </c>
      <c r="F243" s="5" t="s">
        <v>19</v>
      </c>
      <c r="G243" s="5" t="s">
        <v>5</v>
      </c>
      <c r="H243" s="7">
        <v>155948.17000000001</v>
      </c>
      <c r="I243" s="7">
        <v>170652.16</v>
      </c>
      <c r="J243" s="7">
        <f t="shared" si="17"/>
        <v>14703.989999999991</v>
      </c>
      <c r="K243" s="8">
        <f t="shared" si="19"/>
        <v>9.4287672628668801E-2</v>
      </c>
    </row>
    <row r="244" spans="1:11" x14ac:dyDescent="0.3">
      <c r="A244" s="5" t="s">
        <v>43</v>
      </c>
      <c r="B244" s="6">
        <v>40233</v>
      </c>
      <c r="C244" s="5">
        <f t="shared" si="18"/>
        <v>9</v>
      </c>
      <c r="D244" s="5">
        <f t="shared" si="15"/>
        <v>2</v>
      </c>
      <c r="E244" s="5">
        <f t="shared" si="16"/>
        <v>2010</v>
      </c>
      <c r="F244" s="5" t="s">
        <v>5</v>
      </c>
      <c r="G244" s="5" t="s">
        <v>5</v>
      </c>
      <c r="H244" s="7">
        <v>660077.09</v>
      </c>
      <c r="I244" s="7">
        <v>702987.63</v>
      </c>
      <c r="J244" s="7">
        <f t="shared" si="17"/>
        <v>42910.540000000037</v>
      </c>
      <c r="K244" s="8">
        <f t="shared" si="19"/>
        <v>6.5008376521596953E-2</v>
      </c>
    </row>
    <row r="245" spans="1:11" x14ac:dyDescent="0.3">
      <c r="A245" s="5" t="s">
        <v>43</v>
      </c>
      <c r="B245" s="6">
        <v>40233</v>
      </c>
      <c r="C245" s="5">
        <f t="shared" si="18"/>
        <v>9</v>
      </c>
      <c r="D245" s="5">
        <f t="shared" si="15"/>
        <v>2</v>
      </c>
      <c r="E245" s="5">
        <f t="shared" si="16"/>
        <v>2010</v>
      </c>
      <c r="F245" s="5" t="s">
        <v>20</v>
      </c>
      <c r="G245" s="5" t="s">
        <v>5</v>
      </c>
      <c r="H245" s="7">
        <v>137820.67000000001</v>
      </c>
      <c r="I245" s="7">
        <v>150626.95000000001</v>
      </c>
      <c r="J245" s="7">
        <f t="shared" si="17"/>
        <v>12806.279999999999</v>
      </c>
      <c r="K245" s="8">
        <f t="shared" si="19"/>
        <v>9.2919879144398282E-2</v>
      </c>
    </row>
    <row r="246" spans="1:11" x14ac:dyDescent="0.3">
      <c r="A246" s="5" t="s">
        <v>43</v>
      </c>
      <c r="B246" s="6">
        <v>40233</v>
      </c>
      <c r="C246" s="5">
        <f t="shared" si="18"/>
        <v>9</v>
      </c>
      <c r="D246" s="5">
        <f t="shared" si="15"/>
        <v>2</v>
      </c>
      <c r="E246" s="5">
        <f t="shared" si="16"/>
        <v>2010</v>
      </c>
      <c r="F246" s="5" t="s">
        <v>21</v>
      </c>
      <c r="G246" s="5" t="s">
        <v>5</v>
      </c>
      <c r="H246" s="7">
        <v>278578.14</v>
      </c>
      <c r="I246" s="7">
        <v>298280.33</v>
      </c>
      <c r="J246" s="7">
        <f t="shared" si="17"/>
        <v>19702.190000000002</v>
      </c>
      <c r="K246" s="8">
        <f t="shared" si="19"/>
        <v>7.072410634947883E-2</v>
      </c>
    </row>
    <row r="247" spans="1:11" x14ac:dyDescent="0.3">
      <c r="A247" s="5" t="s">
        <v>43</v>
      </c>
      <c r="B247" s="6">
        <v>40233</v>
      </c>
      <c r="C247" s="5">
        <f t="shared" si="18"/>
        <v>9</v>
      </c>
      <c r="D247" s="5">
        <f t="shared" si="15"/>
        <v>2</v>
      </c>
      <c r="E247" s="5">
        <f t="shared" si="16"/>
        <v>2010</v>
      </c>
      <c r="F247" s="5" t="s">
        <v>22</v>
      </c>
      <c r="G247" s="5" t="s">
        <v>8</v>
      </c>
      <c r="H247" s="7">
        <v>458429.94</v>
      </c>
      <c r="I247" s="7">
        <v>493993.56</v>
      </c>
      <c r="J247" s="7">
        <f t="shared" si="17"/>
        <v>35563.619999999995</v>
      </c>
      <c r="K247" s="8">
        <f t="shared" si="19"/>
        <v>7.7577001188011405E-2</v>
      </c>
    </row>
    <row r="248" spans="1:11" x14ac:dyDescent="0.3">
      <c r="A248" s="5" t="s">
        <v>43</v>
      </c>
      <c r="B248" s="6">
        <v>40233</v>
      </c>
      <c r="C248" s="5">
        <f t="shared" si="18"/>
        <v>9</v>
      </c>
      <c r="D248" s="5">
        <f t="shared" si="15"/>
        <v>2</v>
      </c>
      <c r="E248" s="5">
        <f t="shared" si="16"/>
        <v>2010</v>
      </c>
      <c r="F248" s="5" t="s">
        <v>23</v>
      </c>
      <c r="G248" s="5" t="s">
        <v>8</v>
      </c>
      <c r="H248" s="7">
        <v>180457.89</v>
      </c>
      <c r="I248" s="7">
        <v>187772.39</v>
      </c>
      <c r="J248" s="7">
        <f t="shared" si="17"/>
        <v>7314.5</v>
      </c>
      <c r="K248" s="8">
        <f t="shared" si="19"/>
        <v>4.0533001909753015E-2</v>
      </c>
    </row>
    <row r="249" spans="1:11" x14ac:dyDescent="0.3">
      <c r="A249" s="5" t="s">
        <v>43</v>
      </c>
      <c r="B249" s="6">
        <v>40233</v>
      </c>
      <c r="C249" s="5">
        <f t="shared" si="18"/>
        <v>9</v>
      </c>
      <c r="D249" s="5">
        <f t="shared" si="15"/>
        <v>2</v>
      </c>
      <c r="E249" s="5">
        <f t="shared" si="16"/>
        <v>2010</v>
      </c>
      <c r="F249" s="5" t="s">
        <v>24</v>
      </c>
      <c r="G249" s="5" t="s">
        <v>8</v>
      </c>
      <c r="H249" s="7">
        <v>173752.99</v>
      </c>
      <c r="I249" s="7">
        <v>184410.54</v>
      </c>
      <c r="J249" s="7">
        <f t="shared" si="17"/>
        <v>10657.550000000017</v>
      </c>
      <c r="K249" s="8">
        <f t="shared" si="19"/>
        <v>6.1337361734034146E-2</v>
      </c>
    </row>
    <row r="250" spans="1:11" x14ac:dyDescent="0.3">
      <c r="A250" s="5" t="s">
        <v>43</v>
      </c>
      <c r="B250" s="6">
        <v>40233</v>
      </c>
      <c r="C250" s="5">
        <f t="shared" si="18"/>
        <v>9</v>
      </c>
      <c r="D250" s="5">
        <f t="shared" si="15"/>
        <v>2</v>
      </c>
      <c r="E250" s="5">
        <f t="shared" si="16"/>
        <v>2010</v>
      </c>
      <c r="F250" s="5" t="s">
        <v>25</v>
      </c>
      <c r="G250" s="5" t="s">
        <v>8</v>
      </c>
      <c r="H250" s="7">
        <v>11204.2</v>
      </c>
      <c r="I250" s="7">
        <v>11616.31</v>
      </c>
      <c r="J250" s="7">
        <f t="shared" si="17"/>
        <v>412.10999999999876</v>
      </c>
      <c r="K250" s="8">
        <f t="shared" si="19"/>
        <v>3.6781742560825295E-2</v>
      </c>
    </row>
    <row r="251" spans="1:11" x14ac:dyDescent="0.3">
      <c r="A251" s="5" t="s">
        <v>43</v>
      </c>
      <c r="B251" s="6">
        <v>40233</v>
      </c>
      <c r="C251" s="5">
        <f t="shared" si="18"/>
        <v>9</v>
      </c>
      <c r="D251" s="5">
        <f t="shared" si="15"/>
        <v>2</v>
      </c>
      <c r="E251" s="5">
        <f t="shared" si="16"/>
        <v>2010</v>
      </c>
      <c r="F251" s="5" t="s">
        <v>26</v>
      </c>
      <c r="G251" s="5" t="s">
        <v>10</v>
      </c>
      <c r="H251" s="7">
        <v>9402</v>
      </c>
      <c r="I251" s="7">
        <v>10519.37</v>
      </c>
      <c r="J251" s="7">
        <f t="shared" si="17"/>
        <v>1117.3700000000008</v>
      </c>
      <c r="K251" s="8">
        <f t="shared" si="19"/>
        <v>0.11884386300787075</v>
      </c>
    </row>
    <row r="252" spans="1:11" x14ac:dyDescent="0.3">
      <c r="A252" s="5" t="s">
        <v>43</v>
      </c>
      <c r="B252" s="6">
        <v>40233</v>
      </c>
      <c r="C252" s="5">
        <f t="shared" si="18"/>
        <v>9</v>
      </c>
      <c r="D252" s="5">
        <f t="shared" si="15"/>
        <v>2</v>
      </c>
      <c r="E252" s="5">
        <f t="shared" si="16"/>
        <v>2010</v>
      </c>
      <c r="F252" s="5" t="s">
        <v>27</v>
      </c>
      <c r="G252" s="5" t="s">
        <v>10</v>
      </c>
      <c r="H252" s="7">
        <v>175229.51</v>
      </c>
      <c r="I252" s="7">
        <v>199212.11</v>
      </c>
      <c r="J252" s="7">
        <f t="shared" si="17"/>
        <v>23982.599999999977</v>
      </c>
      <c r="K252" s="8">
        <f t="shared" si="19"/>
        <v>0.13686393347787126</v>
      </c>
    </row>
    <row r="253" spans="1:11" x14ac:dyDescent="0.3">
      <c r="A253" s="5" t="s">
        <v>43</v>
      </c>
      <c r="B253" s="6">
        <v>40233</v>
      </c>
      <c r="C253" s="5">
        <f t="shared" si="18"/>
        <v>9</v>
      </c>
      <c r="D253" s="5">
        <f t="shared" si="15"/>
        <v>2</v>
      </c>
      <c r="E253" s="5">
        <f t="shared" si="16"/>
        <v>2010</v>
      </c>
      <c r="F253" s="5" t="s">
        <v>28</v>
      </c>
      <c r="G253" s="5" t="s">
        <v>10</v>
      </c>
      <c r="H253" s="7">
        <v>123858.26</v>
      </c>
      <c r="I253" s="7">
        <v>138772.26999999999</v>
      </c>
      <c r="J253" s="7">
        <f t="shared" si="17"/>
        <v>14914.009999999995</v>
      </c>
      <c r="K253" s="8">
        <f t="shared" si="19"/>
        <v>0.12041191277836452</v>
      </c>
    </row>
    <row r="254" spans="1:11" x14ac:dyDescent="0.3">
      <c r="A254" s="5" t="s">
        <v>43</v>
      </c>
      <c r="B254" s="6">
        <v>40233</v>
      </c>
      <c r="C254" s="5">
        <f t="shared" si="18"/>
        <v>9</v>
      </c>
      <c r="D254" s="5">
        <f t="shared" si="15"/>
        <v>2</v>
      </c>
      <c r="E254" s="5">
        <f t="shared" si="16"/>
        <v>2010</v>
      </c>
      <c r="F254" s="5" t="s">
        <v>29</v>
      </c>
      <c r="G254" s="5" t="s">
        <v>10</v>
      </c>
      <c r="H254" s="7">
        <v>794108.24</v>
      </c>
      <c r="I254" s="7">
        <v>869424.37</v>
      </c>
      <c r="J254" s="7">
        <f t="shared" si="17"/>
        <v>75316.13</v>
      </c>
      <c r="K254" s="8">
        <f t="shared" si="19"/>
        <v>9.484365758501638E-2</v>
      </c>
    </row>
    <row r="255" spans="1:11" x14ac:dyDescent="0.3">
      <c r="A255" s="5" t="s">
        <v>43</v>
      </c>
      <c r="B255" s="6">
        <v>40233</v>
      </c>
      <c r="C255" s="5">
        <f t="shared" si="18"/>
        <v>9</v>
      </c>
      <c r="D255" s="5">
        <f t="shared" si="15"/>
        <v>2</v>
      </c>
      <c r="E255" s="5">
        <f t="shared" si="16"/>
        <v>2010</v>
      </c>
      <c r="F255" s="5" t="s">
        <v>30</v>
      </c>
      <c r="G255" s="5" t="s">
        <v>10</v>
      </c>
      <c r="H255" s="7">
        <v>89895</v>
      </c>
      <c r="I255" s="7">
        <v>102469.19</v>
      </c>
      <c r="J255" s="7">
        <f t="shared" si="17"/>
        <v>12574.190000000002</v>
      </c>
      <c r="K255" s="8">
        <f t="shared" si="19"/>
        <v>0.1398764113688192</v>
      </c>
    </row>
    <row r="256" spans="1:11" x14ac:dyDescent="0.3">
      <c r="A256" s="5" t="s">
        <v>43</v>
      </c>
      <c r="B256" s="6">
        <v>40233</v>
      </c>
      <c r="C256" s="5">
        <f t="shared" si="18"/>
        <v>9</v>
      </c>
      <c r="D256" s="5">
        <f t="shared" si="15"/>
        <v>2</v>
      </c>
      <c r="E256" s="5">
        <f t="shared" si="16"/>
        <v>2010</v>
      </c>
      <c r="F256" s="5" t="s">
        <v>9</v>
      </c>
      <c r="G256" s="5" t="s">
        <v>9</v>
      </c>
      <c r="H256" s="7">
        <v>741810.34</v>
      </c>
      <c r="I256" s="7">
        <v>879421.88</v>
      </c>
      <c r="J256" s="7">
        <f t="shared" si="17"/>
        <v>137611.54000000004</v>
      </c>
      <c r="K256" s="8">
        <f t="shared" si="19"/>
        <v>0.18550771346756914</v>
      </c>
    </row>
    <row r="257" spans="1:11" x14ac:dyDescent="0.3">
      <c r="A257" s="5" t="s">
        <v>43</v>
      </c>
      <c r="B257" s="6">
        <v>40233</v>
      </c>
      <c r="C257" s="5">
        <f t="shared" si="18"/>
        <v>9</v>
      </c>
      <c r="D257" s="5">
        <f t="shared" si="15"/>
        <v>2</v>
      </c>
      <c r="E257" s="5">
        <f t="shared" si="16"/>
        <v>2010</v>
      </c>
      <c r="F257" s="5" t="s">
        <v>31</v>
      </c>
      <c r="G257" s="5" t="s">
        <v>7</v>
      </c>
      <c r="H257" s="7">
        <v>11037.35</v>
      </c>
      <c r="I257" s="7">
        <v>24481.63</v>
      </c>
      <c r="J257" s="7">
        <f t="shared" si="17"/>
        <v>13444.28</v>
      </c>
      <c r="K257" s="8">
        <f t="shared" si="19"/>
        <v>1.2180713667682914</v>
      </c>
    </row>
    <row r="258" spans="1:11" x14ac:dyDescent="0.3">
      <c r="A258" s="5" t="s">
        <v>43</v>
      </c>
      <c r="B258" s="6">
        <v>40233</v>
      </c>
      <c r="C258" s="5">
        <f t="shared" si="18"/>
        <v>9</v>
      </c>
      <c r="D258" s="5">
        <f t="shared" ref="D258:D321" si="20">MONTH(B258)</f>
        <v>2</v>
      </c>
      <c r="E258" s="5">
        <f t="shared" ref="E258:E321" si="21">YEAR(B258)</f>
        <v>2010</v>
      </c>
      <c r="F258" s="5" t="s">
        <v>32</v>
      </c>
      <c r="G258" s="5" t="s">
        <v>7</v>
      </c>
      <c r="H258" s="7">
        <v>8652</v>
      </c>
      <c r="I258" s="7">
        <v>9639.4699999999993</v>
      </c>
      <c r="J258" s="7">
        <f t="shared" ref="J258:J321" si="22">I258-H258</f>
        <v>987.46999999999935</v>
      </c>
      <c r="K258" s="8">
        <f t="shared" si="19"/>
        <v>0.11413199260286631</v>
      </c>
    </row>
    <row r="259" spans="1:11" x14ac:dyDescent="0.3">
      <c r="A259" s="5" t="s">
        <v>43</v>
      </c>
      <c r="B259" s="6">
        <v>40233</v>
      </c>
      <c r="C259" s="5">
        <f t="shared" ref="C259:C322" si="23">WEEKNUM(B259,1)</f>
        <v>9</v>
      </c>
      <c r="D259" s="5">
        <f t="shared" si="20"/>
        <v>2</v>
      </c>
      <c r="E259" s="5">
        <f t="shared" si="21"/>
        <v>2010</v>
      </c>
      <c r="F259" s="5" t="s">
        <v>33</v>
      </c>
      <c r="G259" s="5" t="s">
        <v>7</v>
      </c>
      <c r="H259" s="7">
        <v>188259.46</v>
      </c>
      <c r="I259" s="7">
        <v>364961.58</v>
      </c>
      <c r="J259" s="7">
        <f t="shared" si="22"/>
        <v>176702.12000000002</v>
      </c>
      <c r="K259" s="8">
        <f t="shared" ref="K259:K322" si="24">(I259-H259)/H259</f>
        <v>0.93860951263750592</v>
      </c>
    </row>
    <row r="260" spans="1:11" x14ac:dyDescent="0.3">
      <c r="A260" s="5" t="s">
        <v>43</v>
      </c>
      <c r="B260" s="6">
        <v>40233</v>
      </c>
      <c r="C260" s="5">
        <f t="shared" si="23"/>
        <v>9</v>
      </c>
      <c r="D260" s="5">
        <f t="shared" si="20"/>
        <v>2</v>
      </c>
      <c r="E260" s="5">
        <f t="shared" si="21"/>
        <v>2010</v>
      </c>
      <c r="F260" s="5" t="s">
        <v>34</v>
      </c>
      <c r="G260" s="5" t="s">
        <v>7</v>
      </c>
      <c r="H260" s="7">
        <v>76</v>
      </c>
      <c r="I260" s="7">
        <v>235.91</v>
      </c>
      <c r="J260" s="7">
        <f t="shared" si="22"/>
        <v>159.91</v>
      </c>
      <c r="K260" s="8">
        <f t="shared" si="24"/>
        <v>2.1040789473684209</v>
      </c>
    </row>
    <row r="261" spans="1:11" x14ac:dyDescent="0.3">
      <c r="A261" s="5" t="s">
        <v>43</v>
      </c>
      <c r="B261" s="6">
        <v>40233</v>
      </c>
      <c r="C261" s="5">
        <f t="shared" si="23"/>
        <v>9</v>
      </c>
      <c r="D261" s="5">
        <f t="shared" si="20"/>
        <v>2</v>
      </c>
      <c r="E261" s="5">
        <f t="shared" si="21"/>
        <v>2010</v>
      </c>
      <c r="F261" s="5" t="s">
        <v>35</v>
      </c>
      <c r="G261" s="5" t="s">
        <v>11</v>
      </c>
      <c r="H261" s="7">
        <v>2148.64</v>
      </c>
      <c r="I261" s="7">
        <v>2793.54</v>
      </c>
      <c r="J261" s="7">
        <f t="shared" si="22"/>
        <v>644.90000000000009</v>
      </c>
      <c r="K261" s="8">
        <f t="shared" si="24"/>
        <v>0.30014334648894192</v>
      </c>
    </row>
    <row r="262" spans="1:11" x14ac:dyDescent="0.3">
      <c r="A262" s="5" t="s">
        <v>43</v>
      </c>
      <c r="B262" s="6">
        <v>40233</v>
      </c>
      <c r="C262" s="5">
        <f t="shared" si="23"/>
        <v>9</v>
      </c>
      <c r="D262" s="5">
        <f t="shared" si="20"/>
        <v>2</v>
      </c>
      <c r="E262" s="5">
        <f t="shared" si="21"/>
        <v>2010</v>
      </c>
      <c r="F262" s="5" t="s">
        <v>36</v>
      </c>
      <c r="G262" s="5" t="s">
        <v>11</v>
      </c>
      <c r="H262" s="7">
        <v>141382.29999999999</v>
      </c>
      <c r="I262" s="7">
        <v>156524.13</v>
      </c>
      <c r="J262" s="7">
        <f t="shared" si="22"/>
        <v>15141.830000000016</v>
      </c>
      <c r="K262" s="8">
        <f t="shared" si="24"/>
        <v>0.10709848403937422</v>
      </c>
    </row>
    <row r="263" spans="1:11" x14ac:dyDescent="0.3">
      <c r="A263" s="5" t="s">
        <v>43</v>
      </c>
      <c r="B263" s="6">
        <v>40233</v>
      </c>
      <c r="C263" s="5">
        <f t="shared" si="23"/>
        <v>9</v>
      </c>
      <c r="D263" s="5">
        <f t="shared" si="20"/>
        <v>2</v>
      </c>
      <c r="E263" s="5">
        <f t="shared" si="21"/>
        <v>2010</v>
      </c>
      <c r="F263" s="5" t="s">
        <v>37</v>
      </c>
      <c r="G263" s="5" t="s">
        <v>11</v>
      </c>
      <c r="H263" s="7">
        <v>392714.46</v>
      </c>
      <c r="I263" s="7">
        <v>422080.78</v>
      </c>
      <c r="J263" s="7">
        <f t="shared" si="22"/>
        <v>29366.320000000007</v>
      </c>
      <c r="K263" s="8">
        <f t="shared" si="24"/>
        <v>7.4777791477298808E-2</v>
      </c>
    </row>
    <row r="264" spans="1:11" x14ac:dyDescent="0.3">
      <c r="A264" s="5" t="s">
        <v>43</v>
      </c>
      <c r="B264" s="6">
        <v>40233</v>
      </c>
      <c r="C264" s="5">
        <f t="shared" si="23"/>
        <v>9</v>
      </c>
      <c r="D264" s="5">
        <f t="shared" si="20"/>
        <v>2</v>
      </c>
      <c r="E264" s="5">
        <f t="shared" si="21"/>
        <v>2010</v>
      </c>
      <c r="F264" s="5" t="s">
        <v>38</v>
      </c>
      <c r="G264" s="5" t="s">
        <v>11</v>
      </c>
      <c r="H264" s="7">
        <v>306469.40999999997</v>
      </c>
      <c r="I264" s="7">
        <v>325990.5</v>
      </c>
      <c r="J264" s="7">
        <f t="shared" si="22"/>
        <v>19521.090000000026</v>
      </c>
      <c r="K264" s="8">
        <f t="shared" si="24"/>
        <v>6.3696699778291177E-2</v>
      </c>
    </row>
    <row r="265" spans="1:11" x14ac:dyDescent="0.3">
      <c r="A265" s="5" t="s">
        <v>43</v>
      </c>
      <c r="B265" s="6">
        <v>40234</v>
      </c>
      <c r="C265" s="5">
        <f t="shared" si="23"/>
        <v>9</v>
      </c>
      <c r="D265" s="5">
        <f t="shared" si="20"/>
        <v>2</v>
      </c>
      <c r="E265" s="5">
        <f t="shared" si="21"/>
        <v>2010</v>
      </c>
      <c r="F265" s="5" t="s">
        <v>14</v>
      </c>
      <c r="G265" s="5" t="s">
        <v>6</v>
      </c>
      <c r="H265" s="7">
        <v>10607</v>
      </c>
      <c r="I265" s="7">
        <v>12454.84</v>
      </c>
      <c r="J265" s="7">
        <f t="shared" si="22"/>
        <v>1847.8400000000001</v>
      </c>
      <c r="K265" s="8">
        <f t="shared" si="24"/>
        <v>0.17420948430281891</v>
      </c>
    </row>
    <row r="266" spans="1:11" x14ac:dyDescent="0.3">
      <c r="A266" s="5" t="s">
        <v>43</v>
      </c>
      <c r="B266" s="6">
        <v>40234</v>
      </c>
      <c r="C266" s="5">
        <f t="shared" si="23"/>
        <v>9</v>
      </c>
      <c r="D266" s="5">
        <f t="shared" si="20"/>
        <v>2</v>
      </c>
      <c r="E266" s="5">
        <f t="shared" si="21"/>
        <v>2010</v>
      </c>
      <c r="F266" s="5" t="s">
        <v>15</v>
      </c>
      <c r="G266" s="5" t="s">
        <v>6</v>
      </c>
      <c r="H266" s="7">
        <v>284122.39</v>
      </c>
      <c r="I266" s="7">
        <v>344579.75</v>
      </c>
      <c r="J266" s="7">
        <f t="shared" si="22"/>
        <v>60457.359999999986</v>
      </c>
      <c r="K266" s="8">
        <f t="shared" si="24"/>
        <v>0.21278632775122011</v>
      </c>
    </row>
    <row r="267" spans="1:11" x14ac:dyDescent="0.3">
      <c r="A267" s="5" t="s">
        <v>43</v>
      </c>
      <c r="B267" s="6">
        <v>40234</v>
      </c>
      <c r="C267" s="5">
        <f t="shared" si="23"/>
        <v>9</v>
      </c>
      <c r="D267" s="5">
        <f t="shared" si="20"/>
        <v>2</v>
      </c>
      <c r="E267" s="5">
        <f t="shared" si="21"/>
        <v>2010</v>
      </c>
      <c r="F267" s="5" t="s">
        <v>16</v>
      </c>
      <c r="G267" s="5" t="s">
        <v>6</v>
      </c>
      <c r="H267" s="7">
        <v>128450.94</v>
      </c>
      <c r="I267" s="7">
        <v>144687.81</v>
      </c>
      <c r="J267" s="7">
        <f t="shared" si="22"/>
        <v>16236.869999999995</v>
      </c>
      <c r="K267" s="8">
        <f t="shared" si="24"/>
        <v>0.12640522521672473</v>
      </c>
    </row>
    <row r="268" spans="1:11" x14ac:dyDescent="0.3">
      <c r="A268" s="5" t="s">
        <v>43</v>
      </c>
      <c r="B268" s="6">
        <v>40234</v>
      </c>
      <c r="C268" s="5">
        <f t="shared" si="23"/>
        <v>9</v>
      </c>
      <c r="D268" s="5">
        <f t="shared" si="20"/>
        <v>2</v>
      </c>
      <c r="E268" s="5">
        <f t="shared" si="21"/>
        <v>2010</v>
      </c>
      <c r="F268" s="5" t="s">
        <v>17</v>
      </c>
      <c r="G268" s="5" t="s">
        <v>6</v>
      </c>
      <c r="H268" s="7">
        <v>2245</v>
      </c>
      <c r="I268" s="7">
        <v>2491.64</v>
      </c>
      <c r="J268" s="7">
        <f t="shared" si="22"/>
        <v>246.63999999999987</v>
      </c>
      <c r="K268" s="8">
        <f t="shared" si="24"/>
        <v>0.10986191536748324</v>
      </c>
    </row>
    <row r="269" spans="1:11" x14ac:dyDescent="0.3">
      <c r="A269" s="5" t="s">
        <v>43</v>
      </c>
      <c r="B269" s="6">
        <v>40234</v>
      </c>
      <c r="C269" s="5">
        <f t="shared" si="23"/>
        <v>9</v>
      </c>
      <c r="D269" s="5">
        <f t="shared" si="20"/>
        <v>2</v>
      </c>
      <c r="E269" s="5">
        <f t="shared" si="21"/>
        <v>2010</v>
      </c>
      <c r="F269" s="5" t="s">
        <v>19</v>
      </c>
      <c r="G269" s="5" t="s">
        <v>5</v>
      </c>
      <c r="H269" s="7">
        <v>139197.93</v>
      </c>
      <c r="I269" s="7">
        <v>152119.04999999999</v>
      </c>
      <c r="J269" s="7">
        <f t="shared" si="22"/>
        <v>12921.119999999995</v>
      </c>
      <c r="K269" s="8">
        <f t="shared" si="24"/>
        <v>9.2825518310509336E-2</v>
      </c>
    </row>
    <row r="270" spans="1:11" x14ac:dyDescent="0.3">
      <c r="A270" s="5" t="s">
        <v>43</v>
      </c>
      <c r="B270" s="6">
        <v>40234</v>
      </c>
      <c r="C270" s="5">
        <f t="shared" si="23"/>
        <v>9</v>
      </c>
      <c r="D270" s="5">
        <f t="shared" si="20"/>
        <v>2</v>
      </c>
      <c r="E270" s="5">
        <f t="shared" si="21"/>
        <v>2010</v>
      </c>
      <c r="F270" s="5" t="s">
        <v>5</v>
      </c>
      <c r="G270" s="5" t="s">
        <v>5</v>
      </c>
      <c r="H270" s="7">
        <v>731962.54</v>
      </c>
      <c r="I270" s="7">
        <v>780520.99</v>
      </c>
      <c r="J270" s="7">
        <f t="shared" si="22"/>
        <v>48558.449999999953</v>
      </c>
      <c r="K270" s="8">
        <f t="shared" si="24"/>
        <v>6.6340075272157989E-2</v>
      </c>
    </row>
    <row r="271" spans="1:11" x14ac:dyDescent="0.3">
      <c r="A271" s="5" t="s">
        <v>43</v>
      </c>
      <c r="B271" s="6">
        <v>40234</v>
      </c>
      <c r="C271" s="5">
        <f t="shared" si="23"/>
        <v>9</v>
      </c>
      <c r="D271" s="5">
        <f t="shared" si="20"/>
        <v>2</v>
      </c>
      <c r="E271" s="5">
        <f t="shared" si="21"/>
        <v>2010</v>
      </c>
      <c r="F271" s="5" t="s">
        <v>20</v>
      </c>
      <c r="G271" s="5" t="s">
        <v>5</v>
      </c>
      <c r="H271" s="7">
        <v>131298.91</v>
      </c>
      <c r="I271" s="7">
        <v>143302.09</v>
      </c>
      <c r="J271" s="7">
        <f t="shared" si="22"/>
        <v>12003.179999999993</v>
      </c>
      <c r="K271" s="8">
        <f t="shared" si="24"/>
        <v>9.1418733026801161E-2</v>
      </c>
    </row>
    <row r="272" spans="1:11" x14ac:dyDescent="0.3">
      <c r="A272" s="5" t="s">
        <v>43</v>
      </c>
      <c r="B272" s="6">
        <v>40234</v>
      </c>
      <c r="C272" s="5">
        <f t="shared" si="23"/>
        <v>9</v>
      </c>
      <c r="D272" s="5">
        <f t="shared" si="20"/>
        <v>2</v>
      </c>
      <c r="E272" s="5">
        <f t="shared" si="21"/>
        <v>2010</v>
      </c>
      <c r="F272" s="5" t="s">
        <v>21</v>
      </c>
      <c r="G272" s="5" t="s">
        <v>5</v>
      </c>
      <c r="H272" s="7">
        <v>273562.40999999997</v>
      </c>
      <c r="I272" s="7">
        <v>294085.84000000003</v>
      </c>
      <c r="J272" s="7">
        <f t="shared" si="22"/>
        <v>20523.430000000051</v>
      </c>
      <c r="K272" s="8">
        <f t="shared" si="24"/>
        <v>7.5022843964563893E-2</v>
      </c>
    </row>
    <row r="273" spans="1:11" x14ac:dyDescent="0.3">
      <c r="A273" s="5" t="s">
        <v>43</v>
      </c>
      <c r="B273" s="6">
        <v>40234</v>
      </c>
      <c r="C273" s="5">
        <f t="shared" si="23"/>
        <v>9</v>
      </c>
      <c r="D273" s="5">
        <f t="shared" si="20"/>
        <v>2</v>
      </c>
      <c r="E273" s="5">
        <f t="shared" si="21"/>
        <v>2010</v>
      </c>
      <c r="F273" s="5" t="s">
        <v>22</v>
      </c>
      <c r="G273" s="5" t="s">
        <v>8</v>
      </c>
      <c r="H273" s="7">
        <v>556262.94999999995</v>
      </c>
      <c r="I273" s="7">
        <v>596896.75</v>
      </c>
      <c r="J273" s="7">
        <f t="shared" si="22"/>
        <v>40633.800000000047</v>
      </c>
      <c r="K273" s="8">
        <f t="shared" si="24"/>
        <v>7.3047827470803239E-2</v>
      </c>
    </row>
    <row r="274" spans="1:11" x14ac:dyDescent="0.3">
      <c r="A274" s="5" t="s">
        <v>43</v>
      </c>
      <c r="B274" s="6">
        <v>40234</v>
      </c>
      <c r="C274" s="5">
        <f t="shared" si="23"/>
        <v>9</v>
      </c>
      <c r="D274" s="5">
        <f t="shared" si="20"/>
        <v>2</v>
      </c>
      <c r="E274" s="5">
        <f t="shared" si="21"/>
        <v>2010</v>
      </c>
      <c r="F274" s="5" t="s">
        <v>23</v>
      </c>
      <c r="G274" s="5" t="s">
        <v>8</v>
      </c>
      <c r="H274" s="7">
        <v>185506.28</v>
      </c>
      <c r="I274" s="7">
        <v>193081.42</v>
      </c>
      <c r="J274" s="7">
        <f t="shared" si="22"/>
        <v>7575.140000000014</v>
      </c>
      <c r="K274" s="8">
        <f t="shared" si="24"/>
        <v>4.0834951787077044E-2</v>
      </c>
    </row>
    <row r="275" spans="1:11" x14ac:dyDescent="0.3">
      <c r="A275" s="5" t="s">
        <v>43</v>
      </c>
      <c r="B275" s="6">
        <v>40234</v>
      </c>
      <c r="C275" s="5">
        <f t="shared" si="23"/>
        <v>9</v>
      </c>
      <c r="D275" s="5">
        <f t="shared" si="20"/>
        <v>2</v>
      </c>
      <c r="E275" s="5">
        <f t="shared" si="21"/>
        <v>2010</v>
      </c>
      <c r="F275" s="5" t="s">
        <v>24</v>
      </c>
      <c r="G275" s="5" t="s">
        <v>8</v>
      </c>
      <c r="H275" s="7">
        <v>163691</v>
      </c>
      <c r="I275" s="7">
        <v>172972.05</v>
      </c>
      <c r="J275" s="7">
        <f t="shared" si="22"/>
        <v>9281.0499999999884</v>
      </c>
      <c r="K275" s="8">
        <f t="shared" si="24"/>
        <v>5.6698596746308526E-2</v>
      </c>
    </row>
    <row r="276" spans="1:11" x14ac:dyDescent="0.3">
      <c r="A276" s="5" t="s">
        <v>43</v>
      </c>
      <c r="B276" s="6">
        <v>40234</v>
      </c>
      <c r="C276" s="5">
        <f t="shared" si="23"/>
        <v>9</v>
      </c>
      <c r="D276" s="5">
        <f t="shared" si="20"/>
        <v>2</v>
      </c>
      <c r="E276" s="5">
        <f t="shared" si="21"/>
        <v>2010</v>
      </c>
      <c r="F276" s="5" t="s">
        <v>25</v>
      </c>
      <c r="G276" s="5" t="s">
        <v>8</v>
      </c>
      <c r="H276" s="7">
        <v>15134.4</v>
      </c>
      <c r="I276" s="7">
        <v>16735.580000000002</v>
      </c>
      <c r="J276" s="7">
        <f t="shared" si="22"/>
        <v>1601.1800000000021</v>
      </c>
      <c r="K276" s="8">
        <f t="shared" si="24"/>
        <v>0.1057973887303099</v>
      </c>
    </row>
    <row r="277" spans="1:11" x14ac:dyDescent="0.3">
      <c r="A277" s="5" t="s">
        <v>43</v>
      </c>
      <c r="B277" s="6">
        <v>40234</v>
      </c>
      <c r="C277" s="5">
        <f t="shared" si="23"/>
        <v>9</v>
      </c>
      <c r="D277" s="5">
        <f t="shared" si="20"/>
        <v>2</v>
      </c>
      <c r="E277" s="5">
        <f t="shared" si="21"/>
        <v>2010</v>
      </c>
      <c r="F277" s="5" t="s">
        <v>26</v>
      </c>
      <c r="G277" s="5" t="s">
        <v>10</v>
      </c>
      <c r="H277" s="7">
        <v>20006</v>
      </c>
      <c r="I277" s="7">
        <v>22442.31</v>
      </c>
      <c r="J277" s="7">
        <f t="shared" si="22"/>
        <v>2436.3100000000013</v>
      </c>
      <c r="K277" s="8">
        <f t="shared" si="24"/>
        <v>0.12177896631010704</v>
      </c>
    </row>
    <row r="278" spans="1:11" x14ac:dyDescent="0.3">
      <c r="A278" s="5" t="s">
        <v>43</v>
      </c>
      <c r="B278" s="6">
        <v>40234</v>
      </c>
      <c r="C278" s="5">
        <f t="shared" si="23"/>
        <v>9</v>
      </c>
      <c r="D278" s="5">
        <f t="shared" si="20"/>
        <v>2</v>
      </c>
      <c r="E278" s="5">
        <f t="shared" si="21"/>
        <v>2010</v>
      </c>
      <c r="F278" s="5" t="s">
        <v>27</v>
      </c>
      <c r="G278" s="5" t="s">
        <v>10</v>
      </c>
      <c r="H278" s="7">
        <v>192461.89</v>
      </c>
      <c r="I278" s="7">
        <v>218141.77</v>
      </c>
      <c r="J278" s="7">
        <f t="shared" si="22"/>
        <v>25679.879999999976</v>
      </c>
      <c r="K278" s="8">
        <f t="shared" si="24"/>
        <v>0.13342838938139895</v>
      </c>
    </row>
    <row r="279" spans="1:11" x14ac:dyDescent="0.3">
      <c r="A279" s="5" t="s">
        <v>43</v>
      </c>
      <c r="B279" s="6">
        <v>40234</v>
      </c>
      <c r="C279" s="5">
        <f t="shared" si="23"/>
        <v>9</v>
      </c>
      <c r="D279" s="5">
        <f t="shared" si="20"/>
        <v>2</v>
      </c>
      <c r="E279" s="5">
        <f t="shared" si="21"/>
        <v>2010</v>
      </c>
      <c r="F279" s="5" t="s">
        <v>28</v>
      </c>
      <c r="G279" s="5" t="s">
        <v>10</v>
      </c>
      <c r="H279" s="7">
        <v>97786.36</v>
      </c>
      <c r="I279" s="7">
        <v>113806.04</v>
      </c>
      <c r="J279" s="7">
        <f t="shared" si="22"/>
        <v>16019.679999999993</v>
      </c>
      <c r="K279" s="8">
        <f t="shared" si="24"/>
        <v>0.16382325714956558</v>
      </c>
    </row>
    <row r="280" spans="1:11" x14ac:dyDescent="0.3">
      <c r="A280" s="5" t="s">
        <v>43</v>
      </c>
      <c r="B280" s="6">
        <v>40234</v>
      </c>
      <c r="C280" s="5">
        <f t="shared" si="23"/>
        <v>9</v>
      </c>
      <c r="D280" s="5">
        <f t="shared" si="20"/>
        <v>2</v>
      </c>
      <c r="E280" s="5">
        <f t="shared" si="21"/>
        <v>2010</v>
      </c>
      <c r="F280" s="5" t="s">
        <v>29</v>
      </c>
      <c r="G280" s="5" t="s">
        <v>10</v>
      </c>
      <c r="H280" s="7">
        <v>744603.9</v>
      </c>
      <c r="I280" s="7">
        <v>822747.3</v>
      </c>
      <c r="J280" s="7">
        <f t="shared" si="22"/>
        <v>78143.400000000023</v>
      </c>
      <c r="K280" s="8">
        <f t="shared" si="24"/>
        <v>0.10494626740472353</v>
      </c>
    </row>
    <row r="281" spans="1:11" x14ac:dyDescent="0.3">
      <c r="A281" s="5" t="s">
        <v>43</v>
      </c>
      <c r="B281" s="6">
        <v>40234</v>
      </c>
      <c r="C281" s="5">
        <f t="shared" si="23"/>
        <v>9</v>
      </c>
      <c r="D281" s="5">
        <f t="shared" si="20"/>
        <v>2</v>
      </c>
      <c r="E281" s="5">
        <f t="shared" si="21"/>
        <v>2010</v>
      </c>
      <c r="F281" s="5" t="s">
        <v>30</v>
      </c>
      <c r="G281" s="5" t="s">
        <v>10</v>
      </c>
      <c r="H281" s="7">
        <v>90469.54</v>
      </c>
      <c r="I281" s="7">
        <v>102669.1</v>
      </c>
      <c r="J281" s="7">
        <f t="shared" si="22"/>
        <v>12199.560000000012</v>
      </c>
      <c r="K281" s="8">
        <f t="shared" si="24"/>
        <v>0.13484715408081011</v>
      </c>
    </row>
    <row r="282" spans="1:11" x14ac:dyDescent="0.3">
      <c r="A282" s="5" t="s">
        <v>43</v>
      </c>
      <c r="B282" s="6">
        <v>40234</v>
      </c>
      <c r="C282" s="5">
        <f t="shared" si="23"/>
        <v>9</v>
      </c>
      <c r="D282" s="5">
        <f t="shared" si="20"/>
        <v>2</v>
      </c>
      <c r="E282" s="5">
        <f t="shared" si="21"/>
        <v>2010</v>
      </c>
      <c r="F282" s="5" t="s">
        <v>9</v>
      </c>
      <c r="G282" s="5" t="s">
        <v>9</v>
      </c>
      <c r="H282" s="7">
        <v>720360.39</v>
      </c>
      <c r="I282" s="7">
        <v>839732.94</v>
      </c>
      <c r="J282" s="7">
        <f t="shared" si="22"/>
        <v>119372.54999999993</v>
      </c>
      <c r="K282" s="8">
        <f t="shared" si="24"/>
        <v>0.16571226244130377</v>
      </c>
    </row>
    <row r="283" spans="1:11" x14ac:dyDescent="0.3">
      <c r="A283" s="5" t="s">
        <v>43</v>
      </c>
      <c r="B283" s="6">
        <v>40234</v>
      </c>
      <c r="C283" s="5">
        <f t="shared" si="23"/>
        <v>9</v>
      </c>
      <c r="D283" s="5">
        <f t="shared" si="20"/>
        <v>2</v>
      </c>
      <c r="E283" s="5">
        <f t="shared" si="21"/>
        <v>2010</v>
      </c>
      <c r="F283" s="5" t="s">
        <v>31</v>
      </c>
      <c r="G283" s="5" t="s">
        <v>7</v>
      </c>
      <c r="H283" s="7">
        <v>17073.98</v>
      </c>
      <c r="I283" s="7">
        <v>37269.339999999997</v>
      </c>
      <c r="J283" s="7">
        <f t="shared" si="22"/>
        <v>20195.359999999997</v>
      </c>
      <c r="K283" s="8">
        <f t="shared" si="24"/>
        <v>1.1828150202823242</v>
      </c>
    </row>
    <row r="284" spans="1:11" x14ac:dyDescent="0.3">
      <c r="A284" s="5" t="s">
        <v>43</v>
      </c>
      <c r="B284" s="6">
        <v>40234</v>
      </c>
      <c r="C284" s="5">
        <f t="shared" si="23"/>
        <v>9</v>
      </c>
      <c r="D284" s="5">
        <f t="shared" si="20"/>
        <v>2</v>
      </c>
      <c r="E284" s="5">
        <f t="shared" si="21"/>
        <v>2010</v>
      </c>
      <c r="F284" s="5" t="s">
        <v>32</v>
      </c>
      <c r="G284" s="5" t="s">
        <v>7</v>
      </c>
      <c r="H284" s="7">
        <v>5578.3</v>
      </c>
      <c r="I284" s="7">
        <v>6214.14</v>
      </c>
      <c r="J284" s="7">
        <f t="shared" si="22"/>
        <v>635.84000000000015</v>
      </c>
      <c r="K284" s="8">
        <f t="shared" si="24"/>
        <v>0.11398454726350324</v>
      </c>
    </row>
    <row r="285" spans="1:11" x14ac:dyDescent="0.3">
      <c r="A285" s="5" t="s">
        <v>43</v>
      </c>
      <c r="B285" s="6">
        <v>40234</v>
      </c>
      <c r="C285" s="5">
        <f t="shared" si="23"/>
        <v>9</v>
      </c>
      <c r="D285" s="5">
        <f t="shared" si="20"/>
        <v>2</v>
      </c>
      <c r="E285" s="5">
        <f t="shared" si="21"/>
        <v>2010</v>
      </c>
      <c r="F285" s="5" t="s">
        <v>33</v>
      </c>
      <c r="G285" s="5" t="s">
        <v>7</v>
      </c>
      <c r="H285" s="7">
        <v>192006.52</v>
      </c>
      <c r="I285" s="7">
        <v>380226.3</v>
      </c>
      <c r="J285" s="7">
        <f t="shared" si="22"/>
        <v>188219.78</v>
      </c>
      <c r="K285" s="8">
        <f t="shared" si="24"/>
        <v>0.98027806555735719</v>
      </c>
    </row>
    <row r="286" spans="1:11" x14ac:dyDescent="0.3">
      <c r="A286" s="5" t="s">
        <v>43</v>
      </c>
      <c r="B286" s="6">
        <v>40234</v>
      </c>
      <c r="C286" s="5">
        <f t="shared" si="23"/>
        <v>9</v>
      </c>
      <c r="D286" s="5">
        <f t="shared" si="20"/>
        <v>2</v>
      </c>
      <c r="E286" s="5">
        <f t="shared" si="21"/>
        <v>2010</v>
      </c>
      <c r="F286" s="5" t="s">
        <v>34</v>
      </c>
      <c r="G286" s="5" t="s">
        <v>7</v>
      </c>
      <c r="H286" s="7">
        <v>152</v>
      </c>
      <c r="I286" s="7">
        <v>471.99</v>
      </c>
      <c r="J286" s="7">
        <f t="shared" si="22"/>
        <v>319.99</v>
      </c>
      <c r="K286" s="8">
        <f t="shared" si="24"/>
        <v>2.1051973684210528</v>
      </c>
    </row>
    <row r="287" spans="1:11" x14ac:dyDescent="0.3">
      <c r="A287" s="5" t="s">
        <v>43</v>
      </c>
      <c r="B287" s="6">
        <v>40234</v>
      </c>
      <c r="C287" s="5">
        <f t="shared" si="23"/>
        <v>9</v>
      </c>
      <c r="D287" s="5">
        <f t="shared" si="20"/>
        <v>2</v>
      </c>
      <c r="E287" s="5">
        <f t="shared" si="21"/>
        <v>2010</v>
      </c>
      <c r="F287" s="5" t="s">
        <v>35</v>
      </c>
      <c r="G287" s="5" t="s">
        <v>11</v>
      </c>
      <c r="H287" s="7">
        <v>4563.92</v>
      </c>
      <c r="I287" s="7">
        <v>5856.82</v>
      </c>
      <c r="J287" s="7">
        <f t="shared" si="22"/>
        <v>1292.8999999999996</v>
      </c>
      <c r="K287" s="8">
        <f t="shared" si="24"/>
        <v>0.28328717418359645</v>
      </c>
    </row>
    <row r="288" spans="1:11" x14ac:dyDescent="0.3">
      <c r="A288" s="5" t="s">
        <v>43</v>
      </c>
      <c r="B288" s="6">
        <v>40234</v>
      </c>
      <c r="C288" s="5">
        <f t="shared" si="23"/>
        <v>9</v>
      </c>
      <c r="D288" s="5">
        <f t="shared" si="20"/>
        <v>2</v>
      </c>
      <c r="E288" s="5">
        <f t="shared" si="21"/>
        <v>2010</v>
      </c>
      <c r="F288" s="5" t="s">
        <v>36</v>
      </c>
      <c r="G288" s="5" t="s">
        <v>11</v>
      </c>
      <c r="H288" s="7">
        <v>161464.59</v>
      </c>
      <c r="I288" s="7">
        <v>180083.31</v>
      </c>
      <c r="J288" s="7">
        <f t="shared" si="22"/>
        <v>18618.72</v>
      </c>
      <c r="K288" s="8">
        <f t="shared" si="24"/>
        <v>0.11531147479456642</v>
      </c>
    </row>
    <row r="289" spans="1:11" x14ac:dyDescent="0.3">
      <c r="A289" s="5" t="s">
        <v>43</v>
      </c>
      <c r="B289" s="6">
        <v>40234</v>
      </c>
      <c r="C289" s="5">
        <f t="shared" si="23"/>
        <v>9</v>
      </c>
      <c r="D289" s="5">
        <f t="shared" si="20"/>
        <v>2</v>
      </c>
      <c r="E289" s="5">
        <f t="shared" si="21"/>
        <v>2010</v>
      </c>
      <c r="F289" s="5" t="s">
        <v>37</v>
      </c>
      <c r="G289" s="5" t="s">
        <v>11</v>
      </c>
      <c r="H289" s="7">
        <v>399187.35</v>
      </c>
      <c r="I289" s="7">
        <v>432703.85</v>
      </c>
      <c r="J289" s="7">
        <f t="shared" si="22"/>
        <v>33516.5</v>
      </c>
      <c r="K289" s="8">
        <f t="shared" si="24"/>
        <v>8.3961828950742057E-2</v>
      </c>
    </row>
    <row r="290" spans="1:11" x14ac:dyDescent="0.3">
      <c r="A290" s="5" t="s">
        <v>43</v>
      </c>
      <c r="B290" s="6">
        <v>40234</v>
      </c>
      <c r="C290" s="5">
        <f t="shared" si="23"/>
        <v>9</v>
      </c>
      <c r="D290" s="5">
        <f t="shared" si="20"/>
        <v>2</v>
      </c>
      <c r="E290" s="5">
        <f t="shared" si="21"/>
        <v>2010</v>
      </c>
      <c r="F290" s="5" t="s">
        <v>38</v>
      </c>
      <c r="G290" s="5" t="s">
        <v>11</v>
      </c>
      <c r="H290" s="7">
        <v>303607.75</v>
      </c>
      <c r="I290" s="7">
        <v>322131.23</v>
      </c>
      <c r="J290" s="7">
        <f t="shared" si="22"/>
        <v>18523.479999999981</v>
      </c>
      <c r="K290" s="8">
        <f t="shared" si="24"/>
        <v>6.1011222539609021E-2</v>
      </c>
    </row>
    <row r="291" spans="1:11" x14ac:dyDescent="0.3">
      <c r="A291" s="5" t="s">
        <v>43</v>
      </c>
      <c r="B291" s="6">
        <v>40235</v>
      </c>
      <c r="C291" s="5">
        <f t="shared" si="23"/>
        <v>9</v>
      </c>
      <c r="D291" s="5">
        <f t="shared" si="20"/>
        <v>2</v>
      </c>
      <c r="E291" s="5">
        <f t="shared" si="21"/>
        <v>2010</v>
      </c>
      <c r="F291" s="5" t="s">
        <v>14</v>
      </c>
      <c r="G291" s="5" t="s">
        <v>6</v>
      </c>
      <c r="H291" s="7">
        <v>16610</v>
      </c>
      <c r="I291" s="7">
        <v>19573.54</v>
      </c>
      <c r="J291" s="7">
        <f t="shared" si="22"/>
        <v>2963.5400000000009</v>
      </c>
      <c r="K291" s="8">
        <f t="shared" si="24"/>
        <v>0.1784190246839254</v>
      </c>
    </row>
    <row r="292" spans="1:11" x14ac:dyDescent="0.3">
      <c r="A292" s="5" t="s">
        <v>43</v>
      </c>
      <c r="B292" s="6">
        <v>40235</v>
      </c>
      <c r="C292" s="5">
        <f t="shared" si="23"/>
        <v>9</v>
      </c>
      <c r="D292" s="5">
        <f t="shared" si="20"/>
        <v>2</v>
      </c>
      <c r="E292" s="5">
        <f t="shared" si="21"/>
        <v>2010</v>
      </c>
      <c r="F292" s="5" t="s">
        <v>15</v>
      </c>
      <c r="G292" s="5" t="s">
        <v>6</v>
      </c>
      <c r="H292" s="7">
        <v>379990.91</v>
      </c>
      <c r="I292" s="7">
        <v>458666.13</v>
      </c>
      <c r="J292" s="7">
        <f t="shared" si="22"/>
        <v>78675.22000000003</v>
      </c>
      <c r="K292" s="8">
        <f t="shared" si="24"/>
        <v>0.2070450053660495</v>
      </c>
    </row>
    <row r="293" spans="1:11" x14ac:dyDescent="0.3">
      <c r="A293" s="5" t="s">
        <v>43</v>
      </c>
      <c r="B293" s="6">
        <v>40235</v>
      </c>
      <c r="C293" s="5">
        <f t="shared" si="23"/>
        <v>9</v>
      </c>
      <c r="D293" s="5">
        <f t="shared" si="20"/>
        <v>2</v>
      </c>
      <c r="E293" s="5">
        <f t="shared" si="21"/>
        <v>2010</v>
      </c>
      <c r="F293" s="5" t="s">
        <v>16</v>
      </c>
      <c r="G293" s="5" t="s">
        <v>6</v>
      </c>
      <c r="H293" s="7">
        <v>171432.56</v>
      </c>
      <c r="I293" s="7">
        <v>193125.61</v>
      </c>
      <c r="J293" s="7">
        <f t="shared" si="22"/>
        <v>21693.049999999988</v>
      </c>
      <c r="K293" s="8">
        <f t="shared" si="24"/>
        <v>0.12653984750621461</v>
      </c>
    </row>
    <row r="294" spans="1:11" x14ac:dyDescent="0.3">
      <c r="A294" s="5" t="s">
        <v>43</v>
      </c>
      <c r="B294" s="6">
        <v>40235</v>
      </c>
      <c r="C294" s="5">
        <f t="shared" si="23"/>
        <v>9</v>
      </c>
      <c r="D294" s="5">
        <f t="shared" si="20"/>
        <v>2</v>
      </c>
      <c r="E294" s="5">
        <f t="shared" si="21"/>
        <v>2010</v>
      </c>
      <c r="F294" s="5" t="s">
        <v>17</v>
      </c>
      <c r="G294" s="5" t="s">
        <v>6</v>
      </c>
      <c r="H294" s="7">
        <v>1793</v>
      </c>
      <c r="I294" s="7">
        <v>2061.88</v>
      </c>
      <c r="J294" s="7">
        <f t="shared" si="22"/>
        <v>268.88000000000011</v>
      </c>
      <c r="K294" s="8">
        <f t="shared" si="24"/>
        <v>0.14996095928611272</v>
      </c>
    </row>
    <row r="295" spans="1:11" x14ac:dyDescent="0.3">
      <c r="A295" s="5" t="s">
        <v>43</v>
      </c>
      <c r="B295" s="6">
        <v>40235</v>
      </c>
      <c r="C295" s="5">
        <f t="shared" si="23"/>
        <v>9</v>
      </c>
      <c r="D295" s="5">
        <f t="shared" si="20"/>
        <v>2</v>
      </c>
      <c r="E295" s="5">
        <f t="shared" si="21"/>
        <v>2010</v>
      </c>
      <c r="F295" s="5" t="s">
        <v>19</v>
      </c>
      <c r="G295" s="5" t="s">
        <v>5</v>
      </c>
      <c r="H295" s="7">
        <v>231030.34</v>
      </c>
      <c r="I295" s="7">
        <v>254043.42</v>
      </c>
      <c r="J295" s="7">
        <f t="shared" si="22"/>
        <v>23013.080000000016</v>
      </c>
      <c r="K295" s="8">
        <f t="shared" si="24"/>
        <v>9.9610639883921812E-2</v>
      </c>
    </row>
    <row r="296" spans="1:11" x14ac:dyDescent="0.3">
      <c r="A296" s="5" t="s">
        <v>43</v>
      </c>
      <c r="B296" s="6">
        <v>40235</v>
      </c>
      <c r="C296" s="5">
        <f t="shared" si="23"/>
        <v>9</v>
      </c>
      <c r="D296" s="5">
        <f t="shared" si="20"/>
        <v>2</v>
      </c>
      <c r="E296" s="5">
        <f t="shared" si="21"/>
        <v>2010</v>
      </c>
      <c r="F296" s="5" t="s">
        <v>5</v>
      </c>
      <c r="G296" s="5" t="s">
        <v>5</v>
      </c>
      <c r="H296" s="7">
        <v>875078.31</v>
      </c>
      <c r="I296" s="7">
        <v>933154.08</v>
      </c>
      <c r="J296" s="7">
        <f t="shared" si="22"/>
        <v>58075.769999999902</v>
      </c>
      <c r="K296" s="8">
        <f t="shared" si="24"/>
        <v>6.6366368971023743E-2</v>
      </c>
    </row>
    <row r="297" spans="1:11" x14ac:dyDescent="0.3">
      <c r="A297" s="5" t="s">
        <v>43</v>
      </c>
      <c r="B297" s="6">
        <v>40235</v>
      </c>
      <c r="C297" s="5">
        <f t="shared" si="23"/>
        <v>9</v>
      </c>
      <c r="D297" s="5">
        <f t="shared" si="20"/>
        <v>2</v>
      </c>
      <c r="E297" s="5">
        <f t="shared" si="21"/>
        <v>2010</v>
      </c>
      <c r="F297" s="5" t="s">
        <v>20</v>
      </c>
      <c r="G297" s="5" t="s">
        <v>5</v>
      </c>
      <c r="H297" s="7">
        <v>183271.75</v>
      </c>
      <c r="I297" s="7">
        <v>196326.46</v>
      </c>
      <c r="J297" s="7">
        <f t="shared" si="22"/>
        <v>13054.709999999992</v>
      </c>
      <c r="K297" s="8">
        <f t="shared" si="24"/>
        <v>7.1231436377946905E-2</v>
      </c>
    </row>
    <row r="298" spans="1:11" x14ac:dyDescent="0.3">
      <c r="A298" s="5" t="s">
        <v>43</v>
      </c>
      <c r="B298" s="6">
        <v>40235</v>
      </c>
      <c r="C298" s="5">
        <f t="shared" si="23"/>
        <v>9</v>
      </c>
      <c r="D298" s="5">
        <f t="shared" si="20"/>
        <v>2</v>
      </c>
      <c r="E298" s="5">
        <f t="shared" si="21"/>
        <v>2010</v>
      </c>
      <c r="F298" s="5" t="s">
        <v>21</v>
      </c>
      <c r="G298" s="5" t="s">
        <v>5</v>
      </c>
      <c r="H298" s="7">
        <v>346553.17</v>
      </c>
      <c r="I298" s="7">
        <v>370609.15</v>
      </c>
      <c r="J298" s="7">
        <f t="shared" si="22"/>
        <v>24055.98000000004</v>
      </c>
      <c r="K298" s="8">
        <f t="shared" si="24"/>
        <v>6.9414976062692021E-2</v>
      </c>
    </row>
    <row r="299" spans="1:11" x14ac:dyDescent="0.3">
      <c r="A299" s="5" t="s">
        <v>43</v>
      </c>
      <c r="B299" s="6">
        <v>40235</v>
      </c>
      <c r="C299" s="5">
        <f t="shared" si="23"/>
        <v>9</v>
      </c>
      <c r="D299" s="5">
        <f t="shared" si="20"/>
        <v>2</v>
      </c>
      <c r="E299" s="5">
        <f t="shared" si="21"/>
        <v>2010</v>
      </c>
      <c r="F299" s="5" t="s">
        <v>22</v>
      </c>
      <c r="G299" s="5" t="s">
        <v>8</v>
      </c>
      <c r="H299" s="7">
        <v>761982.41</v>
      </c>
      <c r="I299" s="7">
        <v>823836.68</v>
      </c>
      <c r="J299" s="7">
        <f t="shared" si="22"/>
        <v>61854.270000000019</v>
      </c>
      <c r="K299" s="8">
        <f t="shared" si="24"/>
        <v>8.1175456530551693E-2</v>
      </c>
    </row>
    <row r="300" spans="1:11" x14ac:dyDescent="0.3">
      <c r="A300" s="5" t="s">
        <v>43</v>
      </c>
      <c r="B300" s="6">
        <v>40235</v>
      </c>
      <c r="C300" s="5">
        <f t="shared" si="23"/>
        <v>9</v>
      </c>
      <c r="D300" s="5">
        <f t="shared" si="20"/>
        <v>2</v>
      </c>
      <c r="E300" s="5">
        <f t="shared" si="21"/>
        <v>2010</v>
      </c>
      <c r="F300" s="5" t="s">
        <v>23</v>
      </c>
      <c r="G300" s="5" t="s">
        <v>8</v>
      </c>
      <c r="H300" s="7">
        <v>356954</v>
      </c>
      <c r="I300" s="7">
        <v>369740.64</v>
      </c>
      <c r="J300" s="7">
        <f t="shared" si="22"/>
        <v>12786.640000000014</v>
      </c>
      <c r="K300" s="8">
        <f t="shared" si="24"/>
        <v>3.5821534427405252E-2</v>
      </c>
    </row>
    <row r="301" spans="1:11" x14ac:dyDescent="0.3">
      <c r="A301" s="5" t="s">
        <v>43</v>
      </c>
      <c r="B301" s="6">
        <v>40235</v>
      </c>
      <c r="C301" s="5">
        <f t="shared" si="23"/>
        <v>9</v>
      </c>
      <c r="D301" s="5">
        <f t="shared" si="20"/>
        <v>2</v>
      </c>
      <c r="E301" s="5">
        <f t="shared" si="21"/>
        <v>2010</v>
      </c>
      <c r="F301" s="5" t="s">
        <v>24</v>
      </c>
      <c r="G301" s="5" t="s">
        <v>8</v>
      </c>
      <c r="H301" s="7">
        <v>223403.99</v>
      </c>
      <c r="I301" s="7">
        <v>237031.66</v>
      </c>
      <c r="J301" s="7">
        <f t="shared" si="22"/>
        <v>13627.670000000013</v>
      </c>
      <c r="K301" s="8">
        <f t="shared" si="24"/>
        <v>6.1000119111570092E-2</v>
      </c>
    </row>
    <row r="302" spans="1:11" x14ac:dyDescent="0.3">
      <c r="A302" s="5" t="s">
        <v>43</v>
      </c>
      <c r="B302" s="6">
        <v>40235</v>
      </c>
      <c r="C302" s="5">
        <f t="shared" si="23"/>
        <v>9</v>
      </c>
      <c r="D302" s="5">
        <f t="shared" si="20"/>
        <v>2</v>
      </c>
      <c r="E302" s="5">
        <f t="shared" si="21"/>
        <v>2010</v>
      </c>
      <c r="F302" s="5" t="s">
        <v>25</v>
      </c>
      <c r="G302" s="5" t="s">
        <v>8</v>
      </c>
      <c r="H302" s="7">
        <v>62433.2</v>
      </c>
      <c r="I302" s="7">
        <v>63228.81</v>
      </c>
      <c r="J302" s="7">
        <f t="shared" si="22"/>
        <v>795.61000000000058</v>
      </c>
      <c r="K302" s="8">
        <f t="shared" si="24"/>
        <v>1.2743380124677265E-2</v>
      </c>
    </row>
    <row r="303" spans="1:11" x14ac:dyDescent="0.3">
      <c r="A303" s="5" t="s">
        <v>43</v>
      </c>
      <c r="B303" s="6">
        <v>40235</v>
      </c>
      <c r="C303" s="5">
        <f t="shared" si="23"/>
        <v>9</v>
      </c>
      <c r="D303" s="5">
        <f t="shared" si="20"/>
        <v>2</v>
      </c>
      <c r="E303" s="5">
        <f t="shared" si="21"/>
        <v>2010</v>
      </c>
      <c r="F303" s="5" t="s">
        <v>26</v>
      </c>
      <c r="G303" s="5" t="s">
        <v>10</v>
      </c>
      <c r="H303" s="7">
        <v>17191</v>
      </c>
      <c r="I303" s="7">
        <v>19344.14</v>
      </c>
      <c r="J303" s="7">
        <f t="shared" si="22"/>
        <v>2153.1399999999994</v>
      </c>
      <c r="K303" s="8">
        <f t="shared" si="24"/>
        <v>0.12524809493339534</v>
      </c>
    </row>
    <row r="304" spans="1:11" x14ac:dyDescent="0.3">
      <c r="A304" s="5" t="s">
        <v>43</v>
      </c>
      <c r="B304" s="6">
        <v>40235</v>
      </c>
      <c r="C304" s="5">
        <f t="shared" si="23"/>
        <v>9</v>
      </c>
      <c r="D304" s="5">
        <f t="shared" si="20"/>
        <v>2</v>
      </c>
      <c r="E304" s="5">
        <f t="shared" si="21"/>
        <v>2010</v>
      </c>
      <c r="F304" s="5" t="s">
        <v>27</v>
      </c>
      <c r="G304" s="5" t="s">
        <v>10</v>
      </c>
      <c r="H304" s="7">
        <v>272519.43</v>
      </c>
      <c r="I304" s="7">
        <v>309377.75</v>
      </c>
      <c r="J304" s="7">
        <f t="shared" si="22"/>
        <v>36858.320000000007</v>
      </c>
      <c r="K304" s="8">
        <f t="shared" si="24"/>
        <v>0.13525024619345494</v>
      </c>
    </row>
    <row r="305" spans="1:11" x14ac:dyDescent="0.3">
      <c r="A305" s="5" t="s">
        <v>43</v>
      </c>
      <c r="B305" s="6">
        <v>40235</v>
      </c>
      <c r="C305" s="5">
        <f t="shared" si="23"/>
        <v>9</v>
      </c>
      <c r="D305" s="5">
        <f t="shared" si="20"/>
        <v>2</v>
      </c>
      <c r="E305" s="5">
        <f t="shared" si="21"/>
        <v>2010</v>
      </c>
      <c r="F305" s="5" t="s">
        <v>28</v>
      </c>
      <c r="G305" s="5" t="s">
        <v>10</v>
      </c>
      <c r="H305" s="7">
        <v>97920.41</v>
      </c>
      <c r="I305" s="7">
        <v>113738.34</v>
      </c>
      <c r="J305" s="7">
        <f t="shared" si="22"/>
        <v>15817.929999999993</v>
      </c>
      <c r="K305" s="8">
        <f t="shared" si="24"/>
        <v>0.16153864143338445</v>
      </c>
    </row>
    <row r="306" spans="1:11" x14ac:dyDescent="0.3">
      <c r="A306" s="5" t="s">
        <v>43</v>
      </c>
      <c r="B306" s="6">
        <v>40235</v>
      </c>
      <c r="C306" s="5">
        <f t="shared" si="23"/>
        <v>9</v>
      </c>
      <c r="D306" s="5">
        <f t="shared" si="20"/>
        <v>2</v>
      </c>
      <c r="E306" s="5">
        <f t="shared" si="21"/>
        <v>2010</v>
      </c>
      <c r="F306" s="5" t="s">
        <v>29</v>
      </c>
      <c r="G306" s="5" t="s">
        <v>10</v>
      </c>
      <c r="H306" s="7">
        <v>1027577.89</v>
      </c>
      <c r="I306" s="7">
        <v>1130670.98</v>
      </c>
      <c r="J306" s="7">
        <f t="shared" si="22"/>
        <v>103093.08999999997</v>
      </c>
      <c r="K306" s="8">
        <f t="shared" si="24"/>
        <v>0.1003263022718404</v>
      </c>
    </row>
    <row r="307" spans="1:11" x14ac:dyDescent="0.3">
      <c r="A307" s="5" t="s">
        <v>43</v>
      </c>
      <c r="B307" s="6">
        <v>40235</v>
      </c>
      <c r="C307" s="5">
        <f t="shared" si="23"/>
        <v>9</v>
      </c>
      <c r="D307" s="5">
        <f t="shared" si="20"/>
        <v>2</v>
      </c>
      <c r="E307" s="5">
        <f t="shared" si="21"/>
        <v>2010</v>
      </c>
      <c r="F307" s="5" t="s">
        <v>30</v>
      </c>
      <c r="G307" s="5" t="s">
        <v>10</v>
      </c>
      <c r="H307" s="7">
        <v>147779.1</v>
      </c>
      <c r="I307" s="7">
        <v>167064.19</v>
      </c>
      <c r="J307" s="7">
        <f t="shared" si="22"/>
        <v>19285.089999999997</v>
      </c>
      <c r="K307" s="8">
        <f t="shared" si="24"/>
        <v>0.13049944139597544</v>
      </c>
    </row>
    <row r="308" spans="1:11" x14ac:dyDescent="0.3">
      <c r="A308" s="5" t="s">
        <v>43</v>
      </c>
      <c r="B308" s="6">
        <v>40235</v>
      </c>
      <c r="C308" s="5">
        <f t="shared" si="23"/>
        <v>9</v>
      </c>
      <c r="D308" s="5">
        <f t="shared" si="20"/>
        <v>2</v>
      </c>
      <c r="E308" s="5">
        <f t="shared" si="21"/>
        <v>2010</v>
      </c>
      <c r="F308" s="5" t="s">
        <v>9</v>
      </c>
      <c r="G308" s="5" t="s">
        <v>9</v>
      </c>
      <c r="H308" s="7">
        <v>1052790.9099999999</v>
      </c>
      <c r="I308" s="7">
        <v>1210235.52</v>
      </c>
      <c r="J308" s="7">
        <f t="shared" si="22"/>
        <v>157444.6100000001</v>
      </c>
      <c r="K308" s="8">
        <f t="shared" si="24"/>
        <v>0.14954974297792914</v>
      </c>
    </row>
    <row r="309" spans="1:11" x14ac:dyDescent="0.3">
      <c r="A309" s="5" t="s">
        <v>43</v>
      </c>
      <c r="B309" s="6">
        <v>40235</v>
      </c>
      <c r="C309" s="5">
        <f t="shared" si="23"/>
        <v>9</v>
      </c>
      <c r="D309" s="5">
        <f t="shared" si="20"/>
        <v>2</v>
      </c>
      <c r="E309" s="5">
        <f t="shared" si="21"/>
        <v>2010</v>
      </c>
      <c r="F309" s="5" t="s">
        <v>31</v>
      </c>
      <c r="G309" s="5" t="s">
        <v>7</v>
      </c>
      <c r="H309" s="7">
        <v>19954.71</v>
      </c>
      <c r="I309" s="7">
        <v>43545.24</v>
      </c>
      <c r="J309" s="7">
        <f t="shared" si="22"/>
        <v>23590.53</v>
      </c>
      <c r="K309" s="8">
        <f t="shared" si="24"/>
        <v>1.1822036000523184</v>
      </c>
    </row>
    <row r="310" spans="1:11" x14ac:dyDescent="0.3">
      <c r="A310" s="5" t="s">
        <v>43</v>
      </c>
      <c r="B310" s="6">
        <v>40235</v>
      </c>
      <c r="C310" s="5">
        <f t="shared" si="23"/>
        <v>9</v>
      </c>
      <c r="D310" s="5">
        <f t="shared" si="20"/>
        <v>2</v>
      </c>
      <c r="E310" s="5">
        <f t="shared" si="21"/>
        <v>2010</v>
      </c>
      <c r="F310" s="5" t="s">
        <v>32</v>
      </c>
      <c r="G310" s="5" t="s">
        <v>7</v>
      </c>
      <c r="H310" s="7">
        <v>9678.9</v>
      </c>
      <c r="I310" s="7">
        <v>10783.42</v>
      </c>
      <c r="J310" s="7">
        <f t="shared" si="22"/>
        <v>1104.5200000000004</v>
      </c>
      <c r="K310" s="8">
        <f t="shared" si="24"/>
        <v>0.11411627354348124</v>
      </c>
    </row>
    <row r="311" spans="1:11" x14ac:dyDescent="0.3">
      <c r="A311" s="5" t="s">
        <v>43</v>
      </c>
      <c r="B311" s="6">
        <v>40235</v>
      </c>
      <c r="C311" s="5">
        <f t="shared" si="23"/>
        <v>9</v>
      </c>
      <c r="D311" s="5">
        <f t="shared" si="20"/>
        <v>2</v>
      </c>
      <c r="E311" s="5">
        <f t="shared" si="21"/>
        <v>2010</v>
      </c>
      <c r="F311" s="5" t="s">
        <v>33</v>
      </c>
      <c r="G311" s="5" t="s">
        <v>7</v>
      </c>
      <c r="H311" s="7">
        <v>202521.66</v>
      </c>
      <c r="I311" s="7">
        <v>399552.87</v>
      </c>
      <c r="J311" s="7">
        <f t="shared" si="22"/>
        <v>197031.21</v>
      </c>
      <c r="K311" s="8">
        <f t="shared" si="24"/>
        <v>0.97288956647896319</v>
      </c>
    </row>
    <row r="312" spans="1:11" x14ac:dyDescent="0.3">
      <c r="A312" s="5" t="s">
        <v>43</v>
      </c>
      <c r="B312" s="6">
        <v>40235</v>
      </c>
      <c r="C312" s="5">
        <f t="shared" si="23"/>
        <v>9</v>
      </c>
      <c r="D312" s="5">
        <f t="shared" si="20"/>
        <v>2</v>
      </c>
      <c r="E312" s="5">
        <f t="shared" si="21"/>
        <v>2010</v>
      </c>
      <c r="F312" s="5" t="s">
        <v>34</v>
      </c>
      <c r="G312" s="5" t="s">
        <v>7</v>
      </c>
      <c r="H312" s="7">
        <v>209</v>
      </c>
      <c r="I312" s="7">
        <v>648.98</v>
      </c>
      <c r="J312" s="7">
        <f t="shared" si="22"/>
        <v>439.98</v>
      </c>
      <c r="K312" s="8">
        <f t="shared" si="24"/>
        <v>2.1051674641148326</v>
      </c>
    </row>
    <row r="313" spans="1:11" x14ac:dyDescent="0.3">
      <c r="A313" s="5" t="s">
        <v>43</v>
      </c>
      <c r="B313" s="6">
        <v>40235</v>
      </c>
      <c r="C313" s="5">
        <f t="shared" si="23"/>
        <v>9</v>
      </c>
      <c r="D313" s="5">
        <f t="shared" si="20"/>
        <v>2</v>
      </c>
      <c r="E313" s="5">
        <f t="shared" si="21"/>
        <v>2010</v>
      </c>
      <c r="F313" s="5" t="s">
        <v>35</v>
      </c>
      <c r="G313" s="5" t="s">
        <v>11</v>
      </c>
      <c r="H313" s="7">
        <v>4828.32</v>
      </c>
      <c r="I313" s="7">
        <v>6170.37</v>
      </c>
      <c r="J313" s="7">
        <f t="shared" si="22"/>
        <v>1342.0500000000002</v>
      </c>
      <c r="K313" s="8">
        <f t="shared" si="24"/>
        <v>0.27795382244755945</v>
      </c>
    </row>
    <row r="314" spans="1:11" x14ac:dyDescent="0.3">
      <c r="A314" s="5" t="s">
        <v>43</v>
      </c>
      <c r="B314" s="6">
        <v>40235</v>
      </c>
      <c r="C314" s="5">
        <f t="shared" si="23"/>
        <v>9</v>
      </c>
      <c r="D314" s="5">
        <f t="shared" si="20"/>
        <v>2</v>
      </c>
      <c r="E314" s="5">
        <f t="shared" si="21"/>
        <v>2010</v>
      </c>
      <c r="F314" s="5" t="s">
        <v>36</v>
      </c>
      <c r="G314" s="5" t="s">
        <v>11</v>
      </c>
      <c r="H314" s="7">
        <v>227563.67</v>
      </c>
      <c r="I314" s="7">
        <v>254126.67</v>
      </c>
      <c r="J314" s="7">
        <f t="shared" si="22"/>
        <v>26563</v>
      </c>
      <c r="K314" s="8">
        <f t="shared" si="24"/>
        <v>0.11672777117718307</v>
      </c>
    </row>
    <row r="315" spans="1:11" x14ac:dyDescent="0.3">
      <c r="A315" s="5" t="s">
        <v>43</v>
      </c>
      <c r="B315" s="6">
        <v>40235</v>
      </c>
      <c r="C315" s="5">
        <f t="shared" si="23"/>
        <v>9</v>
      </c>
      <c r="D315" s="5">
        <f t="shared" si="20"/>
        <v>2</v>
      </c>
      <c r="E315" s="5">
        <f t="shared" si="21"/>
        <v>2010</v>
      </c>
      <c r="F315" s="5" t="s">
        <v>37</v>
      </c>
      <c r="G315" s="5" t="s">
        <v>11</v>
      </c>
      <c r="H315" s="7">
        <v>561308.91</v>
      </c>
      <c r="I315" s="7">
        <v>602028.07999999996</v>
      </c>
      <c r="J315" s="7">
        <f t="shared" si="22"/>
        <v>40719.169999999925</v>
      </c>
      <c r="K315" s="8">
        <f t="shared" si="24"/>
        <v>7.2543245394055697E-2</v>
      </c>
    </row>
    <row r="316" spans="1:11" x14ac:dyDescent="0.3">
      <c r="A316" s="5" t="s">
        <v>43</v>
      </c>
      <c r="B316" s="6">
        <v>40235</v>
      </c>
      <c r="C316" s="5">
        <f t="shared" si="23"/>
        <v>9</v>
      </c>
      <c r="D316" s="5">
        <f t="shared" si="20"/>
        <v>2</v>
      </c>
      <c r="E316" s="5">
        <f t="shared" si="21"/>
        <v>2010</v>
      </c>
      <c r="F316" s="5" t="s">
        <v>38</v>
      </c>
      <c r="G316" s="5" t="s">
        <v>11</v>
      </c>
      <c r="H316" s="7">
        <v>426845.68</v>
      </c>
      <c r="I316" s="7">
        <v>453796.39</v>
      </c>
      <c r="J316" s="7">
        <f t="shared" si="22"/>
        <v>26950.710000000021</v>
      </c>
      <c r="K316" s="8">
        <f t="shared" si="24"/>
        <v>6.3139235706918762E-2</v>
      </c>
    </row>
    <row r="317" spans="1:11" x14ac:dyDescent="0.3">
      <c r="A317" s="5" t="s">
        <v>43</v>
      </c>
      <c r="B317" s="6">
        <v>40236</v>
      </c>
      <c r="C317" s="5">
        <f t="shared" si="23"/>
        <v>9</v>
      </c>
      <c r="D317" s="5">
        <f t="shared" si="20"/>
        <v>2</v>
      </c>
      <c r="E317" s="5">
        <f t="shared" si="21"/>
        <v>2010</v>
      </c>
      <c r="F317" s="5" t="s">
        <v>14</v>
      </c>
      <c r="G317" s="5" t="s">
        <v>6</v>
      </c>
      <c r="H317" s="7">
        <v>13833</v>
      </c>
      <c r="I317" s="7">
        <v>15688.08</v>
      </c>
      <c r="J317" s="7">
        <f t="shared" si="22"/>
        <v>1855.08</v>
      </c>
      <c r="K317" s="8">
        <f t="shared" si="24"/>
        <v>0.13410540013012362</v>
      </c>
    </row>
    <row r="318" spans="1:11" x14ac:dyDescent="0.3">
      <c r="A318" s="5" t="s">
        <v>43</v>
      </c>
      <c r="B318" s="6">
        <v>40236</v>
      </c>
      <c r="C318" s="5">
        <f t="shared" si="23"/>
        <v>9</v>
      </c>
      <c r="D318" s="5">
        <f t="shared" si="20"/>
        <v>2</v>
      </c>
      <c r="E318" s="5">
        <f t="shared" si="21"/>
        <v>2010</v>
      </c>
      <c r="F318" s="5" t="s">
        <v>15</v>
      </c>
      <c r="G318" s="5" t="s">
        <v>6</v>
      </c>
      <c r="H318" s="7">
        <v>521829.37</v>
      </c>
      <c r="I318" s="7">
        <v>625422.68999999994</v>
      </c>
      <c r="J318" s="7">
        <f t="shared" si="22"/>
        <v>103593.31999999995</v>
      </c>
      <c r="K318" s="8">
        <f t="shared" si="24"/>
        <v>0.19851952756127919</v>
      </c>
    </row>
    <row r="319" spans="1:11" x14ac:dyDescent="0.3">
      <c r="A319" s="5" t="s">
        <v>43</v>
      </c>
      <c r="B319" s="6">
        <v>40236</v>
      </c>
      <c r="C319" s="5">
        <f t="shared" si="23"/>
        <v>9</v>
      </c>
      <c r="D319" s="5">
        <f t="shared" si="20"/>
        <v>2</v>
      </c>
      <c r="E319" s="5">
        <f t="shared" si="21"/>
        <v>2010</v>
      </c>
      <c r="F319" s="5" t="s">
        <v>16</v>
      </c>
      <c r="G319" s="5" t="s">
        <v>6</v>
      </c>
      <c r="H319" s="7">
        <v>186159.65</v>
      </c>
      <c r="I319" s="7">
        <v>207678.93</v>
      </c>
      <c r="J319" s="7">
        <f t="shared" si="22"/>
        <v>21519.279999999999</v>
      </c>
      <c r="K319" s="8">
        <f t="shared" si="24"/>
        <v>0.11559583400591911</v>
      </c>
    </row>
    <row r="320" spans="1:11" x14ac:dyDescent="0.3">
      <c r="A320" s="5" t="s">
        <v>43</v>
      </c>
      <c r="B320" s="6">
        <v>40236</v>
      </c>
      <c r="C320" s="5">
        <f t="shared" si="23"/>
        <v>9</v>
      </c>
      <c r="D320" s="5">
        <f t="shared" si="20"/>
        <v>2</v>
      </c>
      <c r="E320" s="5">
        <f t="shared" si="21"/>
        <v>2010</v>
      </c>
      <c r="F320" s="5" t="s">
        <v>17</v>
      </c>
      <c r="G320" s="5" t="s">
        <v>6</v>
      </c>
      <c r="H320" s="7">
        <v>1871</v>
      </c>
      <c r="I320" s="7">
        <v>2030.31</v>
      </c>
      <c r="J320" s="7">
        <f t="shared" si="22"/>
        <v>159.30999999999995</v>
      </c>
      <c r="K320" s="8">
        <f t="shared" si="24"/>
        <v>8.5146980224478863E-2</v>
      </c>
    </row>
    <row r="321" spans="1:11" x14ac:dyDescent="0.3">
      <c r="A321" s="5" t="s">
        <v>43</v>
      </c>
      <c r="B321" s="6">
        <v>40236</v>
      </c>
      <c r="C321" s="5">
        <f t="shared" si="23"/>
        <v>9</v>
      </c>
      <c r="D321" s="5">
        <f t="shared" si="20"/>
        <v>2</v>
      </c>
      <c r="E321" s="5">
        <f t="shared" si="21"/>
        <v>2010</v>
      </c>
      <c r="F321" s="5" t="s">
        <v>19</v>
      </c>
      <c r="G321" s="5" t="s">
        <v>5</v>
      </c>
      <c r="H321" s="7">
        <v>347203.69</v>
      </c>
      <c r="I321" s="7">
        <v>378908.57</v>
      </c>
      <c r="J321" s="7">
        <f t="shared" si="22"/>
        <v>31704.880000000005</v>
      </c>
      <c r="K321" s="8">
        <f t="shared" si="24"/>
        <v>9.1314928133396298E-2</v>
      </c>
    </row>
    <row r="322" spans="1:11" x14ac:dyDescent="0.3">
      <c r="A322" s="5" t="s">
        <v>43</v>
      </c>
      <c r="B322" s="6">
        <v>40236</v>
      </c>
      <c r="C322" s="5">
        <f t="shared" si="23"/>
        <v>9</v>
      </c>
      <c r="D322" s="5">
        <f t="shared" ref="D322:D385" si="25">MONTH(B322)</f>
        <v>2</v>
      </c>
      <c r="E322" s="5">
        <f t="shared" ref="E322:E385" si="26">YEAR(B322)</f>
        <v>2010</v>
      </c>
      <c r="F322" s="5" t="s">
        <v>5</v>
      </c>
      <c r="G322" s="5" t="s">
        <v>5</v>
      </c>
      <c r="H322" s="7">
        <v>1020902.61</v>
      </c>
      <c r="I322" s="7">
        <v>1092157.3400000001</v>
      </c>
      <c r="J322" s="7">
        <f t="shared" ref="J322:J385" si="27">I322-H322</f>
        <v>71254.730000000098</v>
      </c>
      <c r="K322" s="8">
        <f t="shared" si="24"/>
        <v>6.9795815293292374E-2</v>
      </c>
    </row>
    <row r="323" spans="1:11" x14ac:dyDescent="0.3">
      <c r="A323" s="5" t="s">
        <v>43</v>
      </c>
      <c r="B323" s="6">
        <v>40236</v>
      </c>
      <c r="C323" s="5">
        <f t="shared" ref="C323:C386" si="28">WEEKNUM(B323,1)</f>
        <v>9</v>
      </c>
      <c r="D323" s="5">
        <f t="shared" si="25"/>
        <v>2</v>
      </c>
      <c r="E323" s="5">
        <f t="shared" si="26"/>
        <v>2010</v>
      </c>
      <c r="F323" s="5" t="s">
        <v>20</v>
      </c>
      <c r="G323" s="5" t="s">
        <v>5</v>
      </c>
      <c r="H323" s="7">
        <v>180597.07</v>
      </c>
      <c r="I323" s="7">
        <v>197712.05</v>
      </c>
      <c r="J323" s="7">
        <f t="shared" si="27"/>
        <v>17114.979999999981</v>
      </c>
      <c r="K323" s="8">
        <f t="shared" ref="K323:K386" si="29">(I323-H323)/H323</f>
        <v>9.4768868620072194E-2</v>
      </c>
    </row>
    <row r="324" spans="1:11" x14ac:dyDescent="0.3">
      <c r="A324" s="5" t="s">
        <v>43</v>
      </c>
      <c r="B324" s="6">
        <v>40236</v>
      </c>
      <c r="C324" s="5">
        <f t="shared" si="28"/>
        <v>9</v>
      </c>
      <c r="D324" s="5">
        <f t="shared" si="25"/>
        <v>2</v>
      </c>
      <c r="E324" s="5">
        <f t="shared" si="26"/>
        <v>2010</v>
      </c>
      <c r="F324" s="5" t="s">
        <v>21</v>
      </c>
      <c r="G324" s="5" t="s">
        <v>5</v>
      </c>
      <c r="H324" s="7">
        <v>445883.46</v>
      </c>
      <c r="I324" s="7">
        <v>475193.37</v>
      </c>
      <c r="J324" s="7">
        <f t="shared" si="27"/>
        <v>29309.909999999974</v>
      </c>
      <c r="K324" s="8">
        <f t="shared" si="29"/>
        <v>6.5734463440289922E-2</v>
      </c>
    </row>
    <row r="325" spans="1:11" x14ac:dyDescent="0.3">
      <c r="A325" s="5" t="s">
        <v>43</v>
      </c>
      <c r="B325" s="6">
        <v>40236</v>
      </c>
      <c r="C325" s="5">
        <f t="shared" si="28"/>
        <v>9</v>
      </c>
      <c r="D325" s="5">
        <f t="shared" si="25"/>
        <v>2</v>
      </c>
      <c r="E325" s="5">
        <f t="shared" si="26"/>
        <v>2010</v>
      </c>
      <c r="F325" s="5" t="s">
        <v>22</v>
      </c>
      <c r="G325" s="5" t="s">
        <v>8</v>
      </c>
      <c r="H325" s="7">
        <v>770041.4</v>
      </c>
      <c r="I325" s="7">
        <v>826741.98</v>
      </c>
      <c r="J325" s="7">
        <f t="shared" si="27"/>
        <v>56700.579999999958</v>
      </c>
      <c r="K325" s="8">
        <f t="shared" si="29"/>
        <v>7.3633157905535929E-2</v>
      </c>
    </row>
    <row r="326" spans="1:11" x14ac:dyDescent="0.3">
      <c r="A326" s="5" t="s">
        <v>43</v>
      </c>
      <c r="B326" s="6">
        <v>40236</v>
      </c>
      <c r="C326" s="5">
        <f t="shared" si="28"/>
        <v>9</v>
      </c>
      <c r="D326" s="5">
        <f t="shared" si="25"/>
        <v>2</v>
      </c>
      <c r="E326" s="5">
        <f t="shared" si="26"/>
        <v>2010</v>
      </c>
      <c r="F326" s="5" t="s">
        <v>23</v>
      </c>
      <c r="G326" s="5" t="s">
        <v>8</v>
      </c>
      <c r="H326" s="7">
        <v>330115.84000000003</v>
      </c>
      <c r="I326" s="7">
        <v>343403.7</v>
      </c>
      <c r="J326" s="7">
        <f t="shared" si="27"/>
        <v>13287.859999999986</v>
      </c>
      <c r="K326" s="8">
        <f t="shared" si="29"/>
        <v>4.0252112712919154E-2</v>
      </c>
    </row>
    <row r="327" spans="1:11" x14ac:dyDescent="0.3">
      <c r="A327" s="5" t="s">
        <v>43</v>
      </c>
      <c r="B327" s="6">
        <v>40236</v>
      </c>
      <c r="C327" s="5">
        <f t="shared" si="28"/>
        <v>9</v>
      </c>
      <c r="D327" s="5">
        <f t="shared" si="25"/>
        <v>2</v>
      </c>
      <c r="E327" s="5">
        <f t="shared" si="26"/>
        <v>2010</v>
      </c>
      <c r="F327" s="5" t="s">
        <v>24</v>
      </c>
      <c r="G327" s="5" t="s">
        <v>8</v>
      </c>
      <c r="H327" s="7">
        <v>274616.99</v>
      </c>
      <c r="I327" s="7">
        <v>291530.03000000003</v>
      </c>
      <c r="J327" s="7">
        <f t="shared" si="27"/>
        <v>16913.040000000037</v>
      </c>
      <c r="K327" s="8">
        <f t="shared" si="29"/>
        <v>6.1587740802198865E-2</v>
      </c>
    </row>
    <row r="328" spans="1:11" x14ac:dyDescent="0.3">
      <c r="A328" s="5" t="s">
        <v>43</v>
      </c>
      <c r="B328" s="6">
        <v>40236</v>
      </c>
      <c r="C328" s="5">
        <f t="shared" si="28"/>
        <v>9</v>
      </c>
      <c r="D328" s="5">
        <f t="shared" si="25"/>
        <v>2</v>
      </c>
      <c r="E328" s="5">
        <f t="shared" si="26"/>
        <v>2010</v>
      </c>
      <c r="F328" s="5" t="s">
        <v>25</v>
      </c>
      <c r="G328" s="5" t="s">
        <v>8</v>
      </c>
      <c r="H328" s="7">
        <v>24993.200000000001</v>
      </c>
      <c r="I328" s="7">
        <v>25514.39</v>
      </c>
      <c r="J328" s="7">
        <f t="shared" si="27"/>
        <v>521.18999999999869</v>
      </c>
      <c r="K328" s="8">
        <f t="shared" si="29"/>
        <v>2.085327209000843E-2</v>
      </c>
    </row>
    <row r="329" spans="1:11" x14ac:dyDescent="0.3">
      <c r="A329" s="5" t="s">
        <v>43</v>
      </c>
      <c r="B329" s="6">
        <v>40236</v>
      </c>
      <c r="C329" s="5">
        <f t="shared" si="28"/>
        <v>9</v>
      </c>
      <c r="D329" s="5">
        <f t="shared" si="25"/>
        <v>2</v>
      </c>
      <c r="E329" s="5">
        <f t="shared" si="26"/>
        <v>2010</v>
      </c>
      <c r="F329" s="5" t="s">
        <v>26</v>
      </c>
      <c r="G329" s="5" t="s">
        <v>10</v>
      </c>
      <c r="H329" s="7">
        <v>30251</v>
      </c>
      <c r="I329" s="7">
        <v>33757.410000000003</v>
      </c>
      <c r="J329" s="7">
        <f t="shared" si="27"/>
        <v>3506.4100000000035</v>
      </c>
      <c r="K329" s="8">
        <f t="shared" si="29"/>
        <v>0.11591054841162288</v>
      </c>
    </row>
    <row r="330" spans="1:11" x14ac:dyDescent="0.3">
      <c r="A330" s="5" t="s">
        <v>43</v>
      </c>
      <c r="B330" s="6">
        <v>40236</v>
      </c>
      <c r="C330" s="5">
        <f t="shared" si="28"/>
        <v>9</v>
      </c>
      <c r="D330" s="5">
        <f t="shared" si="25"/>
        <v>2</v>
      </c>
      <c r="E330" s="5">
        <f t="shared" si="26"/>
        <v>2010</v>
      </c>
      <c r="F330" s="5" t="s">
        <v>27</v>
      </c>
      <c r="G330" s="5" t="s">
        <v>10</v>
      </c>
      <c r="H330" s="7">
        <v>417673.89</v>
      </c>
      <c r="I330" s="7">
        <v>474399.94</v>
      </c>
      <c r="J330" s="7">
        <f t="shared" si="27"/>
        <v>56726.049999999988</v>
      </c>
      <c r="K330" s="8">
        <f t="shared" si="29"/>
        <v>0.135814211417429</v>
      </c>
    </row>
    <row r="331" spans="1:11" x14ac:dyDescent="0.3">
      <c r="A331" s="5" t="s">
        <v>43</v>
      </c>
      <c r="B331" s="6">
        <v>40236</v>
      </c>
      <c r="C331" s="5">
        <f t="shared" si="28"/>
        <v>9</v>
      </c>
      <c r="D331" s="5">
        <f t="shared" si="25"/>
        <v>2</v>
      </c>
      <c r="E331" s="5">
        <f t="shared" si="26"/>
        <v>2010</v>
      </c>
      <c r="F331" s="5" t="s">
        <v>28</v>
      </c>
      <c r="G331" s="5" t="s">
        <v>10</v>
      </c>
      <c r="H331" s="7">
        <v>275586.89</v>
      </c>
      <c r="I331" s="7">
        <v>298797.44</v>
      </c>
      <c r="J331" s="7">
        <f t="shared" si="27"/>
        <v>23210.549999999988</v>
      </c>
      <c r="K331" s="8">
        <f t="shared" si="29"/>
        <v>8.4222257452087029E-2</v>
      </c>
    </row>
    <row r="332" spans="1:11" x14ac:dyDescent="0.3">
      <c r="A332" s="5" t="s">
        <v>43</v>
      </c>
      <c r="B332" s="6">
        <v>40236</v>
      </c>
      <c r="C332" s="5">
        <f t="shared" si="28"/>
        <v>9</v>
      </c>
      <c r="D332" s="5">
        <f t="shared" si="25"/>
        <v>2</v>
      </c>
      <c r="E332" s="5">
        <f t="shared" si="26"/>
        <v>2010</v>
      </c>
      <c r="F332" s="5" t="s">
        <v>29</v>
      </c>
      <c r="G332" s="5" t="s">
        <v>10</v>
      </c>
      <c r="H332" s="7">
        <v>1169548.9099999999</v>
      </c>
      <c r="I332" s="7">
        <v>1281555.27</v>
      </c>
      <c r="J332" s="7">
        <f t="shared" si="27"/>
        <v>112006.3600000001</v>
      </c>
      <c r="K332" s="8">
        <f t="shared" si="29"/>
        <v>9.576885501949646E-2</v>
      </c>
    </row>
    <row r="333" spans="1:11" x14ac:dyDescent="0.3">
      <c r="A333" s="5" t="s">
        <v>43</v>
      </c>
      <c r="B333" s="6">
        <v>40236</v>
      </c>
      <c r="C333" s="5">
        <f t="shared" si="28"/>
        <v>9</v>
      </c>
      <c r="D333" s="5">
        <f t="shared" si="25"/>
        <v>2</v>
      </c>
      <c r="E333" s="5">
        <f t="shared" si="26"/>
        <v>2010</v>
      </c>
      <c r="F333" s="5" t="s">
        <v>30</v>
      </c>
      <c r="G333" s="5" t="s">
        <v>10</v>
      </c>
      <c r="H333" s="7">
        <v>204069.04</v>
      </c>
      <c r="I333" s="7">
        <v>230417.57</v>
      </c>
      <c r="J333" s="7">
        <f t="shared" si="27"/>
        <v>26348.53</v>
      </c>
      <c r="K333" s="8">
        <f t="shared" si="29"/>
        <v>0.12911576395909932</v>
      </c>
    </row>
    <row r="334" spans="1:11" x14ac:dyDescent="0.3">
      <c r="A334" s="5" t="s">
        <v>43</v>
      </c>
      <c r="B334" s="6">
        <v>40236</v>
      </c>
      <c r="C334" s="5">
        <f t="shared" si="28"/>
        <v>9</v>
      </c>
      <c r="D334" s="5">
        <f t="shared" si="25"/>
        <v>2</v>
      </c>
      <c r="E334" s="5">
        <f t="shared" si="26"/>
        <v>2010</v>
      </c>
      <c r="F334" s="5" t="s">
        <v>9</v>
      </c>
      <c r="G334" s="5" t="s">
        <v>9</v>
      </c>
      <c r="H334" s="7">
        <v>1017193.7</v>
      </c>
      <c r="I334" s="7">
        <v>1220667.25</v>
      </c>
      <c r="J334" s="7">
        <f t="shared" si="27"/>
        <v>203473.55000000005</v>
      </c>
      <c r="K334" s="8">
        <f t="shared" si="29"/>
        <v>0.20003422160400725</v>
      </c>
    </row>
    <row r="335" spans="1:11" x14ac:dyDescent="0.3">
      <c r="A335" s="5" t="s">
        <v>43</v>
      </c>
      <c r="B335" s="6">
        <v>40236</v>
      </c>
      <c r="C335" s="5">
        <f t="shared" si="28"/>
        <v>9</v>
      </c>
      <c r="D335" s="5">
        <f t="shared" si="25"/>
        <v>2</v>
      </c>
      <c r="E335" s="5">
        <f t="shared" si="26"/>
        <v>2010</v>
      </c>
      <c r="F335" s="5" t="s">
        <v>31</v>
      </c>
      <c r="G335" s="5" t="s">
        <v>7</v>
      </c>
      <c r="H335" s="7">
        <v>17522.990000000002</v>
      </c>
      <c r="I335" s="7">
        <v>38948.769999999997</v>
      </c>
      <c r="J335" s="7">
        <f t="shared" si="27"/>
        <v>21425.779999999995</v>
      </c>
      <c r="K335" s="8">
        <f t="shared" si="29"/>
        <v>1.2227239757598443</v>
      </c>
    </row>
    <row r="336" spans="1:11" x14ac:dyDescent="0.3">
      <c r="A336" s="5" t="s">
        <v>43</v>
      </c>
      <c r="B336" s="6">
        <v>40236</v>
      </c>
      <c r="C336" s="5">
        <f t="shared" si="28"/>
        <v>9</v>
      </c>
      <c r="D336" s="5">
        <f t="shared" si="25"/>
        <v>2</v>
      </c>
      <c r="E336" s="5">
        <f t="shared" si="26"/>
        <v>2010</v>
      </c>
      <c r="F336" s="5" t="s">
        <v>32</v>
      </c>
      <c r="G336" s="5" t="s">
        <v>7</v>
      </c>
      <c r="H336" s="7">
        <v>7866.6</v>
      </c>
      <c r="I336" s="7">
        <v>8764.5</v>
      </c>
      <c r="J336" s="7">
        <f t="shared" si="27"/>
        <v>897.89999999999964</v>
      </c>
      <c r="K336" s="8">
        <f t="shared" si="29"/>
        <v>0.11414079780337116</v>
      </c>
    </row>
    <row r="337" spans="1:11" x14ac:dyDescent="0.3">
      <c r="A337" s="5" t="s">
        <v>43</v>
      </c>
      <c r="B337" s="6">
        <v>40236</v>
      </c>
      <c r="C337" s="5">
        <f t="shared" si="28"/>
        <v>9</v>
      </c>
      <c r="D337" s="5">
        <f t="shared" si="25"/>
        <v>2</v>
      </c>
      <c r="E337" s="5">
        <f t="shared" si="26"/>
        <v>2010</v>
      </c>
      <c r="F337" s="5" t="s">
        <v>33</v>
      </c>
      <c r="G337" s="5" t="s">
        <v>7</v>
      </c>
      <c r="H337" s="7">
        <v>261118.86</v>
      </c>
      <c r="I337" s="7">
        <v>517472.77</v>
      </c>
      <c r="J337" s="7">
        <f t="shared" si="27"/>
        <v>256353.91000000003</v>
      </c>
      <c r="K337" s="8">
        <f t="shared" si="29"/>
        <v>0.98175179686369662</v>
      </c>
    </row>
    <row r="338" spans="1:11" x14ac:dyDescent="0.3">
      <c r="A338" s="5" t="s">
        <v>43</v>
      </c>
      <c r="B338" s="6">
        <v>40236</v>
      </c>
      <c r="C338" s="5">
        <f t="shared" si="28"/>
        <v>9</v>
      </c>
      <c r="D338" s="5">
        <f t="shared" si="25"/>
        <v>2</v>
      </c>
      <c r="E338" s="5">
        <f t="shared" si="26"/>
        <v>2010</v>
      </c>
      <c r="F338" s="5" t="s">
        <v>34</v>
      </c>
      <c r="G338" s="5" t="s">
        <v>7</v>
      </c>
      <c r="H338" s="7">
        <v>152</v>
      </c>
      <c r="I338" s="7">
        <v>471.75</v>
      </c>
      <c r="J338" s="7">
        <f t="shared" si="27"/>
        <v>319.75</v>
      </c>
      <c r="K338" s="8">
        <f t="shared" si="29"/>
        <v>2.1036184210526314</v>
      </c>
    </row>
    <row r="339" spans="1:11" x14ac:dyDescent="0.3">
      <c r="A339" s="5" t="s">
        <v>43</v>
      </c>
      <c r="B339" s="6">
        <v>40236</v>
      </c>
      <c r="C339" s="5">
        <f t="shared" si="28"/>
        <v>9</v>
      </c>
      <c r="D339" s="5">
        <f t="shared" si="25"/>
        <v>2</v>
      </c>
      <c r="E339" s="5">
        <f t="shared" si="26"/>
        <v>2010</v>
      </c>
      <c r="F339" s="5" t="s">
        <v>35</v>
      </c>
      <c r="G339" s="5" t="s">
        <v>11</v>
      </c>
      <c r="H339" s="7">
        <v>5754.16</v>
      </c>
      <c r="I339" s="7">
        <v>7483.28</v>
      </c>
      <c r="J339" s="7">
        <f t="shared" si="27"/>
        <v>1729.12</v>
      </c>
      <c r="K339" s="8">
        <f t="shared" si="29"/>
        <v>0.30049911716045435</v>
      </c>
    </row>
    <row r="340" spans="1:11" x14ac:dyDescent="0.3">
      <c r="A340" s="5" t="s">
        <v>43</v>
      </c>
      <c r="B340" s="6">
        <v>40236</v>
      </c>
      <c r="C340" s="5">
        <f t="shared" si="28"/>
        <v>9</v>
      </c>
      <c r="D340" s="5">
        <f t="shared" si="25"/>
        <v>2</v>
      </c>
      <c r="E340" s="5">
        <f t="shared" si="26"/>
        <v>2010</v>
      </c>
      <c r="F340" s="5" t="s">
        <v>36</v>
      </c>
      <c r="G340" s="5" t="s">
        <v>11</v>
      </c>
      <c r="H340" s="7">
        <v>315371.5</v>
      </c>
      <c r="I340" s="7">
        <v>346482.05</v>
      </c>
      <c r="J340" s="7">
        <f t="shared" si="27"/>
        <v>31110.549999999988</v>
      </c>
      <c r="K340" s="8">
        <f t="shared" si="29"/>
        <v>9.8647309601533395E-2</v>
      </c>
    </row>
    <row r="341" spans="1:11" x14ac:dyDescent="0.3">
      <c r="A341" s="5" t="s">
        <v>43</v>
      </c>
      <c r="B341" s="6">
        <v>40236</v>
      </c>
      <c r="C341" s="5">
        <f t="shared" si="28"/>
        <v>9</v>
      </c>
      <c r="D341" s="5">
        <f t="shared" si="25"/>
        <v>2</v>
      </c>
      <c r="E341" s="5">
        <f t="shared" si="26"/>
        <v>2010</v>
      </c>
      <c r="F341" s="5" t="s">
        <v>37</v>
      </c>
      <c r="G341" s="5" t="s">
        <v>11</v>
      </c>
      <c r="H341" s="7">
        <v>630647.32999999996</v>
      </c>
      <c r="I341" s="7">
        <v>678466.08</v>
      </c>
      <c r="J341" s="7">
        <f t="shared" si="27"/>
        <v>47818.75</v>
      </c>
      <c r="K341" s="8">
        <f t="shared" si="29"/>
        <v>7.5824867125022163E-2</v>
      </c>
    </row>
    <row r="342" spans="1:11" x14ac:dyDescent="0.3">
      <c r="A342" s="5" t="s">
        <v>43</v>
      </c>
      <c r="B342" s="6">
        <v>40236</v>
      </c>
      <c r="C342" s="5">
        <f t="shared" si="28"/>
        <v>9</v>
      </c>
      <c r="D342" s="5">
        <f t="shared" si="25"/>
        <v>2</v>
      </c>
      <c r="E342" s="5">
        <f t="shared" si="26"/>
        <v>2010</v>
      </c>
      <c r="F342" s="5" t="s">
        <v>38</v>
      </c>
      <c r="G342" s="5" t="s">
        <v>11</v>
      </c>
      <c r="H342" s="7">
        <v>567505.80000000005</v>
      </c>
      <c r="I342" s="7">
        <v>606323.47</v>
      </c>
      <c r="J342" s="7">
        <f t="shared" si="27"/>
        <v>38817.669999999925</v>
      </c>
      <c r="K342" s="8">
        <f t="shared" si="29"/>
        <v>6.8400481545739134E-2</v>
      </c>
    </row>
    <row r="343" spans="1:11" x14ac:dyDescent="0.3">
      <c r="A343" s="5" t="s">
        <v>43</v>
      </c>
      <c r="B343" s="6">
        <v>40237</v>
      </c>
      <c r="C343" s="5">
        <f t="shared" si="28"/>
        <v>10</v>
      </c>
      <c r="D343" s="5">
        <f t="shared" si="25"/>
        <v>2</v>
      </c>
      <c r="E343" s="5">
        <f t="shared" si="26"/>
        <v>2010</v>
      </c>
      <c r="F343" s="5" t="s">
        <v>14</v>
      </c>
      <c r="G343" s="5" t="s">
        <v>6</v>
      </c>
      <c r="H343" s="7">
        <v>13628</v>
      </c>
      <c r="I343" s="7">
        <v>16107.02</v>
      </c>
      <c r="J343" s="7">
        <f t="shared" si="27"/>
        <v>2479.0200000000004</v>
      </c>
      <c r="K343" s="8">
        <f t="shared" si="29"/>
        <v>0.18190636923980044</v>
      </c>
    </row>
    <row r="344" spans="1:11" x14ac:dyDescent="0.3">
      <c r="A344" s="5" t="s">
        <v>43</v>
      </c>
      <c r="B344" s="6">
        <v>40237</v>
      </c>
      <c r="C344" s="5">
        <f t="shared" si="28"/>
        <v>10</v>
      </c>
      <c r="D344" s="5">
        <f t="shared" si="25"/>
        <v>2</v>
      </c>
      <c r="E344" s="5">
        <f t="shared" si="26"/>
        <v>2010</v>
      </c>
      <c r="F344" s="5" t="s">
        <v>15</v>
      </c>
      <c r="G344" s="5" t="s">
        <v>6</v>
      </c>
      <c r="H344" s="7">
        <v>384121.62</v>
      </c>
      <c r="I344" s="7">
        <v>477150.62</v>
      </c>
      <c r="J344" s="7">
        <f t="shared" si="27"/>
        <v>93029</v>
      </c>
      <c r="K344" s="8">
        <f t="shared" si="29"/>
        <v>0.24218631588609879</v>
      </c>
    </row>
    <row r="345" spans="1:11" x14ac:dyDescent="0.3">
      <c r="A345" s="5" t="s">
        <v>43</v>
      </c>
      <c r="B345" s="6">
        <v>40237</v>
      </c>
      <c r="C345" s="5">
        <f t="shared" si="28"/>
        <v>10</v>
      </c>
      <c r="D345" s="5">
        <f t="shared" si="25"/>
        <v>2</v>
      </c>
      <c r="E345" s="5">
        <f t="shared" si="26"/>
        <v>2010</v>
      </c>
      <c r="F345" s="5" t="s">
        <v>16</v>
      </c>
      <c r="G345" s="5" t="s">
        <v>6</v>
      </c>
      <c r="H345" s="7">
        <v>170422.8</v>
      </c>
      <c r="I345" s="7">
        <v>192262.52</v>
      </c>
      <c r="J345" s="7">
        <f t="shared" si="27"/>
        <v>21839.72</v>
      </c>
      <c r="K345" s="8">
        <f t="shared" si="29"/>
        <v>0.12815022403105689</v>
      </c>
    </row>
    <row r="346" spans="1:11" x14ac:dyDescent="0.3">
      <c r="A346" s="5" t="s">
        <v>43</v>
      </c>
      <c r="B346" s="6">
        <v>40237</v>
      </c>
      <c r="C346" s="5">
        <f t="shared" si="28"/>
        <v>10</v>
      </c>
      <c r="D346" s="5">
        <f t="shared" si="25"/>
        <v>2</v>
      </c>
      <c r="E346" s="5">
        <f t="shared" si="26"/>
        <v>2010</v>
      </c>
      <c r="F346" s="5" t="s">
        <v>17</v>
      </c>
      <c r="G346" s="5" t="s">
        <v>6</v>
      </c>
      <c r="H346" s="7">
        <v>3316</v>
      </c>
      <c r="I346" s="7">
        <v>3811.92</v>
      </c>
      <c r="J346" s="7">
        <f t="shared" si="27"/>
        <v>495.92000000000007</v>
      </c>
      <c r="K346" s="8">
        <f t="shared" si="29"/>
        <v>0.14955367913148374</v>
      </c>
    </row>
    <row r="347" spans="1:11" x14ac:dyDescent="0.3">
      <c r="A347" s="5" t="s">
        <v>43</v>
      </c>
      <c r="B347" s="6">
        <v>40237</v>
      </c>
      <c r="C347" s="5">
        <f t="shared" si="28"/>
        <v>10</v>
      </c>
      <c r="D347" s="5">
        <f t="shared" si="25"/>
        <v>2</v>
      </c>
      <c r="E347" s="5">
        <f t="shared" si="26"/>
        <v>2010</v>
      </c>
      <c r="F347" s="5" t="s">
        <v>19</v>
      </c>
      <c r="G347" s="5" t="s">
        <v>5</v>
      </c>
      <c r="H347" s="7">
        <v>271932.99</v>
      </c>
      <c r="I347" s="7">
        <v>299806.46999999997</v>
      </c>
      <c r="J347" s="7">
        <f t="shared" si="27"/>
        <v>27873.479999999981</v>
      </c>
      <c r="K347" s="8">
        <f t="shared" si="29"/>
        <v>0.10250128165766126</v>
      </c>
    </row>
    <row r="348" spans="1:11" x14ac:dyDescent="0.3">
      <c r="A348" s="5" t="s">
        <v>43</v>
      </c>
      <c r="B348" s="6">
        <v>40237</v>
      </c>
      <c r="C348" s="5">
        <f t="shared" si="28"/>
        <v>10</v>
      </c>
      <c r="D348" s="5">
        <f t="shared" si="25"/>
        <v>2</v>
      </c>
      <c r="E348" s="5">
        <f t="shared" si="26"/>
        <v>2010</v>
      </c>
      <c r="F348" s="5" t="s">
        <v>5</v>
      </c>
      <c r="G348" s="5" t="s">
        <v>5</v>
      </c>
      <c r="H348" s="7">
        <v>886450</v>
      </c>
      <c r="I348" s="7">
        <v>954868.46</v>
      </c>
      <c r="J348" s="7">
        <f t="shared" si="27"/>
        <v>68418.459999999963</v>
      </c>
      <c r="K348" s="8">
        <f t="shared" si="29"/>
        <v>7.7182537086130029E-2</v>
      </c>
    </row>
    <row r="349" spans="1:11" x14ac:dyDescent="0.3">
      <c r="A349" s="5" t="s">
        <v>43</v>
      </c>
      <c r="B349" s="6">
        <v>40237</v>
      </c>
      <c r="C349" s="5">
        <f t="shared" si="28"/>
        <v>10</v>
      </c>
      <c r="D349" s="5">
        <f t="shared" si="25"/>
        <v>2</v>
      </c>
      <c r="E349" s="5">
        <f t="shared" si="26"/>
        <v>2010</v>
      </c>
      <c r="F349" s="5" t="s">
        <v>20</v>
      </c>
      <c r="G349" s="5" t="s">
        <v>5</v>
      </c>
      <c r="H349" s="7">
        <v>138097</v>
      </c>
      <c r="I349" s="7">
        <v>149468.76999999999</v>
      </c>
      <c r="J349" s="7">
        <f t="shared" si="27"/>
        <v>11371.76999999999</v>
      </c>
      <c r="K349" s="8">
        <f t="shared" si="29"/>
        <v>8.2346249375438926E-2</v>
      </c>
    </row>
    <row r="350" spans="1:11" x14ac:dyDescent="0.3">
      <c r="A350" s="5" t="s">
        <v>43</v>
      </c>
      <c r="B350" s="6">
        <v>40237</v>
      </c>
      <c r="C350" s="5">
        <f t="shared" si="28"/>
        <v>10</v>
      </c>
      <c r="D350" s="5">
        <f t="shared" si="25"/>
        <v>2</v>
      </c>
      <c r="E350" s="5">
        <f t="shared" si="26"/>
        <v>2010</v>
      </c>
      <c r="F350" s="5" t="s">
        <v>21</v>
      </c>
      <c r="G350" s="5" t="s">
        <v>5</v>
      </c>
      <c r="H350" s="7">
        <v>395878</v>
      </c>
      <c r="I350" s="7">
        <v>424522.5</v>
      </c>
      <c r="J350" s="7">
        <f t="shared" si="27"/>
        <v>28644.5</v>
      </c>
      <c r="K350" s="8">
        <f t="shared" si="29"/>
        <v>7.2356887728037431E-2</v>
      </c>
    </row>
    <row r="351" spans="1:11" x14ac:dyDescent="0.3">
      <c r="A351" s="5" t="s">
        <v>43</v>
      </c>
      <c r="B351" s="6">
        <v>40237</v>
      </c>
      <c r="C351" s="5">
        <f t="shared" si="28"/>
        <v>10</v>
      </c>
      <c r="D351" s="5">
        <f t="shared" si="25"/>
        <v>2</v>
      </c>
      <c r="E351" s="5">
        <f t="shared" si="26"/>
        <v>2010</v>
      </c>
      <c r="F351" s="5" t="s">
        <v>22</v>
      </c>
      <c r="G351" s="5" t="s">
        <v>8</v>
      </c>
      <c r="H351" s="7">
        <v>498169.42</v>
      </c>
      <c r="I351" s="7">
        <v>538846.13</v>
      </c>
      <c r="J351" s="7">
        <f t="shared" si="27"/>
        <v>40676.710000000021</v>
      </c>
      <c r="K351" s="8">
        <f t="shared" si="29"/>
        <v>8.1652362362988923E-2</v>
      </c>
    </row>
    <row r="352" spans="1:11" x14ac:dyDescent="0.3">
      <c r="A352" s="5" t="s">
        <v>43</v>
      </c>
      <c r="B352" s="6">
        <v>40237</v>
      </c>
      <c r="C352" s="5">
        <f t="shared" si="28"/>
        <v>10</v>
      </c>
      <c r="D352" s="5">
        <f t="shared" si="25"/>
        <v>2</v>
      </c>
      <c r="E352" s="5">
        <f t="shared" si="26"/>
        <v>2010</v>
      </c>
      <c r="F352" s="5" t="s">
        <v>23</v>
      </c>
      <c r="G352" s="5" t="s">
        <v>8</v>
      </c>
      <c r="H352" s="7">
        <v>226196.59</v>
      </c>
      <c r="I352" s="7">
        <v>237541.01</v>
      </c>
      <c r="J352" s="7">
        <f t="shared" si="27"/>
        <v>11344.420000000013</v>
      </c>
      <c r="K352" s="8">
        <f t="shared" si="29"/>
        <v>5.0152922287643738E-2</v>
      </c>
    </row>
    <row r="353" spans="1:11" x14ac:dyDescent="0.3">
      <c r="A353" s="5" t="s">
        <v>43</v>
      </c>
      <c r="B353" s="6">
        <v>40237</v>
      </c>
      <c r="C353" s="5">
        <f t="shared" si="28"/>
        <v>10</v>
      </c>
      <c r="D353" s="5">
        <f t="shared" si="25"/>
        <v>2</v>
      </c>
      <c r="E353" s="5">
        <f t="shared" si="26"/>
        <v>2010</v>
      </c>
      <c r="F353" s="5" t="s">
        <v>24</v>
      </c>
      <c r="G353" s="5" t="s">
        <v>8</v>
      </c>
      <c r="H353" s="7">
        <v>201623.99</v>
      </c>
      <c r="I353" s="7">
        <v>215317.28</v>
      </c>
      <c r="J353" s="7">
        <f t="shared" si="27"/>
        <v>13693.290000000008</v>
      </c>
      <c r="K353" s="8">
        <f t="shared" si="29"/>
        <v>6.7914983727878853E-2</v>
      </c>
    </row>
    <row r="354" spans="1:11" x14ac:dyDescent="0.3">
      <c r="A354" s="5" t="s">
        <v>43</v>
      </c>
      <c r="B354" s="6">
        <v>40237</v>
      </c>
      <c r="C354" s="5">
        <f t="shared" si="28"/>
        <v>10</v>
      </c>
      <c r="D354" s="5">
        <f t="shared" si="25"/>
        <v>2</v>
      </c>
      <c r="E354" s="5">
        <f t="shared" si="26"/>
        <v>2010</v>
      </c>
      <c r="F354" s="5" t="s">
        <v>25</v>
      </c>
      <c r="G354" s="5" t="s">
        <v>8</v>
      </c>
      <c r="H354" s="7">
        <v>16439.8</v>
      </c>
      <c r="I354" s="7">
        <v>16850.490000000002</v>
      </c>
      <c r="J354" s="7">
        <f t="shared" si="27"/>
        <v>410.69000000000233</v>
      </c>
      <c r="K354" s="8">
        <f t="shared" si="29"/>
        <v>2.4981447462864653E-2</v>
      </c>
    </row>
    <row r="355" spans="1:11" x14ac:dyDescent="0.3">
      <c r="A355" s="5" t="s">
        <v>43</v>
      </c>
      <c r="B355" s="6">
        <v>40237</v>
      </c>
      <c r="C355" s="5">
        <f t="shared" si="28"/>
        <v>10</v>
      </c>
      <c r="D355" s="5">
        <f t="shared" si="25"/>
        <v>2</v>
      </c>
      <c r="E355" s="5">
        <f t="shared" si="26"/>
        <v>2010</v>
      </c>
      <c r="F355" s="5" t="s">
        <v>26</v>
      </c>
      <c r="G355" s="5" t="s">
        <v>10</v>
      </c>
      <c r="H355" s="7">
        <v>17875</v>
      </c>
      <c r="I355" s="7">
        <v>19979.689999999999</v>
      </c>
      <c r="J355" s="7">
        <f t="shared" si="27"/>
        <v>2104.6899999999987</v>
      </c>
      <c r="K355" s="8">
        <f t="shared" si="29"/>
        <v>0.11774489510489503</v>
      </c>
    </row>
    <row r="356" spans="1:11" x14ac:dyDescent="0.3">
      <c r="A356" s="5" t="s">
        <v>43</v>
      </c>
      <c r="B356" s="6">
        <v>40237</v>
      </c>
      <c r="C356" s="5">
        <f t="shared" si="28"/>
        <v>10</v>
      </c>
      <c r="D356" s="5">
        <f t="shared" si="25"/>
        <v>2</v>
      </c>
      <c r="E356" s="5">
        <f t="shared" si="26"/>
        <v>2010</v>
      </c>
      <c r="F356" s="5" t="s">
        <v>27</v>
      </c>
      <c r="G356" s="5" t="s">
        <v>10</v>
      </c>
      <c r="H356" s="7">
        <v>268971.65000000002</v>
      </c>
      <c r="I356" s="7">
        <v>305413.46999999997</v>
      </c>
      <c r="J356" s="7">
        <f t="shared" si="27"/>
        <v>36441.819999999949</v>
      </c>
      <c r="K356" s="8">
        <f t="shared" si="29"/>
        <v>0.13548572870040373</v>
      </c>
    </row>
    <row r="357" spans="1:11" x14ac:dyDescent="0.3">
      <c r="A357" s="5" t="s">
        <v>43</v>
      </c>
      <c r="B357" s="6">
        <v>40237</v>
      </c>
      <c r="C357" s="5">
        <f t="shared" si="28"/>
        <v>10</v>
      </c>
      <c r="D357" s="5">
        <f t="shared" si="25"/>
        <v>2</v>
      </c>
      <c r="E357" s="5">
        <f t="shared" si="26"/>
        <v>2010</v>
      </c>
      <c r="F357" s="5" t="s">
        <v>28</v>
      </c>
      <c r="G357" s="5" t="s">
        <v>10</v>
      </c>
      <c r="H357" s="7">
        <v>126422.78</v>
      </c>
      <c r="I357" s="7">
        <v>144243.87</v>
      </c>
      <c r="J357" s="7">
        <f t="shared" si="27"/>
        <v>17821.089999999997</v>
      </c>
      <c r="K357" s="8">
        <f t="shared" si="29"/>
        <v>0.14096423128806373</v>
      </c>
    </row>
    <row r="358" spans="1:11" x14ac:dyDescent="0.3">
      <c r="A358" s="5" t="s">
        <v>43</v>
      </c>
      <c r="B358" s="6">
        <v>40237</v>
      </c>
      <c r="C358" s="5">
        <f t="shared" si="28"/>
        <v>10</v>
      </c>
      <c r="D358" s="5">
        <f t="shared" si="25"/>
        <v>2</v>
      </c>
      <c r="E358" s="5">
        <f t="shared" si="26"/>
        <v>2010</v>
      </c>
      <c r="F358" s="5" t="s">
        <v>29</v>
      </c>
      <c r="G358" s="5" t="s">
        <v>10</v>
      </c>
      <c r="H358" s="7">
        <v>893624.03</v>
      </c>
      <c r="I358" s="7">
        <v>984380.96</v>
      </c>
      <c r="J358" s="7">
        <f t="shared" si="27"/>
        <v>90756.929999999935</v>
      </c>
      <c r="K358" s="8">
        <f t="shared" si="29"/>
        <v>0.10156052987966308</v>
      </c>
    </row>
    <row r="359" spans="1:11" x14ac:dyDescent="0.3">
      <c r="A359" s="5" t="s">
        <v>43</v>
      </c>
      <c r="B359" s="6">
        <v>40237</v>
      </c>
      <c r="C359" s="5">
        <f t="shared" si="28"/>
        <v>10</v>
      </c>
      <c r="D359" s="5">
        <f t="shared" si="25"/>
        <v>2</v>
      </c>
      <c r="E359" s="5">
        <f t="shared" si="26"/>
        <v>2010</v>
      </c>
      <c r="F359" s="5" t="s">
        <v>30</v>
      </c>
      <c r="G359" s="5" t="s">
        <v>10</v>
      </c>
      <c r="H359" s="7">
        <v>148000.48000000001</v>
      </c>
      <c r="I359" s="7">
        <v>166432.35999999999</v>
      </c>
      <c r="J359" s="7">
        <f t="shared" si="27"/>
        <v>18431.879999999976</v>
      </c>
      <c r="K359" s="8">
        <f t="shared" si="29"/>
        <v>0.12453932581840257</v>
      </c>
    </row>
    <row r="360" spans="1:11" x14ac:dyDescent="0.3">
      <c r="A360" s="5" t="s">
        <v>43</v>
      </c>
      <c r="B360" s="6">
        <v>40237</v>
      </c>
      <c r="C360" s="5">
        <f t="shared" si="28"/>
        <v>10</v>
      </c>
      <c r="D360" s="5">
        <f t="shared" si="25"/>
        <v>2</v>
      </c>
      <c r="E360" s="5">
        <f t="shared" si="26"/>
        <v>2010</v>
      </c>
      <c r="F360" s="5" t="s">
        <v>9</v>
      </c>
      <c r="G360" s="5" t="s">
        <v>9</v>
      </c>
      <c r="H360" s="7">
        <v>732357.92</v>
      </c>
      <c r="I360" s="7">
        <v>895548.79</v>
      </c>
      <c r="J360" s="7">
        <f t="shared" si="27"/>
        <v>163190.87</v>
      </c>
      <c r="K360" s="8">
        <f t="shared" si="29"/>
        <v>0.22282939194540285</v>
      </c>
    </row>
    <row r="361" spans="1:11" x14ac:dyDescent="0.3">
      <c r="A361" s="5" t="s">
        <v>43</v>
      </c>
      <c r="B361" s="6">
        <v>40237</v>
      </c>
      <c r="C361" s="5">
        <f t="shared" si="28"/>
        <v>10</v>
      </c>
      <c r="D361" s="5">
        <f t="shared" si="25"/>
        <v>2</v>
      </c>
      <c r="E361" s="5">
        <f t="shared" si="26"/>
        <v>2010</v>
      </c>
      <c r="F361" s="5" t="s">
        <v>31</v>
      </c>
      <c r="G361" s="5" t="s">
        <v>7</v>
      </c>
      <c r="H361" s="7">
        <v>10304.700000000001</v>
      </c>
      <c r="I361" s="7">
        <v>22079.52</v>
      </c>
      <c r="J361" s="7">
        <f t="shared" si="27"/>
        <v>11774.82</v>
      </c>
      <c r="K361" s="8">
        <f t="shared" si="29"/>
        <v>1.1426649975254008</v>
      </c>
    </row>
    <row r="362" spans="1:11" x14ac:dyDescent="0.3">
      <c r="A362" s="5" t="s">
        <v>43</v>
      </c>
      <c r="B362" s="6">
        <v>40237</v>
      </c>
      <c r="C362" s="5">
        <f t="shared" si="28"/>
        <v>10</v>
      </c>
      <c r="D362" s="5">
        <f t="shared" si="25"/>
        <v>2</v>
      </c>
      <c r="E362" s="5">
        <f t="shared" si="26"/>
        <v>2010</v>
      </c>
      <c r="F362" s="5" t="s">
        <v>32</v>
      </c>
      <c r="G362" s="5" t="s">
        <v>7</v>
      </c>
      <c r="H362" s="7">
        <v>5517.4</v>
      </c>
      <c r="I362" s="7">
        <v>6147.46</v>
      </c>
      <c r="J362" s="7">
        <f t="shared" si="27"/>
        <v>630.0600000000004</v>
      </c>
      <c r="K362" s="8">
        <f t="shared" si="29"/>
        <v>0.11419509189110821</v>
      </c>
    </row>
    <row r="363" spans="1:11" x14ac:dyDescent="0.3">
      <c r="A363" s="5" t="s">
        <v>43</v>
      </c>
      <c r="B363" s="6">
        <v>40237</v>
      </c>
      <c r="C363" s="5">
        <f t="shared" si="28"/>
        <v>10</v>
      </c>
      <c r="D363" s="5">
        <f t="shared" si="25"/>
        <v>2</v>
      </c>
      <c r="E363" s="5">
        <f t="shared" si="26"/>
        <v>2010</v>
      </c>
      <c r="F363" s="5" t="s">
        <v>33</v>
      </c>
      <c r="G363" s="5" t="s">
        <v>7</v>
      </c>
      <c r="H363" s="7">
        <v>230156.25</v>
      </c>
      <c r="I363" s="7">
        <v>444247.42</v>
      </c>
      <c r="J363" s="7">
        <f t="shared" si="27"/>
        <v>214091.16999999998</v>
      </c>
      <c r="K363" s="8">
        <f t="shared" si="29"/>
        <v>0.93019924507807195</v>
      </c>
    </row>
    <row r="364" spans="1:11" x14ac:dyDescent="0.3">
      <c r="A364" s="5" t="s">
        <v>43</v>
      </c>
      <c r="B364" s="6">
        <v>40237</v>
      </c>
      <c r="C364" s="5">
        <f t="shared" si="28"/>
        <v>10</v>
      </c>
      <c r="D364" s="5">
        <f t="shared" si="25"/>
        <v>2</v>
      </c>
      <c r="E364" s="5">
        <f t="shared" si="26"/>
        <v>2010</v>
      </c>
      <c r="F364" s="5" t="s">
        <v>34</v>
      </c>
      <c r="G364" s="5" t="s">
        <v>7</v>
      </c>
      <c r="H364" s="7">
        <v>38</v>
      </c>
      <c r="I364" s="7">
        <v>118</v>
      </c>
      <c r="J364" s="7">
        <f t="shared" si="27"/>
        <v>80</v>
      </c>
      <c r="K364" s="8">
        <f t="shared" si="29"/>
        <v>2.1052631578947367</v>
      </c>
    </row>
    <row r="365" spans="1:11" x14ac:dyDescent="0.3">
      <c r="A365" s="5" t="s">
        <v>43</v>
      </c>
      <c r="B365" s="6">
        <v>40237</v>
      </c>
      <c r="C365" s="5">
        <f t="shared" si="28"/>
        <v>10</v>
      </c>
      <c r="D365" s="5">
        <f t="shared" si="25"/>
        <v>2</v>
      </c>
      <c r="E365" s="5">
        <f t="shared" si="26"/>
        <v>2010</v>
      </c>
      <c r="F365" s="5" t="s">
        <v>35</v>
      </c>
      <c r="G365" s="5" t="s">
        <v>11</v>
      </c>
      <c r="H365" s="7">
        <v>5485.6</v>
      </c>
      <c r="I365" s="7">
        <v>7054.31</v>
      </c>
      <c r="J365" s="7">
        <f t="shared" si="27"/>
        <v>1568.71</v>
      </c>
      <c r="K365" s="8">
        <f t="shared" si="29"/>
        <v>0.28596871809829372</v>
      </c>
    </row>
    <row r="366" spans="1:11" x14ac:dyDescent="0.3">
      <c r="A366" s="5" t="s">
        <v>43</v>
      </c>
      <c r="B366" s="6">
        <v>40237</v>
      </c>
      <c r="C366" s="5">
        <f t="shared" si="28"/>
        <v>10</v>
      </c>
      <c r="D366" s="5">
        <f t="shared" si="25"/>
        <v>2</v>
      </c>
      <c r="E366" s="5">
        <f t="shared" si="26"/>
        <v>2010</v>
      </c>
      <c r="F366" s="5" t="s">
        <v>36</v>
      </c>
      <c r="G366" s="5" t="s">
        <v>11</v>
      </c>
      <c r="H366" s="7">
        <v>297810.48</v>
      </c>
      <c r="I366" s="7">
        <v>322662.28999999998</v>
      </c>
      <c r="J366" s="7">
        <f t="shared" si="27"/>
        <v>24851.809999999998</v>
      </c>
      <c r="K366" s="8">
        <f t="shared" si="29"/>
        <v>8.3448406516788795E-2</v>
      </c>
    </row>
    <row r="367" spans="1:11" x14ac:dyDescent="0.3">
      <c r="A367" s="5" t="s">
        <v>43</v>
      </c>
      <c r="B367" s="6">
        <v>40237</v>
      </c>
      <c r="C367" s="5">
        <f t="shared" si="28"/>
        <v>10</v>
      </c>
      <c r="D367" s="5">
        <f t="shared" si="25"/>
        <v>2</v>
      </c>
      <c r="E367" s="5">
        <f t="shared" si="26"/>
        <v>2010</v>
      </c>
      <c r="F367" s="5" t="s">
        <v>37</v>
      </c>
      <c r="G367" s="5" t="s">
        <v>11</v>
      </c>
      <c r="H367" s="7">
        <v>546210.89</v>
      </c>
      <c r="I367" s="7">
        <v>585613.52</v>
      </c>
      <c r="J367" s="7">
        <f t="shared" si="27"/>
        <v>39402.630000000005</v>
      </c>
      <c r="K367" s="8">
        <f t="shared" si="29"/>
        <v>7.2138125990128102E-2</v>
      </c>
    </row>
    <row r="368" spans="1:11" x14ac:dyDescent="0.3">
      <c r="A368" s="5" t="s">
        <v>43</v>
      </c>
      <c r="B368" s="6">
        <v>40237</v>
      </c>
      <c r="C368" s="5">
        <f t="shared" si="28"/>
        <v>10</v>
      </c>
      <c r="D368" s="5">
        <f t="shared" si="25"/>
        <v>2</v>
      </c>
      <c r="E368" s="5">
        <f t="shared" si="26"/>
        <v>2010</v>
      </c>
      <c r="F368" s="5" t="s">
        <v>38</v>
      </c>
      <c r="G368" s="5" t="s">
        <v>11</v>
      </c>
      <c r="H368" s="7">
        <v>531187.43000000005</v>
      </c>
      <c r="I368" s="7">
        <v>566536.48</v>
      </c>
      <c r="J368" s="7">
        <f t="shared" si="27"/>
        <v>35349.04999999993</v>
      </c>
      <c r="K368" s="8">
        <f t="shared" si="29"/>
        <v>6.6547226089291922E-2</v>
      </c>
    </row>
    <row r="369" spans="1:11" x14ac:dyDescent="0.3">
      <c r="A369" s="5" t="s">
        <v>43</v>
      </c>
      <c r="B369" s="6">
        <v>40238</v>
      </c>
      <c r="C369" s="5">
        <f t="shared" si="28"/>
        <v>10</v>
      </c>
      <c r="D369" s="5">
        <f t="shared" si="25"/>
        <v>3</v>
      </c>
      <c r="E369" s="5">
        <f t="shared" si="26"/>
        <v>2010</v>
      </c>
      <c r="F369" s="5" t="s">
        <v>14</v>
      </c>
      <c r="G369" s="5" t="s">
        <v>6</v>
      </c>
      <c r="H369" s="7">
        <v>8316</v>
      </c>
      <c r="I369" s="7">
        <v>9891.85</v>
      </c>
      <c r="J369" s="7">
        <f t="shared" si="27"/>
        <v>1575.8500000000004</v>
      </c>
      <c r="K369" s="8">
        <f t="shared" si="29"/>
        <v>0.18949615199615205</v>
      </c>
    </row>
    <row r="370" spans="1:11" x14ac:dyDescent="0.3">
      <c r="A370" s="5" t="s">
        <v>43</v>
      </c>
      <c r="B370" s="6">
        <v>40238</v>
      </c>
      <c r="C370" s="5">
        <f t="shared" si="28"/>
        <v>10</v>
      </c>
      <c r="D370" s="5">
        <f t="shared" si="25"/>
        <v>3</v>
      </c>
      <c r="E370" s="5">
        <f t="shared" si="26"/>
        <v>2010</v>
      </c>
      <c r="F370" s="5" t="s">
        <v>15</v>
      </c>
      <c r="G370" s="5" t="s">
        <v>6</v>
      </c>
      <c r="H370" s="7">
        <v>320200.55</v>
      </c>
      <c r="I370" s="7">
        <v>393798.01</v>
      </c>
      <c r="J370" s="7">
        <f t="shared" si="27"/>
        <v>73597.460000000021</v>
      </c>
      <c r="K370" s="8">
        <f t="shared" si="29"/>
        <v>0.2298480124409531</v>
      </c>
    </row>
    <row r="371" spans="1:11" x14ac:dyDescent="0.3">
      <c r="A371" s="5" t="s">
        <v>43</v>
      </c>
      <c r="B371" s="6">
        <v>40238</v>
      </c>
      <c r="C371" s="5">
        <f t="shared" si="28"/>
        <v>10</v>
      </c>
      <c r="D371" s="5">
        <f t="shared" si="25"/>
        <v>3</v>
      </c>
      <c r="E371" s="5">
        <f t="shared" si="26"/>
        <v>2010</v>
      </c>
      <c r="F371" s="5" t="s">
        <v>16</v>
      </c>
      <c r="G371" s="5" t="s">
        <v>6</v>
      </c>
      <c r="H371" s="7">
        <v>131559.66</v>
      </c>
      <c r="I371" s="7">
        <v>148146.32999999999</v>
      </c>
      <c r="J371" s="7">
        <f t="shared" si="27"/>
        <v>16586.669999999984</v>
      </c>
      <c r="K371" s="8">
        <f t="shared" si="29"/>
        <v>0.12607717289631171</v>
      </c>
    </row>
    <row r="372" spans="1:11" x14ac:dyDescent="0.3">
      <c r="A372" s="5" t="s">
        <v>43</v>
      </c>
      <c r="B372" s="6">
        <v>40238</v>
      </c>
      <c r="C372" s="5">
        <f t="shared" si="28"/>
        <v>10</v>
      </c>
      <c r="D372" s="5">
        <f t="shared" si="25"/>
        <v>3</v>
      </c>
      <c r="E372" s="5">
        <f t="shared" si="26"/>
        <v>2010</v>
      </c>
      <c r="F372" s="5" t="s">
        <v>17</v>
      </c>
      <c r="G372" s="5" t="s">
        <v>6</v>
      </c>
      <c r="H372" s="7">
        <v>2149</v>
      </c>
      <c r="I372" s="7">
        <v>2471.92</v>
      </c>
      <c r="J372" s="7">
        <f t="shared" si="27"/>
        <v>322.92000000000007</v>
      </c>
      <c r="K372" s="8">
        <f t="shared" si="29"/>
        <v>0.15026523964634717</v>
      </c>
    </row>
    <row r="373" spans="1:11" x14ac:dyDescent="0.3">
      <c r="A373" s="5" t="s">
        <v>43</v>
      </c>
      <c r="B373" s="6">
        <v>40238</v>
      </c>
      <c r="C373" s="5">
        <f t="shared" si="28"/>
        <v>10</v>
      </c>
      <c r="D373" s="5">
        <f t="shared" si="25"/>
        <v>3</v>
      </c>
      <c r="E373" s="5">
        <f t="shared" si="26"/>
        <v>2010</v>
      </c>
      <c r="F373" s="5" t="s">
        <v>18</v>
      </c>
      <c r="G373" s="5" t="s">
        <v>6</v>
      </c>
      <c r="H373" s="7">
        <v>1512</v>
      </c>
      <c r="I373" s="7">
        <v>1739</v>
      </c>
      <c r="J373" s="7">
        <f t="shared" si="27"/>
        <v>227</v>
      </c>
      <c r="K373" s="8">
        <f t="shared" si="29"/>
        <v>0.15013227513227514</v>
      </c>
    </row>
    <row r="374" spans="1:11" x14ac:dyDescent="0.3">
      <c r="A374" s="5" t="s">
        <v>43</v>
      </c>
      <c r="B374" s="6">
        <v>40238</v>
      </c>
      <c r="C374" s="5">
        <f t="shared" si="28"/>
        <v>10</v>
      </c>
      <c r="D374" s="5">
        <f t="shared" si="25"/>
        <v>3</v>
      </c>
      <c r="E374" s="5">
        <f t="shared" si="26"/>
        <v>2010</v>
      </c>
      <c r="F374" s="5" t="s">
        <v>19</v>
      </c>
      <c r="G374" s="5" t="s">
        <v>5</v>
      </c>
      <c r="H374" s="7">
        <v>436341.51</v>
      </c>
      <c r="I374" s="7">
        <v>462894.58</v>
      </c>
      <c r="J374" s="7">
        <f t="shared" si="27"/>
        <v>26553.070000000007</v>
      </c>
      <c r="K374" s="8">
        <f t="shared" si="29"/>
        <v>6.085387108826755E-2</v>
      </c>
    </row>
    <row r="375" spans="1:11" x14ac:dyDescent="0.3">
      <c r="A375" s="5" t="s">
        <v>43</v>
      </c>
      <c r="B375" s="6">
        <v>40238</v>
      </c>
      <c r="C375" s="5">
        <f t="shared" si="28"/>
        <v>10</v>
      </c>
      <c r="D375" s="5">
        <f t="shared" si="25"/>
        <v>3</v>
      </c>
      <c r="E375" s="5">
        <f t="shared" si="26"/>
        <v>2010</v>
      </c>
      <c r="F375" s="5" t="s">
        <v>5</v>
      </c>
      <c r="G375" s="5" t="s">
        <v>5</v>
      </c>
      <c r="H375" s="7">
        <v>778942.91</v>
      </c>
      <c r="I375" s="7">
        <v>825651.52</v>
      </c>
      <c r="J375" s="7">
        <f t="shared" si="27"/>
        <v>46708.609999999986</v>
      </c>
      <c r="K375" s="8">
        <f t="shared" si="29"/>
        <v>5.9964099294516952E-2</v>
      </c>
    </row>
    <row r="376" spans="1:11" x14ac:dyDescent="0.3">
      <c r="A376" s="5" t="s">
        <v>43</v>
      </c>
      <c r="B376" s="6">
        <v>40238</v>
      </c>
      <c r="C376" s="5">
        <f t="shared" si="28"/>
        <v>10</v>
      </c>
      <c r="D376" s="5">
        <f t="shared" si="25"/>
        <v>3</v>
      </c>
      <c r="E376" s="5">
        <f t="shared" si="26"/>
        <v>2010</v>
      </c>
      <c r="F376" s="5" t="s">
        <v>20</v>
      </c>
      <c r="G376" s="5" t="s">
        <v>5</v>
      </c>
      <c r="H376" s="7">
        <v>110758.45</v>
      </c>
      <c r="I376" s="7">
        <v>120605.06</v>
      </c>
      <c r="J376" s="7">
        <f t="shared" si="27"/>
        <v>9846.61</v>
      </c>
      <c r="K376" s="8">
        <f t="shared" si="29"/>
        <v>8.8901659421922213E-2</v>
      </c>
    </row>
    <row r="377" spans="1:11" x14ac:dyDescent="0.3">
      <c r="A377" s="5" t="s">
        <v>43</v>
      </c>
      <c r="B377" s="6">
        <v>40238</v>
      </c>
      <c r="C377" s="5">
        <f t="shared" si="28"/>
        <v>10</v>
      </c>
      <c r="D377" s="5">
        <f t="shared" si="25"/>
        <v>3</v>
      </c>
      <c r="E377" s="5">
        <f t="shared" si="26"/>
        <v>2010</v>
      </c>
      <c r="F377" s="5" t="s">
        <v>21</v>
      </c>
      <c r="G377" s="5" t="s">
        <v>5</v>
      </c>
      <c r="H377" s="7">
        <v>301966.59000000003</v>
      </c>
      <c r="I377" s="7">
        <v>321419.19</v>
      </c>
      <c r="J377" s="7">
        <f t="shared" si="27"/>
        <v>19452.599999999977</v>
      </c>
      <c r="K377" s="8">
        <f t="shared" si="29"/>
        <v>6.4419709478455794E-2</v>
      </c>
    </row>
    <row r="378" spans="1:11" x14ac:dyDescent="0.3">
      <c r="A378" s="5" t="s">
        <v>43</v>
      </c>
      <c r="B378" s="6">
        <v>40238</v>
      </c>
      <c r="C378" s="5">
        <f t="shared" si="28"/>
        <v>10</v>
      </c>
      <c r="D378" s="5">
        <f t="shared" si="25"/>
        <v>3</v>
      </c>
      <c r="E378" s="5">
        <f t="shared" si="26"/>
        <v>2010</v>
      </c>
      <c r="F378" s="5" t="s">
        <v>22</v>
      </c>
      <c r="G378" s="5" t="s">
        <v>8</v>
      </c>
      <c r="H378" s="7">
        <v>407780.47</v>
      </c>
      <c r="I378" s="7">
        <v>433262.74</v>
      </c>
      <c r="J378" s="7">
        <f t="shared" si="27"/>
        <v>25482.270000000019</v>
      </c>
      <c r="K378" s="8">
        <f t="shared" si="29"/>
        <v>6.249016781014554E-2</v>
      </c>
    </row>
    <row r="379" spans="1:11" x14ac:dyDescent="0.3">
      <c r="A379" s="5" t="s">
        <v>43</v>
      </c>
      <c r="B379" s="6">
        <v>40238</v>
      </c>
      <c r="C379" s="5">
        <f t="shared" si="28"/>
        <v>10</v>
      </c>
      <c r="D379" s="5">
        <f t="shared" si="25"/>
        <v>3</v>
      </c>
      <c r="E379" s="5">
        <f t="shared" si="26"/>
        <v>2010</v>
      </c>
      <c r="F379" s="5" t="s">
        <v>23</v>
      </c>
      <c r="G379" s="5" t="s">
        <v>8</v>
      </c>
      <c r="H379" s="7">
        <v>198548.5</v>
      </c>
      <c r="I379" s="7">
        <v>206672.65</v>
      </c>
      <c r="J379" s="7">
        <f t="shared" si="27"/>
        <v>8124.1499999999942</v>
      </c>
      <c r="K379" s="8">
        <f t="shared" si="29"/>
        <v>4.0917710282374301E-2</v>
      </c>
    </row>
    <row r="380" spans="1:11" x14ac:dyDescent="0.3">
      <c r="A380" s="5" t="s">
        <v>43</v>
      </c>
      <c r="B380" s="6">
        <v>40238</v>
      </c>
      <c r="C380" s="5">
        <f t="shared" si="28"/>
        <v>10</v>
      </c>
      <c r="D380" s="5">
        <f t="shared" si="25"/>
        <v>3</v>
      </c>
      <c r="E380" s="5">
        <f t="shared" si="26"/>
        <v>2010</v>
      </c>
      <c r="F380" s="5" t="s">
        <v>24</v>
      </c>
      <c r="G380" s="5" t="s">
        <v>8</v>
      </c>
      <c r="H380" s="7">
        <v>176819</v>
      </c>
      <c r="I380" s="7">
        <v>187228.47</v>
      </c>
      <c r="J380" s="7">
        <f t="shared" si="27"/>
        <v>10409.470000000001</v>
      </c>
      <c r="K380" s="8">
        <f t="shared" si="29"/>
        <v>5.8870766150696481E-2</v>
      </c>
    </row>
    <row r="381" spans="1:11" x14ac:dyDescent="0.3">
      <c r="A381" s="5" t="s">
        <v>43</v>
      </c>
      <c r="B381" s="6">
        <v>40238</v>
      </c>
      <c r="C381" s="5">
        <f t="shared" si="28"/>
        <v>10</v>
      </c>
      <c r="D381" s="5">
        <f t="shared" si="25"/>
        <v>3</v>
      </c>
      <c r="E381" s="5">
        <f t="shared" si="26"/>
        <v>2010</v>
      </c>
      <c r="F381" s="5" t="s">
        <v>25</v>
      </c>
      <c r="G381" s="5" t="s">
        <v>8</v>
      </c>
      <c r="H381" s="7">
        <v>12335</v>
      </c>
      <c r="I381" s="7">
        <v>12565.79</v>
      </c>
      <c r="J381" s="7">
        <f t="shared" si="27"/>
        <v>230.79000000000087</v>
      </c>
      <c r="K381" s="8">
        <f t="shared" si="29"/>
        <v>1.8710174300770238E-2</v>
      </c>
    </row>
    <row r="382" spans="1:11" x14ac:dyDescent="0.3">
      <c r="A382" s="5" t="s">
        <v>43</v>
      </c>
      <c r="B382" s="6">
        <v>40238</v>
      </c>
      <c r="C382" s="5">
        <f t="shared" si="28"/>
        <v>10</v>
      </c>
      <c r="D382" s="5">
        <f t="shared" si="25"/>
        <v>3</v>
      </c>
      <c r="E382" s="5">
        <f t="shared" si="26"/>
        <v>2010</v>
      </c>
      <c r="F382" s="5" t="s">
        <v>26</v>
      </c>
      <c r="G382" s="5" t="s">
        <v>10</v>
      </c>
      <c r="H382" s="7">
        <v>17996</v>
      </c>
      <c r="I382" s="7">
        <v>20066.580000000002</v>
      </c>
      <c r="J382" s="7">
        <f t="shared" si="27"/>
        <v>2070.5800000000017</v>
      </c>
      <c r="K382" s="8">
        <f t="shared" si="29"/>
        <v>0.11505779062013791</v>
      </c>
    </row>
    <row r="383" spans="1:11" x14ac:dyDescent="0.3">
      <c r="A383" s="5" t="s">
        <v>43</v>
      </c>
      <c r="B383" s="6">
        <v>40238</v>
      </c>
      <c r="C383" s="5">
        <f t="shared" si="28"/>
        <v>10</v>
      </c>
      <c r="D383" s="5">
        <f t="shared" si="25"/>
        <v>3</v>
      </c>
      <c r="E383" s="5">
        <f t="shared" si="26"/>
        <v>2010</v>
      </c>
      <c r="F383" s="5" t="s">
        <v>27</v>
      </c>
      <c r="G383" s="5" t="s">
        <v>10</v>
      </c>
      <c r="H383" s="7">
        <v>238156.37</v>
      </c>
      <c r="I383" s="7">
        <v>270248.96999999997</v>
      </c>
      <c r="J383" s="7">
        <f t="shared" si="27"/>
        <v>32092.599999999977</v>
      </c>
      <c r="K383" s="8">
        <f t="shared" si="29"/>
        <v>0.13475432128899167</v>
      </c>
    </row>
    <row r="384" spans="1:11" x14ac:dyDescent="0.3">
      <c r="A384" s="5" t="s">
        <v>43</v>
      </c>
      <c r="B384" s="6">
        <v>40238</v>
      </c>
      <c r="C384" s="5">
        <f t="shared" si="28"/>
        <v>10</v>
      </c>
      <c r="D384" s="5">
        <f t="shared" si="25"/>
        <v>3</v>
      </c>
      <c r="E384" s="5">
        <f t="shared" si="26"/>
        <v>2010</v>
      </c>
      <c r="F384" s="5" t="s">
        <v>28</v>
      </c>
      <c r="G384" s="5" t="s">
        <v>10</v>
      </c>
      <c r="H384" s="7">
        <v>150617.34</v>
      </c>
      <c r="I384" s="7">
        <v>163279.37</v>
      </c>
      <c r="J384" s="7">
        <f t="shared" si="27"/>
        <v>12662.029999999999</v>
      </c>
      <c r="K384" s="8">
        <f t="shared" si="29"/>
        <v>8.4067544945356218E-2</v>
      </c>
    </row>
    <row r="385" spans="1:11" x14ac:dyDescent="0.3">
      <c r="A385" s="5" t="s">
        <v>43</v>
      </c>
      <c r="B385" s="6">
        <v>40238</v>
      </c>
      <c r="C385" s="5">
        <f t="shared" si="28"/>
        <v>10</v>
      </c>
      <c r="D385" s="5">
        <f t="shared" si="25"/>
        <v>3</v>
      </c>
      <c r="E385" s="5">
        <f t="shared" si="26"/>
        <v>2010</v>
      </c>
      <c r="F385" s="5" t="s">
        <v>29</v>
      </c>
      <c r="G385" s="5" t="s">
        <v>10</v>
      </c>
      <c r="H385" s="7">
        <v>721656.6</v>
      </c>
      <c r="I385" s="7">
        <v>784985</v>
      </c>
      <c r="J385" s="7">
        <f t="shared" si="27"/>
        <v>63328.400000000023</v>
      </c>
      <c r="K385" s="8">
        <f t="shared" si="29"/>
        <v>8.7754203314983917E-2</v>
      </c>
    </row>
    <row r="386" spans="1:11" x14ac:dyDescent="0.3">
      <c r="A386" s="5" t="s">
        <v>43</v>
      </c>
      <c r="B386" s="6">
        <v>40238</v>
      </c>
      <c r="C386" s="5">
        <f t="shared" si="28"/>
        <v>10</v>
      </c>
      <c r="D386" s="5">
        <f t="shared" ref="D386:D449" si="30">MONTH(B386)</f>
        <v>3</v>
      </c>
      <c r="E386" s="5">
        <f t="shared" ref="E386:E449" si="31">YEAR(B386)</f>
        <v>2010</v>
      </c>
      <c r="F386" s="5" t="s">
        <v>30</v>
      </c>
      <c r="G386" s="5" t="s">
        <v>10</v>
      </c>
      <c r="H386" s="7">
        <v>127359.48</v>
      </c>
      <c r="I386" s="7">
        <v>143474.51</v>
      </c>
      <c r="J386" s="7">
        <f t="shared" ref="J386:J449" si="32">I386-H386</f>
        <v>16115.030000000013</v>
      </c>
      <c r="K386" s="8">
        <f t="shared" si="29"/>
        <v>0.1265318451363025</v>
      </c>
    </row>
    <row r="387" spans="1:11" x14ac:dyDescent="0.3">
      <c r="A387" s="5" t="s">
        <v>43</v>
      </c>
      <c r="B387" s="6">
        <v>40238</v>
      </c>
      <c r="C387" s="5">
        <f t="shared" ref="C387:C450" si="33">WEEKNUM(B387,1)</f>
        <v>10</v>
      </c>
      <c r="D387" s="5">
        <f t="shared" si="30"/>
        <v>3</v>
      </c>
      <c r="E387" s="5">
        <f t="shared" si="31"/>
        <v>2010</v>
      </c>
      <c r="F387" s="5" t="s">
        <v>9</v>
      </c>
      <c r="G387" s="5" t="s">
        <v>9</v>
      </c>
      <c r="H387" s="7">
        <v>698705.27</v>
      </c>
      <c r="I387" s="7">
        <v>831774.8</v>
      </c>
      <c r="J387" s="7">
        <f t="shared" si="32"/>
        <v>133069.53000000003</v>
      </c>
      <c r="K387" s="8">
        <f t="shared" ref="K387:K450" si="34">(I387-H387)/H387</f>
        <v>0.19045159055405439</v>
      </c>
    </row>
    <row r="388" spans="1:11" x14ac:dyDescent="0.3">
      <c r="A388" s="5" t="s">
        <v>43</v>
      </c>
      <c r="B388" s="6">
        <v>40238</v>
      </c>
      <c r="C388" s="5">
        <f t="shared" si="33"/>
        <v>10</v>
      </c>
      <c r="D388" s="5">
        <f t="shared" si="30"/>
        <v>3</v>
      </c>
      <c r="E388" s="5">
        <f t="shared" si="31"/>
        <v>2010</v>
      </c>
      <c r="F388" s="5" t="s">
        <v>31</v>
      </c>
      <c r="G388" s="5" t="s">
        <v>7</v>
      </c>
      <c r="H388" s="7">
        <v>6577.92</v>
      </c>
      <c r="I388" s="7">
        <v>14349.78</v>
      </c>
      <c r="J388" s="7">
        <f t="shared" si="32"/>
        <v>7771.8600000000006</v>
      </c>
      <c r="K388" s="8">
        <f t="shared" si="34"/>
        <v>1.1815072241681261</v>
      </c>
    </row>
    <row r="389" spans="1:11" x14ac:dyDescent="0.3">
      <c r="A389" s="5" t="s">
        <v>43</v>
      </c>
      <c r="B389" s="6">
        <v>40238</v>
      </c>
      <c r="C389" s="5">
        <f t="shared" si="33"/>
        <v>10</v>
      </c>
      <c r="D389" s="5">
        <f t="shared" si="30"/>
        <v>3</v>
      </c>
      <c r="E389" s="5">
        <f t="shared" si="31"/>
        <v>2010</v>
      </c>
      <c r="F389" s="5" t="s">
        <v>32</v>
      </c>
      <c r="G389" s="5" t="s">
        <v>7</v>
      </c>
      <c r="H389" s="7">
        <v>1881.6</v>
      </c>
      <c r="I389" s="7">
        <v>2096.33</v>
      </c>
      <c r="J389" s="7">
        <f t="shared" si="32"/>
        <v>214.73000000000002</v>
      </c>
      <c r="K389" s="8">
        <f t="shared" si="34"/>
        <v>0.11412096088435375</v>
      </c>
    </row>
    <row r="390" spans="1:11" x14ac:dyDescent="0.3">
      <c r="A390" s="5" t="s">
        <v>43</v>
      </c>
      <c r="B390" s="6">
        <v>40238</v>
      </c>
      <c r="C390" s="5">
        <f t="shared" si="33"/>
        <v>10</v>
      </c>
      <c r="D390" s="5">
        <f t="shared" si="30"/>
        <v>3</v>
      </c>
      <c r="E390" s="5">
        <f t="shared" si="31"/>
        <v>2010</v>
      </c>
      <c r="F390" s="5" t="s">
        <v>33</v>
      </c>
      <c r="G390" s="5" t="s">
        <v>7</v>
      </c>
      <c r="H390" s="7">
        <v>193535.6</v>
      </c>
      <c r="I390" s="7">
        <v>371485.45</v>
      </c>
      <c r="J390" s="7">
        <f t="shared" si="32"/>
        <v>177949.85</v>
      </c>
      <c r="K390" s="8">
        <f t="shared" si="34"/>
        <v>0.91946830453931994</v>
      </c>
    </row>
    <row r="391" spans="1:11" x14ac:dyDescent="0.3">
      <c r="A391" s="5" t="s">
        <v>43</v>
      </c>
      <c r="B391" s="6">
        <v>40238</v>
      </c>
      <c r="C391" s="5">
        <f t="shared" si="33"/>
        <v>10</v>
      </c>
      <c r="D391" s="5">
        <f t="shared" si="30"/>
        <v>3</v>
      </c>
      <c r="E391" s="5">
        <f t="shared" si="31"/>
        <v>2010</v>
      </c>
      <c r="F391" s="5" t="s">
        <v>34</v>
      </c>
      <c r="G391" s="5" t="s">
        <v>7</v>
      </c>
      <c r="H391" s="7">
        <v>114</v>
      </c>
      <c r="I391" s="7">
        <v>353.87</v>
      </c>
      <c r="J391" s="7">
        <f t="shared" si="32"/>
        <v>239.87</v>
      </c>
      <c r="K391" s="8">
        <f t="shared" si="34"/>
        <v>2.1041228070175437</v>
      </c>
    </row>
    <row r="392" spans="1:11" x14ac:dyDescent="0.3">
      <c r="A392" s="5" t="s">
        <v>43</v>
      </c>
      <c r="B392" s="6">
        <v>40238</v>
      </c>
      <c r="C392" s="5">
        <f t="shared" si="33"/>
        <v>10</v>
      </c>
      <c r="D392" s="5">
        <f t="shared" si="30"/>
        <v>3</v>
      </c>
      <c r="E392" s="5">
        <f t="shared" si="31"/>
        <v>2010</v>
      </c>
      <c r="F392" s="5" t="s">
        <v>35</v>
      </c>
      <c r="G392" s="5" t="s">
        <v>11</v>
      </c>
      <c r="H392" s="7">
        <v>4468.2</v>
      </c>
      <c r="I392" s="7">
        <v>5702.85</v>
      </c>
      <c r="J392" s="7">
        <f t="shared" si="32"/>
        <v>1234.6500000000005</v>
      </c>
      <c r="K392" s="8">
        <f t="shared" si="34"/>
        <v>0.2763193232174031</v>
      </c>
    </row>
    <row r="393" spans="1:11" x14ac:dyDescent="0.3">
      <c r="A393" s="5" t="s">
        <v>43</v>
      </c>
      <c r="B393" s="6">
        <v>40238</v>
      </c>
      <c r="C393" s="5">
        <f t="shared" si="33"/>
        <v>10</v>
      </c>
      <c r="D393" s="5">
        <f t="shared" si="30"/>
        <v>3</v>
      </c>
      <c r="E393" s="5">
        <f t="shared" si="31"/>
        <v>2010</v>
      </c>
      <c r="F393" s="5" t="s">
        <v>36</v>
      </c>
      <c r="G393" s="5" t="s">
        <v>11</v>
      </c>
      <c r="H393" s="7">
        <v>207416.08</v>
      </c>
      <c r="I393" s="7">
        <v>222729.08</v>
      </c>
      <c r="J393" s="7">
        <f t="shared" si="32"/>
        <v>15313</v>
      </c>
      <c r="K393" s="8">
        <f t="shared" si="34"/>
        <v>7.3827448672253382E-2</v>
      </c>
    </row>
    <row r="394" spans="1:11" x14ac:dyDescent="0.3">
      <c r="A394" s="5" t="s">
        <v>43</v>
      </c>
      <c r="B394" s="6">
        <v>40238</v>
      </c>
      <c r="C394" s="5">
        <f t="shared" si="33"/>
        <v>10</v>
      </c>
      <c r="D394" s="5">
        <f t="shared" si="30"/>
        <v>3</v>
      </c>
      <c r="E394" s="5">
        <f t="shared" si="31"/>
        <v>2010</v>
      </c>
      <c r="F394" s="5" t="s">
        <v>37</v>
      </c>
      <c r="G394" s="5" t="s">
        <v>11</v>
      </c>
      <c r="H394" s="7">
        <v>424705.39</v>
      </c>
      <c r="I394" s="7">
        <v>457325.1</v>
      </c>
      <c r="J394" s="7">
        <f t="shared" si="32"/>
        <v>32619.709999999963</v>
      </c>
      <c r="K394" s="8">
        <f t="shared" si="34"/>
        <v>7.6805500396404103E-2</v>
      </c>
    </row>
    <row r="395" spans="1:11" x14ac:dyDescent="0.3">
      <c r="A395" s="5" t="s">
        <v>43</v>
      </c>
      <c r="B395" s="6">
        <v>40238</v>
      </c>
      <c r="C395" s="5">
        <f t="shared" si="33"/>
        <v>10</v>
      </c>
      <c r="D395" s="5">
        <f t="shared" si="30"/>
        <v>3</v>
      </c>
      <c r="E395" s="5">
        <f t="shared" si="31"/>
        <v>2010</v>
      </c>
      <c r="F395" s="5" t="s">
        <v>38</v>
      </c>
      <c r="G395" s="5" t="s">
        <v>11</v>
      </c>
      <c r="H395" s="7">
        <v>363894.68</v>
      </c>
      <c r="I395" s="7">
        <v>385200.6</v>
      </c>
      <c r="J395" s="7">
        <f t="shared" si="32"/>
        <v>21305.919999999984</v>
      </c>
      <c r="K395" s="8">
        <f t="shared" si="34"/>
        <v>5.8549688058094129E-2</v>
      </c>
    </row>
    <row r="396" spans="1:11" x14ac:dyDescent="0.3">
      <c r="A396" s="5" t="s">
        <v>43</v>
      </c>
      <c r="B396" s="6">
        <v>40239</v>
      </c>
      <c r="C396" s="5">
        <f t="shared" si="33"/>
        <v>10</v>
      </c>
      <c r="D396" s="5">
        <f t="shared" si="30"/>
        <v>3</v>
      </c>
      <c r="E396" s="5">
        <f t="shared" si="31"/>
        <v>2010</v>
      </c>
      <c r="F396" s="5" t="s">
        <v>14</v>
      </c>
      <c r="G396" s="5" t="s">
        <v>6</v>
      </c>
      <c r="H396" s="7">
        <v>9156.36</v>
      </c>
      <c r="I396" s="7">
        <v>11042.82</v>
      </c>
      <c r="J396" s="7">
        <f t="shared" si="32"/>
        <v>1886.4599999999991</v>
      </c>
      <c r="K396" s="8">
        <f t="shared" si="34"/>
        <v>0.20602728595205944</v>
      </c>
    </row>
    <row r="397" spans="1:11" x14ac:dyDescent="0.3">
      <c r="A397" s="5" t="s">
        <v>43</v>
      </c>
      <c r="B397" s="6">
        <v>40239</v>
      </c>
      <c r="C397" s="5">
        <f t="shared" si="33"/>
        <v>10</v>
      </c>
      <c r="D397" s="5">
        <f t="shared" si="30"/>
        <v>3</v>
      </c>
      <c r="E397" s="5">
        <f t="shared" si="31"/>
        <v>2010</v>
      </c>
      <c r="F397" s="5" t="s">
        <v>15</v>
      </c>
      <c r="G397" s="5" t="s">
        <v>6</v>
      </c>
      <c r="H397" s="7">
        <v>316567.18</v>
      </c>
      <c r="I397" s="7">
        <v>383470.95</v>
      </c>
      <c r="J397" s="7">
        <f t="shared" si="32"/>
        <v>66903.770000000019</v>
      </c>
      <c r="K397" s="8">
        <f t="shared" si="34"/>
        <v>0.21134145997067674</v>
      </c>
    </row>
    <row r="398" spans="1:11" x14ac:dyDescent="0.3">
      <c r="A398" s="5" t="s">
        <v>43</v>
      </c>
      <c r="B398" s="6">
        <v>40239</v>
      </c>
      <c r="C398" s="5">
        <f t="shared" si="33"/>
        <v>10</v>
      </c>
      <c r="D398" s="5">
        <f t="shared" si="30"/>
        <v>3</v>
      </c>
      <c r="E398" s="5">
        <f t="shared" si="31"/>
        <v>2010</v>
      </c>
      <c r="F398" s="5" t="s">
        <v>16</v>
      </c>
      <c r="G398" s="5" t="s">
        <v>6</v>
      </c>
      <c r="H398" s="7">
        <v>166826.54</v>
      </c>
      <c r="I398" s="7">
        <v>186855.02</v>
      </c>
      <c r="J398" s="7">
        <f t="shared" si="32"/>
        <v>20028.479999999981</v>
      </c>
      <c r="K398" s="8">
        <f t="shared" si="34"/>
        <v>0.1200557177533022</v>
      </c>
    </row>
    <row r="399" spans="1:11" x14ac:dyDescent="0.3">
      <c r="A399" s="5" t="s">
        <v>43</v>
      </c>
      <c r="B399" s="6">
        <v>40239</v>
      </c>
      <c r="C399" s="5">
        <f t="shared" si="33"/>
        <v>10</v>
      </c>
      <c r="D399" s="5">
        <f t="shared" si="30"/>
        <v>3</v>
      </c>
      <c r="E399" s="5">
        <f t="shared" si="31"/>
        <v>2010</v>
      </c>
      <c r="F399" s="5" t="s">
        <v>17</v>
      </c>
      <c r="G399" s="5" t="s">
        <v>6</v>
      </c>
      <c r="H399" s="7">
        <v>309</v>
      </c>
      <c r="I399" s="7">
        <v>313.86</v>
      </c>
      <c r="J399" s="7">
        <f t="shared" si="32"/>
        <v>4.8600000000000136</v>
      </c>
      <c r="K399" s="8">
        <f t="shared" si="34"/>
        <v>1.5728155339805868E-2</v>
      </c>
    </row>
    <row r="400" spans="1:11" x14ac:dyDescent="0.3">
      <c r="A400" s="5" t="s">
        <v>43</v>
      </c>
      <c r="B400" s="6">
        <v>40239</v>
      </c>
      <c r="C400" s="5">
        <f t="shared" si="33"/>
        <v>10</v>
      </c>
      <c r="D400" s="5">
        <f t="shared" si="30"/>
        <v>3</v>
      </c>
      <c r="E400" s="5">
        <f t="shared" si="31"/>
        <v>2010</v>
      </c>
      <c r="F400" s="5" t="s">
        <v>19</v>
      </c>
      <c r="G400" s="5" t="s">
        <v>5</v>
      </c>
      <c r="H400" s="7">
        <v>216064.82</v>
      </c>
      <c r="I400" s="7">
        <v>239550.99</v>
      </c>
      <c r="J400" s="7">
        <f t="shared" si="32"/>
        <v>23486.169999999984</v>
      </c>
      <c r="K400" s="8">
        <f t="shared" si="34"/>
        <v>0.10869964855916842</v>
      </c>
    </row>
    <row r="401" spans="1:11" x14ac:dyDescent="0.3">
      <c r="A401" s="5" t="s">
        <v>43</v>
      </c>
      <c r="B401" s="6">
        <v>40239</v>
      </c>
      <c r="C401" s="5">
        <f t="shared" si="33"/>
        <v>10</v>
      </c>
      <c r="D401" s="5">
        <f t="shared" si="30"/>
        <v>3</v>
      </c>
      <c r="E401" s="5">
        <f t="shared" si="31"/>
        <v>2010</v>
      </c>
      <c r="F401" s="5" t="s">
        <v>5</v>
      </c>
      <c r="G401" s="5" t="s">
        <v>5</v>
      </c>
      <c r="H401" s="7">
        <v>792596.97</v>
      </c>
      <c r="I401" s="7">
        <v>846778.35</v>
      </c>
      <c r="J401" s="7">
        <f t="shared" si="32"/>
        <v>54181.380000000005</v>
      </c>
      <c r="K401" s="8">
        <f t="shared" si="34"/>
        <v>6.8359307505301226E-2</v>
      </c>
    </row>
    <row r="402" spans="1:11" x14ac:dyDescent="0.3">
      <c r="A402" s="5" t="s">
        <v>43</v>
      </c>
      <c r="B402" s="6">
        <v>40239</v>
      </c>
      <c r="C402" s="5">
        <f t="shared" si="33"/>
        <v>10</v>
      </c>
      <c r="D402" s="5">
        <f t="shared" si="30"/>
        <v>3</v>
      </c>
      <c r="E402" s="5">
        <f t="shared" si="31"/>
        <v>2010</v>
      </c>
      <c r="F402" s="5" t="s">
        <v>20</v>
      </c>
      <c r="G402" s="5" t="s">
        <v>5</v>
      </c>
      <c r="H402" s="7">
        <v>144933.9</v>
      </c>
      <c r="I402" s="7">
        <v>157815.21</v>
      </c>
      <c r="J402" s="7">
        <f t="shared" si="32"/>
        <v>12881.309999999998</v>
      </c>
      <c r="K402" s="8">
        <f t="shared" si="34"/>
        <v>8.8877136404940452E-2</v>
      </c>
    </row>
    <row r="403" spans="1:11" x14ac:dyDescent="0.3">
      <c r="A403" s="5" t="s">
        <v>43</v>
      </c>
      <c r="B403" s="6">
        <v>40239</v>
      </c>
      <c r="C403" s="5">
        <f t="shared" si="33"/>
        <v>10</v>
      </c>
      <c r="D403" s="5">
        <f t="shared" si="30"/>
        <v>3</v>
      </c>
      <c r="E403" s="5">
        <f t="shared" si="31"/>
        <v>2010</v>
      </c>
      <c r="F403" s="5" t="s">
        <v>21</v>
      </c>
      <c r="G403" s="5" t="s">
        <v>5</v>
      </c>
      <c r="H403" s="7">
        <v>337763.82</v>
      </c>
      <c r="I403" s="7">
        <v>357901.11</v>
      </c>
      <c r="J403" s="7">
        <f t="shared" si="32"/>
        <v>20137.289999999979</v>
      </c>
      <c r="K403" s="8">
        <f t="shared" si="34"/>
        <v>5.9619440590173274E-2</v>
      </c>
    </row>
    <row r="404" spans="1:11" x14ac:dyDescent="0.3">
      <c r="A404" s="5" t="s">
        <v>43</v>
      </c>
      <c r="B404" s="6">
        <v>40239</v>
      </c>
      <c r="C404" s="5">
        <f t="shared" si="33"/>
        <v>10</v>
      </c>
      <c r="D404" s="5">
        <f t="shared" si="30"/>
        <v>3</v>
      </c>
      <c r="E404" s="5">
        <f t="shared" si="31"/>
        <v>2010</v>
      </c>
      <c r="F404" s="5" t="s">
        <v>22</v>
      </c>
      <c r="G404" s="5" t="s">
        <v>8</v>
      </c>
      <c r="H404" s="7">
        <v>427832.47</v>
      </c>
      <c r="I404" s="7">
        <v>456917.93</v>
      </c>
      <c r="J404" s="7">
        <f t="shared" si="32"/>
        <v>29085.460000000021</v>
      </c>
      <c r="K404" s="8">
        <f t="shared" si="34"/>
        <v>6.7983292619188118E-2</v>
      </c>
    </row>
    <row r="405" spans="1:11" x14ac:dyDescent="0.3">
      <c r="A405" s="5" t="s">
        <v>43</v>
      </c>
      <c r="B405" s="6">
        <v>40239</v>
      </c>
      <c r="C405" s="5">
        <f t="shared" si="33"/>
        <v>10</v>
      </c>
      <c r="D405" s="5">
        <f t="shared" si="30"/>
        <v>3</v>
      </c>
      <c r="E405" s="5">
        <f t="shared" si="31"/>
        <v>2010</v>
      </c>
      <c r="F405" s="5" t="s">
        <v>23</v>
      </c>
      <c r="G405" s="5" t="s">
        <v>8</v>
      </c>
      <c r="H405" s="7">
        <v>195618.3</v>
      </c>
      <c r="I405" s="7">
        <v>203472.25</v>
      </c>
      <c r="J405" s="7">
        <f t="shared" si="32"/>
        <v>7853.9500000000116</v>
      </c>
      <c r="K405" s="8">
        <f t="shared" si="34"/>
        <v>4.014936230403808E-2</v>
      </c>
    </row>
    <row r="406" spans="1:11" x14ac:dyDescent="0.3">
      <c r="A406" s="5" t="s">
        <v>43</v>
      </c>
      <c r="B406" s="6">
        <v>40239</v>
      </c>
      <c r="C406" s="5">
        <f t="shared" si="33"/>
        <v>10</v>
      </c>
      <c r="D406" s="5">
        <f t="shared" si="30"/>
        <v>3</v>
      </c>
      <c r="E406" s="5">
        <f t="shared" si="31"/>
        <v>2010</v>
      </c>
      <c r="F406" s="5" t="s">
        <v>24</v>
      </c>
      <c r="G406" s="5" t="s">
        <v>8</v>
      </c>
      <c r="H406" s="7">
        <v>170376</v>
      </c>
      <c r="I406" s="7">
        <v>179748.14</v>
      </c>
      <c r="J406" s="7">
        <f t="shared" si="32"/>
        <v>9372.140000000014</v>
      </c>
      <c r="K406" s="8">
        <f t="shared" si="34"/>
        <v>5.5008569282058585E-2</v>
      </c>
    </row>
    <row r="407" spans="1:11" x14ac:dyDescent="0.3">
      <c r="A407" s="5" t="s">
        <v>43</v>
      </c>
      <c r="B407" s="6">
        <v>40239</v>
      </c>
      <c r="C407" s="5">
        <f t="shared" si="33"/>
        <v>10</v>
      </c>
      <c r="D407" s="5">
        <f t="shared" si="30"/>
        <v>3</v>
      </c>
      <c r="E407" s="5">
        <f t="shared" si="31"/>
        <v>2010</v>
      </c>
      <c r="F407" s="5" t="s">
        <v>25</v>
      </c>
      <c r="G407" s="5" t="s">
        <v>8</v>
      </c>
      <c r="H407" s="7">
        <v>14643.6</v>
      </c>
      <c r="I407" s="7">
        <v>15246.82</v>
      </c>
      <c r="J407" s="7">
        <f t="shared" si="32"/>
        <v>603.21999999999935</v>
      </c>
      <c r="K407" s="8">
        <f t="shared" si="34"/>
        <v>4.1193422382474212E-2</v>
      </c>
    </row>
    <row r="408" spans="1:11" x14ac:dyDescent="0.3">
      <c r="A408" s="5" t="s">
        <v>43</v>
      </c>
      <c r="B408" s="6">
        <v>40239</v>
      </c>
      <c r="C408" s="5">
        <f t="shared" si="33"/>
        <v>10</v>
      </c>
      <c r="D408" s="5">
        <f t="shared" si="30"/>
        <v>3</v>
      </c>
      <c r="E408" s="5">
        <f t="shared" si="31"/>
        <v>2010</v>
      </c>
      <c r="F408" s="5" t="s">
        <v>26</v>
      </c>
      <c r="G408" s="5" t="s">
        <v>10</v>
      </c>
      <c r="H408" s="7">
        <v>15590</v>
      </c>
      <c r="I408" s="7">
        <v>17331.740000000002</v>
      </c>
      <c r="J408" s="7">
        <f t="shared" si="32"/>
        <v>1741.7400000000016</v>
      </c>
      <c r="K408" s="8">
        <f t="shared" si="34"/>
        <v>0.11172161642078265</v>
      </c>
    </row>
    <row r="409" spans="1:11" x14ac:dyDescent="0.3">
      <c r="A409" s="5" t="s">
        <v>43</v>
      </c>
      <c r="B409" s="6">
        <v>40239</v>
      </c>
      <c r="C409" s="5">
        <f t="shared" si="33"/>
        <v>10</v>
      </c>
      <c r="D409" s="5">
        <f t="shared" si="30"/>
        <v>3</v>
      </c>
      <c r="E409" s="5">
        <f t="shared" si="31"/>
        <v>2010</v>
      </c>
      <c r="F409" s="5" t="s">
        <v>27</v>
      </c>
      <c r="G409" s="5" t="s">
        <v>10</v>
      </c>
      <c r="H409" s="7">
        <v>223876.28</v>
      </c>
      <c r="I409" s="7">
        <v>253966.47</v>
      </c>
      <c r="J409" s="7">
        <f t="shared" si="32"/>
        <v>30090.190000000002</v>
      </c>
      <c r="K409" s="8">
        <f t="shared" si="34"/>
        <v>0.13440544036197136</v>
      </c>
    </row>
    <row r="410" spans="1:11" x14ac:dyDescent="0.3">
      <c r="A410" s="5" t="s">
        <v>43</v>
      </c>
      <c r="B410" s="6">
        <v>40239</v>
      </c>
      <c r="C410" s="5">
        <f t="shared" si="33"/>
        <v>10</v>
      </c>
      <c r="D410" s="5">
        <f t="shared" si="30"/>
        <v>3</v>
      </c>
      <c r="E410" s="5">
        <f t="shared" si="31"/>
        <v>2010</v>
      </c>
      <c r="F410" s="5" t="s">
        <v>28</v>
      </c>
      <c r="G410" s="5" t="s">
        <v>10</v>
      </c>
      <c r="H410" s="7">
        <v>118410.5</v>
      </c>
      <c r="I410" s="7">
        <v>128594.94</v>
      </c>
      <c r="J410" s="7">
        <f t="shared" si="32"/>
        <v>10184.440000000002</v>
      </c>
      <c r="K410" s="8">
        <f t="shared" si="34"/>
        <v>8.6009602188995088E-2</v>
      </c>
    </row>
    <row r="411" spans="1:11" x14ac:dyDescent="0.3">
      <c r="A411" s="5" t="s">
        <v>43</v>
      </c>
      <c r="B411" s="6">
        <v>40239</v>
      </c>
      <c r="C411" s="5">
        <f t="shared" si="33"/>
        <v>10</v>
      </c>
      <c r="D411" s="5">
        <f t="shared" si="30"/>
        <v>3</v>
      </c>
      <c r="E411" s="5">
        <f t="shared" si="31"/>
        <v>2010</v>
      </c>
      <c r="F411" s="5" t="s">
        <v>29</v>
      </c>
      <c r="G411" s="5" t="s">
        <v>10</v>
      </c>
      <c r="H411" s="7">
        <v>895232.6</v>
      </c>
      <c r="I411" s="7">
        <v>975226.23</v>
      </c>
      <c r="J411" s="7">
        <f t="shared" si="32"/>
        <v>79993.63</v>
      </c>
      <c r="K411" s="8">
        <f t="shared" si="34"/>
        <v>8.9355135190563886E-2</v>
      </c>
    </row>
    <row r="412" spans="1:11" x14ac:dyDescent="0.3">
      <c r="A412" s="5" t="s">
        <v>43</v>
      </c>
      <c r="B412" s="6">
        <v>40239</v>
      </c>
      <c r="C412" s="5">
        <f t="shared" si="33"/>
        <v>10</v>
      </c>
      <c r="D412" s="5">
        <f t="shared" si="30"/>
        <v>3</v>
      </c>
      <c r="E412" s="5">
        <f t="shared" si="31"/>
        <v>2010</v>
      </c>
      <c r="F412" s="5" t="s">
        <v>30</v>
      </c>
      <c r="G412" s="5" t="s">
        <v>10</v>
      </c>
      <c r="H412" s="7">
        <v>182187.88</v>
      </c>
      <c r="I412" s="7">
        <v>205676.56</v>
      </c>
      <c r="J412" s="7">
        <f t="shared" si="32"/>
        <v>23488.679999999993</v>
      </c>
      <c r="K412" s="8">
        <f t="shared" si="34"/>
        <v>0.12892559043993482</v>
      </c>
    </row>
    <row r="413" spans="1:11" x14ac:dyDescent="0.3">
      <c r="A413" s="5" t="s">
        <v>43</v>
      </c>
      <c r="B413" s="6">
        <v>40239</v>
      </c>
      <c r="C413" s="5">
        <f t="shared" si="33"/>
        <v>10</v>
      </c>
      <c r="D413" s="5">
        <f t="shared" si="30"/>
        <v>3</v>
      </c>
      <c r="E413" s="5">
        <f t="shared" si="31"/>
        <v>2010</v>
      </c>
      <c r="F413" s="5" t="s">
        <v>9</v>
      </c>
      <c r="G413" s="5" t="s">
        <v>9</v>
      </c>
      <c r="H413" s="7">
        <v>938882.49</v>
      </c>
      <c r="I413" s="7">
        <v>1071606.3899999999</v>
      </c>
      <c r="J413" s="7">
        <f t="shared" si="32"/>
        <v>132723.89999999991</v>
      </c>
      <c r="K413" s="8">
        <f t="shared" si="34"/>
        <v>0.14136369717577746</v>
      </c>
    </row>
    <row r="414" spans="1:11" x14ac:dyDescent="0.3">
      <c r="A414" s="5" t="s">
        <v>43</v>
      </c>
      <c r="B414" s="6">
        <v>40239</v>
      </c>
      <c r="C414" s="5">
        <f t="shared" si="33"/>
        <v>10</v>
      </c>
      <c r="D414" s="5">
        <f t="shared" si="30"/>
        <v>3</v>
      </c>
      <c r="E414" s="5">
        <f t="shared" si="31"/>
        <v>2010</v>
      </c>
      <c r="F414" s="5" t="s">
        <v>31</v>
      </c>
      <c r="G414" s="5" t="s">
        <v>7</v>
      </c>
      <c r="H414" s="7">
        <v>12004.36</v>
      </c>
      <c r="I414" s="7">
        <v>25840.720000000001</v>
      </c>
      <c r="J414" s="7">
        <f t="shared" si="32"/>
        <v>13836.36</v>
      </c>
      <c r="K414" s="8">
        <f t="shared" si="34"/>
        <v>1.1526112179241541</v>
      </c>
    </row>
    <row r="415" spans="1:11" x14ac:dyDescent="0.3">
      <c r="A415" s="5" t="s">
        <v>43</v>
      </c>
      <c r="B415" s="6">
        <v>40239</v>
      </c>
      <c r="C415" s="5">
        <f t="shared" si="33"/>
        <v>10</v>
      </c>
      <c r="D415" s="5">
        <f t="shared" si="30"/>
        <v>3</v>
      </c>
      <c r="E415" s="5">
        <f t="shared" si="31"/>
        <v>2010</v>
      </c>
      <c r="F415" s="5" t="s">
        <v>32</v>
      </c>
      <c r="G415" s="5" t="s">
        <v>7</v>
      </c>
      <c r="H415" s="7">
        <v>4442.8999999999996</v>
      </c>
      <c r="I415" s="7">
        <v>4949.59</v>
      </c>
      <c r="J415" s="7">
        <f t="shared" si="32"/>
        <v>506.69000000000051</v>
      </c>
      <c r="K415" s="8">
        <f t="shared" si="34"/>
        <v>0.11404488059600723</v>
      </c>
    </row>
    <row r="416" spans="1:11" x14ac:dyDescent="0.3">
      <c r="A416" s="5" t="s">
        <v>43</v>
      </c>
      <c r="B416" s="6">
        <v>40239</v>
      </c>
      <c r="C416" s="5">
        <f t="shared" si="33"/>
        <v>10</v>
      </c>
      <c r="D416" s="5">
        <f t="shared" si="30"/>
        <v>3</v>
      </c>
      <c r="E416" s="5">
        <f t="shared" si="31"/>
        <v>2010</v>
      </c>
      <c r="F416" s="5" t="s">
        <v>33</v>
      </c>
      <c r="G416" s="5" t="s">
        <v>7</v>
      </c>
      <c r="H416" s="7">
        <v>192673.31</v>
      </c>
      <c r="I416" s="7">
        <v>370978.78</v>
      </c>
      <c r="J416" s="7">
        <f t="shared" si="32"/>
        <v>178305.47000000003</v>
      </c>
      <c r="K416" s="8">
        <f t="shared" si="34"/>
        <v>0.92542900726623756</v>
      </c>
    </row>
    <row r="417" spans="1:11" x14ac:dyDescent="0.3">
      <c r="A417" s="5" t="s">
        <v>43</v>
      </c>
      <c r="B417" s="6">
        <v>40239</v>
      </c>
      <c r="C417" s="5">
        <f t="shared" si="33"/>
        <v>10</v>
      </c>
      <c r="D417" s="5">
        <f t="shared" si="30"/>
        <v>3</v>
      </c>
      <c r="E417" s="5">
        <f t="shared" si="31"/>
        <v>2010</v>
      </c>
      <c r="F417" s="5" t="s">
        <v>34</v>
      </c>
      <c r="G417" s="5" t="s">
        <v>7</v>
      </c>
      <c r="H417" s="7">
        <v>171</v>
      </c>
      <c r="I417" s="7">
        <v>530.94000000000005</v>
      </c>
      <c r="J417" s="7">
        <f t="shared" si="32"/>
        <v>359.94000000000005</v>
      </c>
      <c r="K417" s="8">
        <f t="shared" si="34"/>
        <v>2.1049122807017548</v>
      </c>
    </row>
    <row r="418" spans="1:11" x14ac:dyDescent="0.3">
      <c r="A418" s="5" t="s">
        <v>43</v>
      </c>
      <c r="B418" s="6">
        <v>40239</v>
      </c>
      <c r="C418" s="5">
        <f t="shared" si="33"/>
        <v>10</v>
      </c>
      <c r="D418" s="5">
        <f t="shared" si="30"/>
        <v>3</v>
      </c>
      <c r="E418" s="5">
        <f t="shared" si="31"/>
        <v>2010</v>
      </c>
      <c r="F418" s="5" t="s">
        <v>35</v>
      </c>
      <c r="G418" s="5" t="s">
        <v>11</v>
      </c>
      <c r="H418" s="7">
        <v>4003.72</v>
      </c>
      <c r="I418" s="7">
        <v>4882.03</v>
      </c>
      <c r="J418" s="7">
        <f t="shared" si="32"/>
        <v>878.31</v>
      </c>
      <c r="K418" s="8">
        <f t="shared" si="34"/>
        <v>0.21937348266112516</v>
      </c>
    </row>
    <row r="419" spans="1:11" x14ac:dyDescent="0.3">
      <c r="A419" s="5" t="s">
        <v>43</v>
      </c>
      <c r="B419" s="6">
        <v>40239</v>
      </c>
      <c r="C419" s="5">
        <f t="shared" si="33"/>
        <v>10</v>
      </c>
      <c r="D419" s="5">
        <f t="shared" si="30"/>
        <v>3</v>
      </c>
      <c r="E419" s="5">
        <f t="shared" si="31"/>
        <v>2010</v>
      </c>
      <c r="F419" s="5" t="s">
        <v>36</v>
      </c>
      <c r="G419" s="5" t="s">
        <v>11</v>
      </c>
      <c r="H419" s="7">
        <v>185523.78</v>
      </c>
      <c r="I419" s="7">
        <v>204535.93</v>
      </c>
      <c r="J419" s="7">
        <f t="shared" si="32"/>
        <v>19012.149999999994</v>
      </c>
      <c r="K419" s="8">
        <f t="shared" si="34"/>
        <v>0.10247823756070512</v>
      </c>
    </row>
    <row r="420" spans="1:11" x14ac:dyDescent="0.3">
      <c r="A420" s="5" t="s">
        <v>43</v>
      </c>
      <c r="B420" s="6">
        <v>40239</v>
      </c>
      <c r="C420" s="5">
        <f t="shared" si="33"/>
        <v>10</v>
      </c>
      <c r="D420" s="5">
        <f t="shared" si="30"/>
        <v>3</v>
      </c>
      <c r="E420" s="5">
        <f t="shared" si="31"/>
        <v>2010</v>
      </c>
      <c r="F420" s="5" t="s">
        <v>37</v>
      </c>
      <c r="G420" s="5" t="s">
        <v>11</v>
      </c>
      <c r="H420" s="7">
        <v>494779.37</v>
      </c>
      <c r="I420" s="7">
        <v>535945.04</v>
      </c>
      <c r="J420" s="7">
        <f t="shared" si="32"/>
        <v>41165.670000000042</v>
      </c>
      <c r="K420" s="8">
        <f t="shared" si="34"/>
        <v>8.3200053389453243E-2</v>
      </c>
    </row>
    <row r="421" spans="1:11" x14ac:dyDescent="0.3">
      <c r="A421" s="5" t="s">
        <v>43</v>
      </c>
      <c r="B421" s="6">
        <v>40239</v>
      </c>
      <c r="C421" s="5">
        <f t="shared" si="33"/>
        <v>10</v>
      </c>
      <c r="D421" s="5">
        <f t="shared" si="30"/>
        <v>3</v>
      </c>
      <c r="E421" s="5">
        <f t="shared" si="31"/>
        <v>2010</v>
      </c>
      <c r="F421" s="5" t="s">
        <v>38</v>
      </c>
      <c r="G421" s="5" t="s">
        <v>11</v>
      </c>
      <c r="H421" s="7">
        <v>415778.08</v>
      </c>
      <c r="I421" s="7">
        <v>435844.69</v>
      </c>
      <c r="J421" s="7">
        <f t="shared" si="32"/>
        <v>20066.609999999986</v>
      </c>
      <c r="K421" s="8">
        <f t="shared" si="34"/>
        <v>4.8262789611227187E-2</v>
      </c>
    </row>
    <row r="422" spans="1:11" x14ac:dyDescent="0.3">
      <c r="A422" s="5" t="s">
        <v>43</v>
      </c>
      <c r="B422" s="6">
        <v>40240</v>
      </c>
      <c r="C422" s="5">
        <f t="shared" si="33"/>
        <v>10</v>
      </c>
      <c r="D422" s="5">
        <f t="shared" si="30"/>
        <v>3</v>
      </c>
      <c r="E422" s="5">
        <f t="shared" si="31"/>
        <v>2010</v>
      </c>
      <c r="F422" s="5" t="s">
        <v>14</v>
      </c>
      <c r="G422" s="5" t="s">
        <v>6</v>
      </c>
      <c r="H422" s="7">
        <v>12194.75</v>
      </c>
      <c r="I422" s="7">
        <v>14449.78</v>
      </c>
      <c r="J422" s="7">
        <f t="shared" si="32"/>
        <v>2255.0300000000007</v>
      </c>
      <c r="K422" s="8">
        <f t="shared" si="34"/>
        <v>0.18491810000205011</v>
      </c>
    </row>
    <row r="423" spans="1:11" x14ac:dyDescent="0.3">
      <c r="A423" s="5" t="s">
        <v>43</v>
      </c>
      <c r="B423" s="6">
        <v>40240</v>
      </c>
      <c r="C423" s="5">
        <f t="shared" si="33"/>
        <v>10</v>
      </c>
      <c r="D423" s="5">
        <f t="shared" si="30"/>
        <v>3</v>
      </c>
      <c r="E423" s="5">
        <f t="shared" si="31"/>
        <v>2010</v>
      </c>
      <c r="F423" s="5" t="s">
        <v>15</v>
      </c>
      <c r="G423" s="5" t="s">
        <v>6</v>
      </c>
      <c r="H423" s="7">
        <v>343114.38</v>
      </c>
      <c r="I423" s="7">
        <v>449918.17</v>
      </c>
      <c r="J423" s="7">
        <f t="shared" si="32"/>
        <v>106803.78999999998</v>
      </c>
      <c r="K423" s="8">
        <f t="shared" si="34"/>
        <v>0.31127751043252683</v>
      </c>
    </row>
    <row r="424" spans="1:11" x14ac:dyDescent="0.3">
      <c r="A424" s="5" t="s">
        <v>43</v>
      </c>
      <c r="B424" s="6">
        <v>40240</v>
      </c>
      <c r="C424" s="5">
        <f t="shared" si="33"/>
        <v>10</v>
      </c>
      <c r="D424" s="5">
        <f t="shared" si="30"/>
        <v>3</v>
      </c>
      <c r="E424" s="5">
        <f t="shared" si="31"/>
        <v>2010</v>
      </c>
      <c r="F424" s="5" t="s">
        <v>16</v>
      </c>
      <c r="G424" s="5" t="s">
        <v>6</v>
      </c>
      <c r="H424" s="7">
        <v>185118.94</v>
      </c>
      <c r="I424" s="7">
        <v>206953.23</v>
      </c>
      <c r="J424" s="7">
        <f t="shared" si="32"/>
        <v>21834.290000000008</v>
      </c>
      <c r="K424" s="8">
        <f t="shared" si="34"/>
        <v>0.1179473586009082</v>
      </c>
    </row>
    <row r="425" spans="1:11" x14ac:dyDescent="0.3">
      <c r="A425" s="5" t="s">
        <v>43</v>
      </c>
      <c r="B425" s="6">
        <v>40240</v>
      </c>
      <c r="C425" s="5">
        <f t="shared" si="33"/>
        <v>10</v>
      </c>
      <c r="D425" s="5">
        <f t="shared" si="30"/>
        <v>3</v>
      </c>
      <c r="E425" s="5">
        <f t="shared" si="31"/>
        <v>2010</v>
      </c>
      <c r="F425" s="5" t="s">
        <v>17</v>
      </c>
      <c r="G425" s="5" t="s">
        <v>6</v>
      </c>
      <c r="H425" s="7">
        <v>944</v>
      </c>
      <c r="I425" s="7">
        <v>1085.95</v>
      </c>
      <c r="J425" s="7">
        <f t="shared" si="32"/>
        <v>141.95000000000005</v>
      </c>
      <c r="K425" s="8">
        <f t="shared" si="34"/>
        <v>0.15037076271186445</v>
      </c>
    </row>
    <row r="426" spans="1:11" x14ac:dyDescent="0.3">
      <c r="A426" s="5" t="s">
        <v>43</v>
      </c>
      <c r="B426" s="6">
        <v>40240</v>
      </c>
      <c r="C426" s="5">
        <f t="shared" si="33"/>
        <v>10</v>
      </c>
      <c r="D426" s="5">
        <f t="shared" si="30"/>
        <v>3</v>
      </c>
      <c r="E426" s="5">
        <f t="shared" si="31"/>
        <v>2010</v>
      </c>
      <c r="F426" s="5" t="s">
        <v>19</v>
      </c>
      <c r="G426" s="5" t="s">
        <v>5</v>
      </c>
      <c r="H426" s="7">
        <v>204872.76</v>
      </c>
      <c r="I426" s="7">
        <v>227002.17</v>
      </c>
      <c r="J426" s="7">
        <f t="shared" si="32"/>
        <v>22129.410000000003</v>
      </c>
      <c r="K426" s="8">
        <f t="shared" si="34"/>
        <v>0.10801538476857539</v>
      </c>
    </row>
    <row r="427" spans="1:11" x14ac:dyDescent="0.3">
      <c r="A427" s="5" t="s">
        <v>43</v>
      </c>
      <c r="B427" s="6">
        <v>40240</v>
      </c>
      <c r="C427" s="5">
        <f t="shared" si="33"/>
        <v>10</v>
      </c>
      <c r="D427" s="5">
        <f t="shared" si="30"/>
        <v>3</v>
      </c>
      <c r="E427" s="5">
        <f t="shared" si="31"/>
        <v>2010</v>
      </c>
      <c r="F427" s="5" t="s">
        <v>5</v>
      </c>
      <c r="G427" s="5" t="s">
        <v>5</v>
      </c>
      <c r="H427" s="7">
        <v>1033466.7</v>
      </c>
      <c r="I427" s="7">
        <v>1116133.83</v>
      </c>
      <c r="J427" s="7">
        <f t="shared" si="32"/>
        <v>82667.130000000121</v>
      </c>
      <c r="K427" s="8">
        <f t="shared" si="34"/>
        <v>7.9990124500383147E-2</v>
      </c>
    </row>
    <row r="428" spans="1:11" x14ac:dyDescent="0.3">
      <c r="A428" s="5" t="s">
        <v>43</v>
      </c>
      <c r="B428" s="6">
        <v>40240</v>
      </c>
      <c r="C428" s="5">
        <f t="shared" si="33"/>
        <v>10</v>
      </c>
      <c r="D428" s="5">
        <f t="shared" si="30"/>
        <v>3</v>
      </c>
      <c r="E428" s="5">
        <f t="shared" si="31"/>
        <v>2010</v>
      </c>
      <c r="F428" s="5" t="s">
        <v>20</v>
      </c>
      <c r="G428" s="5" t="s">
        <v>5</v>
      </c>
      <c r="H428" s="7">
        <v>136715.56</v>
      </c>
      <c r="I428" s="7">
        <v>151046.93</v>
      </c>
      <c r="J428" s="7">
        <f t="shared" si="32"/>
        <v>14331.369999999995</v>
      </c>
      <c r="K428" s="8">
        <f t="shared" si="34"/>
        <v>0.10482618072149209</v>
      </c>
    </row>
    <row r="429" spans="1:11" x14ac:dyDescent="0.3">
      <c r="A429" s="5" t="s">
        <v>43</v>
      </c>
      <c r="B429" s="6">
        <v>40240</v>
      </c>
      <c r="C429" s="5">
        <f t="shared" si="33"/>
        <v>10</v>
      </c>
      <c r="D429" s="5">
        <f t="shared" si="30"/>
        <v>3</v>
      </c>
      <c r="E429" s="5">
        <f t="shared" si="31"/>
        <v>2010</v>
      </c>
      <c r="F429" s="5" t="s">
        <v>21</v>
      </c>
      <c r="G429" s="5" t="s">
        <v>5</v>
      </c>
      <c r="H429" s="7">
        <v>278397.03999999998</v>
      </c>
      <c r="I429" s="7">
        <v>297937.75</v>
      </c>
      <c r="J429" s="7">
        <f t="shared" si="32"/>
        <v>19540.710000000021</v>
      </c>
      <c r="K429" s="8">
        <f t="shared" si="34"/>
        <v>7.0190078170371428E-2</v>
      </c>
    </row>
    <row r="430" spans="1:11" x14ac:dyDescent="0.3">
      <c r="A430" s="5" t="s">
        <v>43</v>
      </c>
      <c r="B430" s="6">
        <v>40240</v>
      </c>
      <c r="C430" s="5">
        <f t="shared" si="33"/>
        <v>10</v>
      </c>
      <c r="D430" s="5">
        <f t="shared" si="30"/>
        <v>3</v>
      </c>
      <c r="E430" s="5">
        <f t="shared" si="31"/>
        <v>2010</v>
      </c>
      <c r="F430" s="5" t="s">
        <v>22</v>
      </c>
      <c r="G430" s="5" t="s">
        <v>8</v>
      </c>
      <c r="H430" s="7">
        <v>606967.91</v>
      </c>
      <c r="I430" s="7">
        <v>648116.24</v>
      </c>
      <c r="J430" s="7">
        <f t="shared" si="32"/>
        <v>41148.329999999958</v>
      </c>
      <c r="K430" s="8">
        <f t="shared" si="34"/>
        <v>6.7793254506650857E-2</v>
      </c>
    </row>
    <row r="431" spans="1:11" x14ac:dyDescent="0.3">
      <c r="A431" s="5" t="s">
        <v>43</v>
      </c>
      <c r="B431" s="6">
        <v>40240</v>
      </c>
      <c r="C431" s="5">
        <f t="shared" si="33"/>
        <v>10</v>
      </c>
      <c r="D431" s="5">
        <f t="shared" si="30"/>
        <v>3</v>
      </c>
      <c r="E431" s="5">
        <f t="shared" si="31"/>
        <v>2010</v>
      </c>
      <c r="F431" s="5" t="s">
        <v>23</v>
      </c>
      <c r="G431" s="5" t="s">
        <v>8</v>
      </c>
      <c r="H431" s="7">
        <v>272978.40000000002</v>
      </c>
      <c r="I431" s="7">
        <v>285226.57</v>
      </c>
      <c r="J431" s="7">
        <f t="shared" si="32"/>
        <v>12248.169999999984</v>
      </c>
      <c r="K431" s="8">
        <f t="shared" si="34"/>
        <v>4.4868641621461564E-2</v>
      </c>
    </row>
    <row r="432" spans="1:11" x14ac:dyDescent="0.3">
      <c r="A432" s="5" t="s">
        <v>43</v>
      </c>
      <c r="B432" s="6">
        <v>40240</v>
      </c>
      <c r="C432" s="5">
        <f t="shared" si="33"/>
        <v>10</v>
      </c>
      <c r="D432" s="5">
        <f t="shared" si="30"/>
        <v>3</v>
      </c>
      <c r="E432" s="5">
        <f t="shared" si="31"/>
        <v>2010</v>
      </c>
      <c r="F432" s="5" t="s">
        <v>24</v>
      </c>
      <c r="G432" s="5" t="s">
        <v>8</v>
      </c>
      <c r="H432" s="7">
        <v>230473</v>
      </c>
      <c r="I432" s="7">
        <v>241512.62</v>
      </c>
      <c r="J432" s="7">
        <f t="shared" si="32"/>
        <v>11039.619999999995</v>
      </c>
      <c r="K432" s="8">
        <f t="shared" si="34"/>
        <v>4.7899840762258464E-2</v>
      </c>
    </row>
    <row r="433" spans="1:11" x14ac:dyDescent="0.3">
      <c r="A433" s="5" t="s">
        <v>43</v>
      </c>
      <c r="B433" s="6">
        <v>40240</v>
      </c>
      <c r="C433" s="5">
        <f t="shared" si="33"/>
        <v>10</v>
      </c>
      <c r="D433" s="5">
        <f t="shared" si="30"/>
        <v>3</v>
      </c>
      <c r="E433" s="5">
        <f t="shared" si="31"/>
        <v>2010</v>
      </c>
      <c r="F433" s="5" t="s">
        <v>25</v>
      </c>
      <c r="G433" s="5" t="s">
        <v>8</v>
      </c>
      <c r="H433" s="7">
        <v>12756.8</v>
      </c>
      <c r="I433" s="7">
        <v>13204.27</v>
      </c>
      <c r="J433" s="7">
        <f t="shared" si="32"/>
        <v>447.47000000000116</v>
      </c>
      <c r="K433" s="8">
        <f t="shared" si="34"/>
        <v>3.5076978552615171E-2</v>
      </c>
    </row>
    <row r="434" spans="1:11" x14ac:dyDescent="0.3">
      <c r="A434" s="5" t="s">
        <v>43</v>
      </c>
      <c r="B434" s="6">
        <v>40240</v>
      </c>
      <c r="C434" s="5">
        <f t="shared" si="33"/>
        <v>10</v>
      </c>
      <c r="D434" s="5">
        <f t="shared" si="30"/>
        <v>3</v>
      </c>
      <c r="E434" s="5">
        <f t="shared" si="31"/>
        <v>2010</v>
      </c>
      <c r="F434" s="5" t="s">
        <v>26</v>
      </c>
      <c r="G434" s="5" t="s">
        <v>10</v>
      </c>
      <c r="H434" s="7">
        <v>13114</v>
      </c>
      <c r="I434" s="7">
        <v>14556.29</v>
      </c>
      <c r="J434" s="7">
        <f t="shared" si="32"/>
        <v>1442.2900000000009</v>
      </c>
      <c r="K434" s="8">
        <f t="shared" si="34"/>
        <v>0.10998093640384329</v>
      </c>
    </row>
    <row r="435" spans="1:11" x14ac:dyDescent="0.3">
      <c r="A435" s="5" t="s">
        <v>43</v>
      </c>
      <c r="B435" s="6">
        <v>40240</v>
      </c>
      <c r="C435" s="5">
        <f t="shared" si="33"/>
        <v>10</v>
      </c>
      <c r="D435" s="5">
        <f t="shared" si="30"/>
        <v>3</v>
      </c>
      <c r="E435" s="5">
        <f t="shared" si="31"/>
        <v>2010</v>
      </c>
      <c r="F435" s="5" t="s">
        <v>27</v>
      </c>
      <c r="G435" s="5" t="s">
        <v>10</v>
      </c>
      <c r="H435" s="7">
        <v>173195.48</v>
      </c>
      <c r="I435" s="7">
        <v>196417.83</v>
      </c>
      <c r="J435" s="7">
        <f t="shared" si="32"/>
        <v>23222.349999999977</v>
      </c>
      <c r="K435" s="8">
        <f t="shared" si="34"/>
        <v>0.13408173238701135</v>
      </c>
    </row>
    <row r="436" spans="1:11" x14ac:dyDescent="0.3">
      <c r="A436" s="5" t="s">
        <v>43</v>
      </c>
      <c r="B436" s="6">
        <v>40240</v>
      </c>
      <c r="C436" s="5">
        <f t="shared" si="33"/>
        <v>10</v>
      </c>
      <c r="D436" s="5">
        <f t="shared" si="30"/>
        <v>3</v>
      </c>
      <c r="E436" s="5">
        <f t="shared" si="31"/>
        <v>2010</v>
      </c>
      <c r="F436" s="5" t="s">
        <v>28</v>
      </c>
      <c r="G436" s="5" t="s">
        <v>10</v>
      </c>
      <c r="H436" s="7">
        <v>429398.65</v>
      </c>
      <c r="I436" s="7">
        <v>445149.43</v>
      </c>
      <c r="J436" s="7">
        <f t="shared" si="32"/>
        <v>15750.77999999997</v>
      </c>
      <c r="K436" s="8">
        <f t="shared" si="34"/>
        <v>3.668101890865276E-2</v>
      </c>
    </row>
    <row r="437" spans="1:11" x14ac:dyDescent="0.3">
      <c r="A437" s="5" t="s">
        <v>43</v>
      </c>
      <c r="B437" s="6">
        <v>40240</v>
      </c>
      <c r="C437" s="5">
        <f t="shared" si="33"/>
        <v>10</v>
      </c>
      <c r="D437" s="5">
        <f t="shared" si="30"/>
        <v>3</v>
      </c>
      <c r="E437" s="5">
        <f t="shared" si="31"/>
        <v>2010</v>
      </c>
      <c r="F437" s="5" t="s">
        <v>29</v>
      </c>
      <c r="G437" s="5" t="s">
        <v>10</v>
      </c>
      <c r="H437" s="7">
        <v>931616.79</v>
      </c>
      <c r="I437" s="7">
        <v>1020764.83</v>
      </c>
      <c r="J437" s="7">
        <f t="shared" si="32"/>
        <v>89148.039999999921</v>
      </c>
      <c r="K437" s="8">
        <f t="shared" si="34"/>
        <v>9.5691748964721768E-2</v>
      </c>
    </row>
    <row r="438" spans="1:11" x14ac:dyDescent="0.3">
      <c r="A438" s="5" t="s">
        <v>43</v>
      </c>
      <c r="B438" s="6">
        <v>40240</v>
      </c>
      <c r="C438" s="5">
        <f t="shared" si="33"/>
        <v>10</v>
      </c>
      <c r="D438" s="5">
        <f t="shared" si="30"/>
        <v>3</v>
      </c>
      <c r="E438" s="5">
        <f t="shared" si="31"/>
        <v>2010</v>
      </c>
      <c r="F438" s="5" t="s">
        <v>30</v>
      </c>
      <c r="G438" s="5" t="s">
        <v>10</v>
      </c>
      <c r="H438" s="7">
        <v>135498.78</v>
      </c>
      <c r="I438" s="7">
        <v>153102.15</v>
      </c>
      <c r="J438" s="7">
        <f t="shared" si="32"/>
        <v>17603.369999999995</v>
      </c>
      <c r="K438" s="8">
        <f t="shared" si="34"/>
        <v>0.12991533945914491</v>
      </c>
    </row>
    <row r="439" spans="1:11" x14ac:dyDescent="0.3">
      <c r="A439" s="5" t="s">
        <v>43</v>
      </c>
      <c r="B439" s="6">
        <v>40240</v>
      </c>
      <c r="C439" s="5">
        <f t="shared" si="33"/>
        <v>10</v>
      </c>
      <c r="D439" s="5">
        <f t="shared" si="30"/>
        <v>3</v>
      </c>
      <c r="E439" s="5">
        <f t="shared" si="31"/>
        <v>2010</v>
      </c>
      <c r="F439" s="5" t="s">
        <v>9</v>
      </c>
      <c r="G439" s="5" t="s">
        <v>9</v>
      </c>
      <c r="H439" s="7">
        <v>971682.3</v>
      </c>
      <c r="I439" s="7">
        <v>1141345.01</v>
      </c>
      <c r="J439" s="7">
        <f t="shared" si="32"/>
        <v>169662.70999999996</v>
      </c>
      <c r="K439" s="8">
        <f t="shared" si="34"/>
        <v>0.17460718385011229</v>
      </c>
    </row>
    <row r="440" spans="1:11" x14ac:dyDescent="0.3">
      <c r="A440" s="5" t="s">
        <v>43</v>
      </c>
      <c r="B440" s="6">
        <v>40240</v>
      </c>
      <c r="C440" s="5">
        <f t="shared" si="33"/>
        <v>10</v>
      </c>
      <c r="D440" s="5">
        <f t="shared" si="30"/>
        <v>3</v>
      </c>
      <c r="E440" s="5">
        <f t="shared" si="31"/>
        <v>2010</v>
      </c>
      <c r="F440" s="5" t="s">
        <v>31</v>
      </c>
      <c r="G440" s="5" t="s">
        <v>7</v>
      </c>
      <c r="H440" s="7">
        <v>9552.25</v>
      </c>
      <c r="I440" s="7">
        <v>21154.07</v>
      </c>
      <c r="J440" s="7">
        <f t="shared" si="32"/>
        <v>11601.82</v>
      </c>
      <c r="K440" s="8">
        <f t="shared" si="34"/>
        <v>1.2145641079326859</v>
      </c>
    </row>
    <row r="441" spans="1:11" x14ac:dyDescent="0.3">
      <c r="A441" s="5" t="s">
        <v>43</v>
      </c>
      <c r="B441" s="6">
        <v>40240</v>
      </c>
      <c r="C441" s="5">
        <f t="shared" si="33"/>
        <v>10</v>
      </c>
      <c r="D441" s="5">
        <f t="shared" si="30"/>
        <v>3</v>
      </c>
      <c r="E441" s="5">
        <f t="shared" si="31"/>
        <v>2010</v>
      </c>
      <c r="F441" s="5" t="s">
        <v>33</v>
      </c>
      <c r="G441" s="5" t="s">
        <v>7</v>
      </c>
      <c r="H441" s="7">
        <v>205397.37</v>
      </c>
      <c r="I441" s="7">
        <v>402037.33</v>
      </c>
      <c r="J441" s="7">
        <f t="shared" si="32"/>
        <v>196639.96000000002</v>
      </c>
      <c r="K441" s="8">
        <f t="shared" si="34"/>
        <v>0.95736357286366436</v>
      </c>
    </row>
    <row r="442" spans="1:11" x14ac:dyDescent="0.3">
      <c r="A442" s="5" t="s">
        <v>43</v>
      </c>
      <c r="B442" s="6">
        <v>40240</v>
      </c>
      <c r="C442" s="5">
        <f t="shared" si="33"/>
        <v>10</v>
      </c>
      <c r="D442" s="5">
        <f t="shared" si="30"/>
        <v>3</v>
      </c>
      <c r="E442" s="5">
        <f t="shared" si="31"/>
        <v>2010</v>
      </c>
      <c r="F442" s="5" t="s">
        <v>34</v>
      </c>
      <c r="G442" s="5" t="s">
        <v>7</v>
      </c>
      <c r="H442" s="7">
        <v>76</v>
      </c>
      <c r="I442" s="7">
        <v>-235.94</v>
      </c>
      <c r="J442" s="7">
        <f t="shared" si="32"/>
        <v>-311.94</v>
      </c>
      <c r="K442" s="8">
        <f t="shared" si="34"/>
        <v>-4.1044736842105261</v>
      </c>
    </row>
    <row r="443" spans="1:11" x14ac:dyDescent="0.3">
      <c r="A443" s="5" t="s">
        <v>43</v>
      </c>
      <c r="B443" s="6">
        <v>40240</v>
      </c>
      <c r="C443" s="5">
        <f t="shared" si="33"/>
        <v>10</v>
      </c>
      <c r="D443" s="5">
        <f t="shared" si="30"/>
        <v>3</v>
      </c>
      <c r="E443" s="5">
        <f t="shared" si="31"/>
        <v>2010</v>
      </c>
      <c r="F443" s="5" t="s">
        <v>35</v>
      </c>
      <c r="G443" s="5" t="s">
        <v>11</v>
      </c>
      <c r="H443" s="7">
        <v>1855.52</v>
      </c>
      <c r="I443" s="7">
        <v>2412.4</v>
      </c>
      <c r="J443" s="7">
        <f t="shared" si="32"/>
        <v>556.88000000000011</v>
      </c>
      <c r="K443" s="8">
        <f t="shared" si="34"/>
        <v>0.30012072087608871</v>
      </c>
    </row>
    <row r="444" spans="1:11" x14ac:dyDescent="0.3">
      <c r="A444" s="5" t="s">
        <v>43</v>
      </c>
      <c r="B444" s="6">
        <v>40240</v>
      </c>
      <c r="C444" s="5">
        <f t="shared" si="33"/>
        <v>10</v>
      </c>
      <c r="D444" s="5">
        <f t="shared" si="30"/>
        <v>3</v>
      </c>
      <c r="E444" s="5">
        <f t="shared" si="31"/>
        <v>2010</v>
      </c>
      <c r="F444" s="5" t="s">
        <v>36</v>
      </c>
      <c r="G444" s="5" t="s">
        <v>11</v>
      </c>
      <c r="H444" s="7">
        <v>248880.43</v>
      </c>
      <c r="I444" s="7">
        <v>277319.49</v>
      </c>
      <c r="J444" s="7">
        <f t="shared" si="32"/>
        <v>28439.059999999998</v>
      </c>
      <c r="K444" s="8">
        <f t="shared" si="34"/>
        <v>0.11426796393754221</v>
      </c>
    </row>
    <row r="445" spans="1:11" x14ac:dyDescent="0.3">
      <c r="A445" s="5" t="s">
        <v>43</v>
      </c>
      <c r="B445" s="6">
        <v>40240</v>
      </c>
      <c r="C445" s="5">
        <f t="shared" si="33"/>
        <v>10</v>
      </c>
      <c r="D445" s="5">
        <f t="shared" si="30"/>
        <v>3</v>
      </c>
      <c r="E445" s="5">
        <f t="shared" si="31"/>
        <v>2010</v>
      </c>
      <c r="F445" s="5" t="s">
        <v>37</v>
      </c>
      <c r="G445" s="5" t="s">
        <v>11</v>
      </c>
      <c r="H445" s="7">
        <v>511141.32</v>
      </c>
      <c r="I445" s="7">
        <v>553080.74</v>
      </c>
      <c r="J445" s="7">
        <f t="shared" si="32"/>
        <v>41939.419999999984</v>
      </c>
      <c r="K445" s="8">
        <f t="shared" si="34"/>
        <v>8.2050537413019126E-2</v>
      </c>
    </row>
    <row r="446" spans="1:11" x14ac:dyDescent="0.3">
      <c r="A446" s="5" t="s">
        <v>43</v>
      </c>
      <c r="B446" s="6">
        <v>40240</v>
      </c>
      <c r="C446" s="5">
        <f t="shared" si="33"/>
        <v>10</v>
      </c>
      <c r="D446" s="5">
        <f t="shared" si="30"/>
        <v>3</v>
      </c>
      <c r="E446" s="5">
        <f t="shared" si="31"/>
        <v>2010</v>
      </c>
      <c r="F446" s="5" t="s">
        <v>38</v>
      </c>
      <c r="G446" s="5" t="s">
        <v>11</v>
      </c>
      <c r="H446" s="7">
        <v>452115.68</v>
      </c>
      <c r="I446" s="7">
        <v>478832.09</v>
      </c>
      <c r="J446" s="7">
        <f t="shared" si="32"/>
        <v>26716.410000000033</v>
      </c>
      <c r="K446" s="8">
        <f t="shared" si="34"/>
        <v>5.9091978406942296E-2</v>
      </c>
    </row>
    <row r="447" spans="1:11" x14ac:dyDescent="0.3">
      <c r="A447" s="5" t="s">
        <v>43</v>
      </c>
      <c r="B447" s="6">
        <v>40241</v>
      </c>
      <c r="C447" s="5">
        <f t="shared" si="33"/>
        <v>10</v>
      </c>
      <c r="D447" s="5">
        <f t="shared" si="30"/>
        <v>3</v>
      </c>
      <c r="E447" s="5">
        <f t="shared" si="31"/>
        <v>2010</v>
      </c>
      <c r="F447" s="5" t="s">
        <v>14</v>
      </c>
      <c r="G447" s="5" t="s">
        <v>6</v>
      </c>
      <c r="H447" s="7">
        <v>11282.79</v>
      </c>
      <c r="I447" s="7">
        <v>13388.48</v>
      </c>
      <c r="J447" s="7">
        <f t="shared" si="32"/>
        <v>2105.6899999999987</v>
      </c>
      <c r="K447" s="8">
        <f t="shared" si="34"/>
        <v>0.18662848462126819</v>
      </c>
    </row>
    <row r="448" spans="1:11" x14ac:dyDescent="0.3">
      <c r="A448" s="5" t="s">
        <v>43</v>
      </c>
      <c r="B448" s="6">
        <v>40241</v>
      </c>
      <c r="C448" s="5">
        <f t="shared" si="33"/>
        <v>10</v>
      </c>
      <c r="D448" s="5">
        <f t="shared" si="30"/>
        <v>3</v>
      </c>
      <c r="E448" s="5">
        <f t="shared" si="31"/>
        <v>2010</v>
      </c>
      <c r="F448" s="5" t="s">
        <v>15</v>
      </c>
      <c r="G448" s="5" t="s">
        <v>6</v>
      </c>
      <c r="H448" s="7">
        <v>497739.66</v>
      </c>
      <c r="I448" s="7">
        <v>690547.35</v>
      </c>
      <c r="J448" s="7">
        <f t="shared" si="32"/>
        <v>192807.69</v>
      </c>
      <c r="K448" s="8">
        <f t="shared" si="34"/>
        <v>0.38736654017081945</v>
      </c>
    </row>
    <row r="449" spans="1:11" x14ac:dyDescent="0.3">
      <c r="A449" s="5" t="s">
        <v>43</v>
      </c>
      <c r="B449" s="6">
        <v>40241</v>
      </c>
      <c r="C449" s="5">
        <f t="shared" si="33"/>
        <v>10</v>
      </c>
      <c r="D449" s="5">
        <f t="shared" si="30"/>
        <v>3</v>
      </c>
      <c r="E449" s="5">
        <f t="shared" si="31"/>
        <v>2010</v>
      </c>
      <c r="F449" s="5" t="s">
        <v>16</v>
      </c>
      <c r="G449" s="5" t="s">
        <v>6</v>
      </c>
      <c r="H449" s="7">
        <v>289477.38</v>
      </c>
      <c r="I449" s="7">
        <v>321613.57</v>
      </c>
      <c r="J449" s="7">
        <f t="shared" si="32"/>
        <v>32136.190000000002</v>
      </c>
      <c r="K449" s="8">
        <f t="shared" si="34"/>
        <v>0.11101451173836105</v>
      </c>
    </row>
    <row r="450" spans="1:11" x14ac:dyDescent="0.3">
      <c r="A450" s="5" t="s">
        <v>43</v>
      </c>
      <c r="B450" s="6">
        <v>40241</v>
      </c>
      <c r="C450" s="5">
        <f t="shared" si="33"/>
        <v>10</v>
      </c>
      <c r="D450" s="5">
        <f t="shared" ref="D450:D513" si="35">MONTH(B450)</f>
        <v>3</v>
      </c>
      <c r="E450" s="5">
        <f t="shared" ref="E450:E513" si="36">YEAR(B450)</f>
        <v>2010</v>
      </c>
      <c r="F450" s="5" t="s">
        <v>17</v>
      </c>
      <c r="G450" s="5" t="s">
        <v>6</v>
      </c>
      <c r="H450" s="7">
        <v>2828</v>
      </c>
      <c r="I450" s="7">
        <v>3212.8</v>
      </c>
      <c r="J450" s="7">
        <f t="shared" ref="J450:J513" si="37">I450-H450</f>
        <v>384.80000000000018</v>
      </c>
      <c r="K450" s="8">
        <f t="shared" si="34"/>
        <v>0.13606789250353613</v>
      </c>
    </row>
    <row r="451" spans="1:11" x14ac:dyDescent="0.3">
      <c r="A451" s="5" t="s">
        <v>43</v>
      </c>
      <c r="B451" s="6">
        <v>40241</v>
      </c>
      <c r="C451" s="5">
        <f t="shared" ref="C451:C514" si="38">WEEKNUM(B451,1)</f>
        <v>10</v>
      </c>
      <c r="D451" s="5">
        <f t="shared" si="35"/>
        <v>3</v>
      </c>
      <c r="E451" s="5">
        <f t="shared" si="36"/>
        <v>2010</v>
      </c>
      <c r="F451" s="5" t="s">
        <v>19</v>
      </c>
      <c r="G451" s="5" t="s">
        <v>5</v>
      </c>
      <c r="H451" s="7">
        <v>233307.21</v>
      </c>
      <c r="I451" s="7">
        <v>261504.44</v>
      </c>
      <c r="J451" s="7">
        <f t="shared" si="37"/>
        <v>28197.23000000001</v>
      </c>
      <c r="K451" s="8">
        <f t="shared" ref="K451:K514" si="39">(I451-H451)/H451</f>
        <v>0.12085880243478121</v>
      </c>
    </row>
    <row r="452" spans="1:11" x14ac:dyDescent="0.3">
      <c r="A452" s="5" t="s">
        <v>43</v>
      </c>
      <c r="B452" s="6">
        <v>40241</v>
      </c>
      <c r="C452" s="5">
        <f t="shared" si="38"/>
        <v>10</v>
      </c>
      <c r="D452" s="5">
        <f t="shared" si="35"/>
        <v>3</v>
      </c>
      <c r="E452" s="5">
        <f t="shared" si="36"/>
        <v>2010</v>
      </c>
      <c r="F452" s="5" t="s">
        <v>5</v>
      </c>
      <c r="G452" s="5" t="s">
        <v>5</v>
      </c>
      <c r="H452" s="7">
        <v>872963.45</v>
      </c>
      <c r="I452" s="7">
        <v>927569.08</v>
      </c>
      <c r="J452" s="7">
        <f t="shared" si="37"/>
        <v>54605.630000000005</v>
      </c>
      <c r="K452" s="8">
        <f t="shared" si="39"/>
        <v>6.2552023226172884E-2</v>
      </c>
    </row>
    <row r="453" spans="1:11" x14ac:dyDescent="0.3">
      <c r="A453" s="5" t="s">
        <v>43</v>
      </c>
      <c r="B453" s="6">
        <v>40241</v>
      </c>
      <c r="C453" s="5">
        <f t="shared" si="38"/>
        <v>10</v>
      </c>
      <c r="D453" s="5">
        <f t="shared" si="35"/>
        <v>3</v>
      </c>
      <c r="E453" s="5">
        <f t="shared" si="36"/>
        <v>2010</v>
      </c>
      <c r="F453" s="5" t="s">
        <v>20</v>
      </c>
      <c r="G453" s="5" t="s">
        <v>5</v>
      </c>
      <c r="H453" s="7">
        <v>203929.73</v>
      </c>
      <c r="I453" s="7">
        <v>223751.18</v>
      </c>
      <c r="J453" s="7">
        <f t="shared" si="37"/>
        <v>19821.449999999983</v>
      </c>
      <c r="K453" s="8">
        <f t="shared" si="39"/>
        <v>9.7197451298542792E-2</v>
      </c>
    </row>
    <row r="454" spans="1:11" x14ac:dyDescent="0.3">
      <c r="A454" s="5" t="s">
        <v>43</v>
      </c>
      <c r="B454" s="6">
        <v>40241</v>
      </c>
      <c r="C454" s="5">
        <f t="shared" si="38"/>
        <v>10</v>
      </c>
      <c r="D454" s="5">
        <f t="shared" si="35"/>
        <v>3</v>
      </c>
      <c r="E454" s="5">
        <f t="shared" si="36"/>
        <v>2010</v>
      </c>
      <c r="F454" s="5" t="s">
        <v>21</v>
      </c>
      <c r="G454" s="5" t="s">
        <v>5</v>
      </c>
      <c r="H454" s="7">
        <v>277148.81</v>
      </c>
      <c r="I454" s="7">
        <v>299970.96999999997</v>
      </c>
      <c r="J454" s="7">
        <f t="shared" si="37"/>
        <v>22822.159999999974</v>
      </c>
      <c r="K454" s="8">
        <f t="shared" si="39"/>
        <v>8.2346231253888388E-2</v>
      </c>
    </row>
    <row r="455" spans="1:11" x14ac:dyDescent="0.3">
      <c r="A455" s="5" t="s">
        <v>43</v>
      </c>
      <c r="B455" s="6">
        <v>40241</v>
      </c>
      <c r="C455" s="5">
        <f t="shared" si="38"/>
        <v>10</v>
      </c>
      <c r="D455" s="5">
        <f t="shared" si="35"/>
        <v>3</v>
      </c>
      <c r="E455" s="5">
        <f t="shared" si="36"/>
        <v>2010</v>
      </c>
      <c r="F455" s="5" t="s">
        <v>22</v>
      </c>
      <c r="G455" s="5" t="s">
        <v>8</v>
      </c>
      <c r="H455" s="7">
        <v>1127346.18</v>
      </c>
      <c r="I455" s="7">
        <v>1206372.47</v>
      </c>
      <c r="J455" s="7">
        <f t="shared" si="37"/>
        <v>79026.290000000037</v>
      </c>
      <c r="K455" s="8">
        <f t="shared" si="39"/>
        <v>7.0099399281239455E-2</v>
      </c>
    </row>
    <row r="456" spans="1:11" x14ac:dyDescent="0.3">
      <c r="A456" s="5" t="s">
        <v>43</v>
      </c>
      <c r="B456" s="6">
        <v>40241</v>
      </c>
      <c r="C456" s="5">
        <f t="shared" si="38"/>
        <v>10</v>
      </c>
      <c r="D456" s="5">
        <f t="shared" si="35"/>
        <v>3</v>
      </c>
      <c r="E456" s="5">
        <f t="shared" si="36"/>
        <v>2010</v>
      </c>
      <c r="F456" s="5" t="s">
        <v>23</v>
      </c>
      <c r="G456" s="5" t="s">
        <v>8</v>
      </c>
      <c r="H456" s="7">
        <v>258119</v>
      </c>
      <c r="I456" s="7">
        <v>268640.73</v>
      </c>
      <c r="J456" s="7">
        <f t="shared" si="37"/>
        <v>10521.729999999981</v>
      </c>
      <c r="K456" s="8">
        <f t="shared" si="39"/>
        <v>4.0763097641010472E-2</v>
      </c>
    </row>
    <row r="457" spans="1:11" x14ac:dyDescent="0.3">
      <c r="A457" s="5" t="s">
        <v>43</v>
      </c>
      <c r="B457" s="6">
        <v>40241</v>
      </c>
      <c r="C457" s="5">
        <f t="shared" si="38"/>
        <v>10</v>
      </c>
      <c r="D457" s="5">
        <f t="shared" si="35"/>
        <v>3</v>
      </c>
      <c r="E457" s="5">
        <f t="shared" si="36"/>
        <v>2010</v>
      </c>
      <c r="F457" s="5" t="s">
        <v>24</v>
      </c>
      <c r="G457" s="5" t="s">
        <v>8</v>
      </c>
      <c r="H457" s="7">
        <v>288686.99</v>
      </c>
      <c r="I457" s="7">
        <v>305821.13</v>
      </c>
      <c r="J457" s="7">
        <f t="shared" si="37"/>
        <v>17134.140000000014</v>
      </c>
      <c r="K457" s="8">
        <f t="shared" si="39"/>
        <v>5.9351964562033135E-2</v>
      </c>
    </row>
    <row r="458" spans="1:11" x14ac:dyDescent="0.3">
      <c r="A458" s="5" t="s">
        <v>43</v>
      </c>
      <c r="B458" s="6">
        <v>40241</v>
      </c>
      <c r="C458" s="5">
        <f t="shared" si="38"/>
        <v>10</v>
      </c>
      <c r="D458" s="5">
        <f t="shared" si="35"/>
        <v>3</v>
      </c>
      <c r="E458" s="5">
        <f t="shared" si="36"/>
        <v>2010</v>
      </c>
      <c r="F458" s="5" t="s">
        <v>25</v>
      </c>
      <c r="G458" s="5" t="s">
        <v>8</v>
      </c>
      <c r="H458" s="7">
        <v>12744.2</v>
      </c>
      <c r="I458" s="7">
        <v>13261.55</v>
      </c>
      <c r="J458" s="7">
        <f t="shared" si="37"/>
        <v>517.34999999999854</v>
      </c>
      <c r="K458" s="8">
        <f t="shared" si="39"/>
        <v>4.0594937304813054E-2</v>
      </c>
    </row>
    <row r="459" spans="1:11" x14ac:dyDescent="0.3">
      <c r="A459" s="5" t="s">
        <v>43</v>
      </c>
      <c r="B459" s="6">
        <v>40241</v>
      </c>
      <c r="C459" s="5">
        <f t="shared" si="38"/>
        <v>10</v>
      </c>
      <c r="D459" s="5">
        <f t="shared" si="35"/>
        <v>3</v>
      </c>
      <c r="E459" s="5">
        <f t="shared" si="36"/>
        <v>2010</v>
      </c>
      <c r="F459" s="5" t="s">
        <v>26</v>
      </c>
      <c r="G459" s="5" t="s">
        <v>10</v>
      </c>
      <c r="H459" s="7">
        <v>23767</v>
      </c>
      <c r="I459" s="7">
        <v>26661.61</v>
      </c>
      <c r="J459" s="7">
        <f t="shared" si="37"/>
        <v>2894.6100000000006</v>
      </c>
      <c r="K459" s="8">
        <f t="shared" si="39"/>
        <v>0.12179113897420796</v>
      </c>
    </row>
    <row r="460" spans="1:11" x14ac:dyDescent="0.3">
      <c r="A460" s="5" t="s">
        <v>43</v>
      </c>
      <c r="B460" s="6">
        <v>40241</v>
      </c>
      <c r="C460" s="5">
        <f t="shared" si="38"/>
        <v>10</v>
      </c>
      <c r="D460" s="5">
        <f t="shared" si="35"/>
        <v>3</v>
      </c>
      <c r="E460" s="5">
        <f t="shared" si="36"/>
        <v>2010</v>
      </c>
      <c r="F460" s="5" t="s">
        <v>27</v>
      </c>
      <c r="G460" s="5" t="s">
        <v>10</v>
      </c>
      <c r="H460" s="7">
        <v>182498.01</v>
      </c>
      <c r="I460" s="7">
        <v>206530.44</v>
      </c>
      <c r="J460" s="7">
        <f t="shared" si="37"/>
        <v>24032.429999999993</v>
      </c>
      <c r="K460" s="8">
        <f t="shared" si="39"/>
        <v>0.13168598386360483</v>
      </c>
    </row>
    <row r="461" spans="1:11" x14ac:dyDescent="0.3">
      <c r="A461" s="5" t="s">
        <v>43</v>
      </c>
      <c r="B461" s="6">
        <v>40241</v>
      </c>
      <c r="C461" s="5">
        <f t="shared" si="38"/>
        <v>10</v>
      </c>
      <c r="D461" s="5">
        <f t="shared" si="35"/>
        <v>3</v>
      </c>
      <c r="E461" s="5">
        <f t="shared" si="36"/>
        <v>2010</v>
      </c>
      <c r="F461" s="5" t="s">
        <v>28</v>
      </c>
      <c r="G461" s="5" t="s">
        <v>10</v>
      </c>
      <c r="H461" s="7">
        <v>179471.63</v>
      </c>
      <c r="I461" s="7">
        <v>199016.57</v>
      </c>
      <c r="J461" s="7">
        <f t="shared" si="37"/>
        <v>19544.940000000002</v>
      </c>
      <c r="K461" s="8">
        <f t="shared" si="39"/>
        <v>0.10890267169245636</v>
      </c>
    </row>
    <row r="462" spans="1:11" x14ac:dyDescent="0.3">
      <c r="A462" s="5" t="s">
        <v>43</v>
      </c>
      <c r="B462" s="6">
        <v>40241</v>
      </c>
      <c r="C462" s="5">
        <f t="shared" si="38"/>
        <v>10</v>
      </c>
      <c r="D462" s="5">
        <f t="shared" si="35"/>
        <v>3</v>
      </c>
      <c r="E462" s="5">
        <f t="shared" si="36"/>
        <v>2010</v>
      </c>
      <c r="F462" s="5" t="s">
        <v>29</v>
      </c>
      <c r="G462" s="5" t="s">
        <v>10</v>
      </c>
      <c r="H462" s="7">
        <v>1079538.23</v>
      </c>
      <c r="I462" s="7">
        <v>1182615.96</v>
      </c>
      <c r="J462" s="7">
        <f t="shared" si="37"/>
        <v>103077.72999999998</v>
      </c>
      <c r="K462" s="8">
        <f t="shared" si="39"/>
        <v>9.5483167835566124E-2</v>
      </c>
    </row>
    <row r="463" spans="1:11" x14ac:dyDescent="0.3">
      <c r="A463" s="5" t="s">
        <v>43</v>
      </c>
      <c r="B463" s="6">
        <v>40241</v>
      </c>
      <c r="C463" s="5">
        <f t="shared" si="38"/>
        <v>10</v>
      </c>
      <c r="D463" s="5">
        <f t="shared" si="35"/>
        <v>3</v>
      </c>
      <c r="E463" s="5">
        <f t="shared" si="36"/>
        <v>2010</v>
      </c>
      <c r="F463" s="5" t="s">
        <v>30</v>
      </c>
      <c r="G463" s="5" t="s">
        <v>10</v>
      </c>
      <c r="H463" s="7">
        <v>161436.32</v>
      </c>
      <c r="I463" s="7">
        <v>182248.03</v>
      </c>
      <c r="J463" s="7">
        <f t="shared" si="37"/>
        <v>20811.709999999992</v>
      </c>
      <c r="K463" s="8">
        <f t="shared" si="39"/>
        <v>0.12891590938148237</v>
      </c>
    </row>
    <row r="464" spans="1:11" x14ac:dyDescent="0.3">
      <c r="A464" s="5" t="s">
        <v>43</v>
      </c>
      <c r="B464" s="6">
        <v>40241</v>
      </c>
      <c r="C464" s="5">
        <f t="shared" si="38"/>
        <v>10</v>
      </c>
      <c r="D464" s="5">
        <f t="shared" si="35"/>
        <v>3</v>
      </c>
      <c r="E464" s="5">
        <f t="shared" si="36"/>
        <v>2010</v>
      </c>
      <c r="F464" s="5" t="s">
        <v>9</v>
      </c>
      <c r="G464" s="5" t="s">
        <v>9</v>
      </c>
      <c r="H464" s="7">
        <v>1189403.76</v>
      </c>
      <c r="I464" s="7">
        <v>1415693.97</v>
      </c>
      <c r="J464" s="7">
        <f t="shared" si="37"/>
        <v>226290.20999999996</v>
      </c>
      <c r="K464" s="8">
        <f t="shared" si="39"/>
        <v>0.19025516616829929</v>
      </c>
    </row>
    <row r="465" spans="1:11" x14ac:dyDescent="0.3">
      <c r="A465" s="5" t="s">
        <v>43</v>
      </c>
      <c r="B465" s="6">
        <v>40241</v>
      </c>
      <c r="C465" s="5">
        <f t="shared" si="38"/>
        <v>10</v>
      </c>
      <c r="D465" s="5">
        <f t="shared" si="35"/>
        <v>3</v>
      </c>
      <c r="E465" s="5">
        <f t="shared" si="36"/>
        <v>2010</v>
      </c>
      <c r="F465" s="5" t="s">
        <v>31</v>
      </c>
      <c r="G465" s="5" t="s">
        <v>7</v>
      </c>
      <c r="H465" s="7">
        <v>12711.82</v>
      </c>
      <c r="I465" s="7">
        <v>27933.39</v>
      </c>
      <c r="J465" s="7">
        <f t="shared" si="37"/>
        <v>15221.57</v>
      </c>
      <c r="K465" s="8">
        <f t="shared" si="39"/>
        <v>1.1974343563706848</v>
      </c>
    </row>
    <row r="466" spans="1:11" x14ac:dyDescent="0.3">
      <c r="A466" s="5" t="s">
        <v>43</v>
      </c>
      <c r="B466" s="6">
        <v>40241</v>
      </c>
      <c r="C466" s="5">
        <f t="shared" si="38"/>
        <v>10</v>
      </c>
      <c r="D466" s="5">
        <f t="shared" si="35"/>
        <v>3</v>
      </c>
      <c r="E466" s="5">
        <f t="shared" si="36"/>
        <v>2010</v>
      </c>
      <c r="F466" s="5" t="s">
        <v>33</v>
      </c>
      <c r="G466" s="5" t="s">
        <v>7</v>
      </c>
      <c r="H466" s="7">
        <v>230239.51</v>
      </c>
      <c r="I466" s="7">
        <v>464305.56</v>
      </c>
      <c r="J466" s="7">
        <f t="shared" si="37"/>
        <v>234066.05</v>
      </c>
      <c r="K466" s="8">
        <f t="shared" si="39"/>
        <v>1.0166198234177966</v>
      </c>
    </row>
    <row r="467" spans="1:11" x14ac:dyDescent="0.3">
      <c r="A467" s="5" t="s">
        <v>43</v>
      </c>
      <c r="B467" s="6">
        <v>40241</v>
      </c>
      <c r="C467" s="5">
        <f t="shared" si="38"/>
        <v>10</v>
      </c>
      <c r="D467" s="5">
        <f t="shared" si="35"/>
        <v>3</v>
      </c>
      <c r="E467" s="5">
        <f t="shared" si="36"/>
        <v>2010</v>
      </c>
      <c r="F467" s="5" t="s">
        <v>34</v>
      </c>
      <c r="G467" s="5" t="s">
        <v>7</v>
      </c>
      <c r="H467" s="7">
        <v>57</v>
      </c>
      <c r="I467" s="7">
        <v>177</v>
      </c>
      <c r="J467" s="7">
        <f t="shared" si="37"/>
        <v>120</v>
      </c>
      <c r="K467" s="8">
        <f t="shared" si="39"/>
        <v>2.1052631578947367</v>
      </c>
    </row>
    <row r="468" spans="1:11" x14ac:dyDescent="0.3">
      <c r="A468" s="5" t="s">
        <v>43</v>
      </c>
      <c r="B468" s="6">
        <v>40241</v>
      </c>
      <c r="C468" s="5">
        <f t="shared" si="38"/>
        <v>10</v>
      </c>
      <c r="D468" s="5">
        <f t="shared" si="35"/>
        <v>3</v>
      </c>
      <c r="E468" s="5">
        <f t="shared" si="36"/>
        <v>2010</v>
      </c>
      <c r="F468" s="5" t="s">
        <v>35</v>
      </c>
      <c r="G468" s="5" t="s">
        <v>11</v>
      </c>
      <c r="H468" s="7">
        <v>4426.96</v>
      </c>
      <c r="I468" s="7">
        <v>5755.63</v>
      </c>
      <c r="J468" s="7">
        <f t="shared" si="37"/>
        <v>1328.67</v>
      </c>
      <c r="K468" s="8">
        <f t="shared" si="39"/>
        <v>0.30013146719193307</v>
      </c>
    </row>
    <row r="469" spans="1:11" x14ac:dyDescent="0.3">
      <c r="A469" s="5" t="s">
        <v>43</v>
      </c>
      <c r="B469" s="6">
        <v>40241</v>
      </c>
      <c r="C469" s="5">
        <f t="shared" si="38"/>
        <v>10</v>
      </c>
      <c r="D469" s="5">
        <f t="shared" si="35"/>
        <v>3</v>
      </c>
      <c r="E469" s="5">
        <f t="shared" si="36"/>
        <v>2010</v>
      </c>
      <c r="F469" s="5" t="s">
        <v>36</v>
      </c>
      <c r="G469" s="5" t="s">
        <v>11</v>
      </c>
      <c r="H469" s="7">
        <v>658028.68000000005</v>
      </c>
      <c r="I469" s="7">
        <v>719707.87</v>
      </c>
      <c r="J469" s="7">
        <f t="shared" si="37"/>
        <v>61679.189999999944</v>
      </c>
      <c r="K469" s="8">
        <f t="shared" si="39"/>
        <v>9.3733285303005245E-2</v>
      </c>
    </row>
    <row r="470" spans="1:11" x14ac:dyDescent="0.3">
      <c r="A470" s="5" t="s">
        <v>43</v>
      </c>
      <c r="B470" s="6">
        <v>40241</v>
      </c>
      <c r="C470" s="5">
        <f t="shared" si="38"/>
        <v>10</v>
      </c>
      <c r="D470" s="5">
        <f t="shared" si="35"/>
        <v>3</v>
      </c>
      <c r="E470" s="5">
        <f t="shared" si="36"/>
        <v>2010</v>
      </c>
      <c r="F470" s="5" t="s">
        <v>37</v>
      </c>
      <c r="G470" s="5" t="s">
        <v>11</v>
      </c>
      <c r="H470" s="7">
        <v>665707.81000000006</v>
      </c>
      <c r="I470" s="7">
        <v>721675.37</v>
      </c>
      <c r="J470" s="7">
        <f t="shared" si="37"/>
        <v>55967.559999999939</v>
      </c>
      <c r="K470" s="8">
        <f t="shared" si="39"/>
        <v>8.4072259870287436E-2</v>
      </c>
    </row>
    <row r="471" spans="1:11" x14ac:dyDescent="0.3">
      <c r="A471" s="5" t="s">
        <v>43</v>
      </c>
      <c r="B471" s="6">
        <v>40241</v>
      </c>
      <c r="C471" s="5">
        <f t="shared" si="38"/>
        <v>10</v>
      </c>
      <c r="D471" s="5">
        <f t="shared" si="35"/>
        <v>3</v>
      </c>
      <c r="E471" s="5">
        <f t="shared" si="36"/>
        <v>2010</v>
      </c>
      <c r="F471" s="5" t="s">
        <v>38</v>
      </c>
      <c r="G471" s="5" t="s">
        <v>11</v>
      </c>
      <c r="H471" s="7">
        <v>742660.17</v>
      </c>
      <c r="I471" s="7">
        <v>781405.22</v>
      </c>
      <c r="J471" s="7">
        <f t="shared" si="37"/>
        <v>38745.04999999993</v>
      </c>
      <c r="K471" s="8">
        <f t="shared" si="39"/>
        <v>5.2170631420828624E-2</v>
      </c>
    </row>
    <row r="472" spans="1:11" x14ac:dyDescent="0.3">
      <c r="A472" s="5" t="s">
        <v>43</v>
      </c>
      <c r="B472" s="6">
        <v>40242</v>
      </c>
      <c r="C472" s="5">
        <f t="shared" si="38"/>
        <v>10</v>
      </c>
      <c r="D472" s="5">
        <f t="shared" si="35"/>
        <v>3</v>
      </c>
      <c r="E472" s="5">
        <f t="shared" si="36"/>
        <v>2010</v>
      </c>
      <c r="F472" s="5" t="s">
        <v>14</v>
      </c>
      <c r="G472" s="5" t="s">
        <v>6</v>
      </c>
      <c r="H472" s="7">
        <v>7597.54</v>
      </c>
      <c r="I472" s="7">
        <v>9191.86</v>
      </c>
      <c r="J472" s="7">
        <f t="shared" si="37"/>
        <v>1594.3200000000006</v>
      </c>
      <c r="K472" s="8">
        <f t="shared" si="39"/>
        <v>0.20984687148734993</v>
      </c>
    </row>
    <row r="473" spans="1:11" x14ac:dyDescent="0.3">
      <c r="A473" s="5" t="s">
        <v>43</v>
      </c>
      <c r="B473" s="6">
        <v>40242</v>
      </c>
      <c r="C473" s="5">
        <f t="shared" si="38"/>
        <v>10</v>
      </c>
      <c r="D473" s="5">
        <f t="shared" si="35"/>
        <v>3</v>
      </c>
      <c r="E473" s="5">
        <f t="shared" si="36"/>
        <v>2010</v>
      </c>
      <c r="F473" s="5" t="s">
        <v>15</v>
      </c>
      <c r="G473" s="5" t="s">
        <v>6</v>
      </c>
      <c r="H473" s="7">
        <v>759887.52</v>
      </c>
      <c r="I473" s="7">
        <v>974064.7</v>
      </c>
      <c r="J473" s="7">
        <f t="shared" si="37"/>
        <v>214177.17999999993</v>
      </c>
      <c r="K473" s="8">
        <f t="shared" si="39"/>
        <v>0.28185379330877802</v>
      </c>
    </row>
    <row r="474" spans="1:11" x14ac:dyDescent="0.3">
      <c r="A474" s="5" t="s">
        <v>43</v>
      </c>
      <c r="B474" s="6">
        <v>40242</v>
      </c>
      <c r="C474" s="5">
        <f t="shared" si="38"/>
        <v>10</v>
      </c>
      <c r="D474" s="5">
        <f t="shared" si="35"/>
        <v>3</v>
      </c>
      <c r="E474" s="5">
        <f t="shared" si="36"/>
        <v>2010</v>
      </c>
      <c r="F474" s="5" t="s">
        <v>16</v>
      </c>
      <c r="G474" s="5" t="s">
        <v>6</v>
      </c>
      <c r="H474" s="7">
        <v>367371.79</v>
      </c>
      <c r="I474" s="7">
        <v>405747.02</v>
      </c>
      <c r="J474" s="7">
        <f t="shared" si="37"/>
        <v>38375.23000000004</v>
      </c>
      <c r="K474" s="8">
        <f t="shared" si="39"/>
        <v>0.10445883719052038</v>
      </c>
    </row>
    <row r="475" spans="1:11" x14ac:dyDescent="0.3">
      <c r="A475" s="5" t="s">
        <v>43</v>
      </c>
      <c r="B475" s="6">
        <v>40242</v>
      </c>
      <c r="C475" s="5">
        <f t="shared" si="38"/>
        <v>10</v>
      </c>
      <c r="D475" s="5">
        <f t="shared" si="35"/>
        <v>3</v>
      </c>
      <c r="E475" s="5">
        <f t="shared" si="36"/>
        <v>2010</v>
      </c>
      <c r="F475" s="5" t="s">
        <v>17</v>
      </c>
      <c r="G475" s="5" t="s">
        <v>6</v>
      </c>
      <c r="H475" s="7">
        <v>810</v>
      </c>
      <c r="I475" s="7">
        <v>826.2</v>
      </c>
      <c r="J475" s="7">
        <f t="shared" si="37"/>
        <v>16.200000000000045</v>
      </c>
      <c r="K475" s="8">
        <f t="shared" si="39"/>
        <v>2.0000000000000056E-2</v>
      </c>
    </row>
    <row r="476" spans="1:11" x14ac:dyDescent="0.3">
      <c r="A476" s="5" t="s">
        <v>43</v>
      </c>
      <c r="B476" s="6">
        <v>40242</v>
      </c>
      <c r="C476" s="5">
        <f t="shared" si="38"/>
        <v>10</v>
      </c>
      <c r="D476" s="5">
        <f t="shared" si="35"/>
        <v>3</v>
      </c>
      <c r="E476" s="5">
        <f t="shared" si="36"/>
        <v>2010</v>
      </c>
      <c r="F476" s="5" t="s">
        <v>18</v>
      </c>
      <c r="G476" s="5" t="s">
        <v>6</v>
      </c>
      <c r="H476" s="7">
        <v>3146</v>
      </c>
      <c r="I476" s="7">
        <v>3617.79</v>
      </c>
      <c r="J476" s="7">
        <f t="shared" si="37"/>
        <v>471.78999999999996</v>
      </c>
      <c r="K476" s="8">
        <f t="shared" si="39"/>
        <v>0.14996503496503497</v>
      </c>
    </row>
    <row r="477" spans="1:11" x14ac:dyDescent="0.3">
      <c r="A477" s="5" t="s">
        <v>43</v>
      </c>
      <c r="B477" s="6">
        <v>40242</v>
      </c>
      <c r="C477" s="5">
        <f t="shared" si="38"/>
        <v>10</v>
      </c>
      <c r="D477" s="5">
        <f t="shared" si="35"/>
        <v>3</v>
      </c>
      <c r="E477" s="5">
        <f t="shared" si="36"/>
        <v>2010</v>
      </c>
      <c r="F477" s="5" t="s">
        <v>19</v>
      </c>
      <c r="G477" s="5" t="s">
        <v>5</v>
      </c>
      <c r="H477" s="7">
        <v>260793.32</v>
      </c>
      <c r="I477" s="7">
        <v>292155.76</v>
      </c>
      <c r="J477" s="7">
        <f t="shared" si="37"/>
        <v>31362.440000000002</v>
      </c>
      <c r="K477" s="8">
        <f t="shared" si="39"/>
        <v>0.1202578348249104</v>
      </c>
    </row>
    <row r="478" spans="1:11" x14ac:dyDescent="0.3">
      <c r="A478" s="5" t="s">
        <v>43</v>
      </c>
      <c r="B478" s="6">
        <v>40242</v>
      </c>
      <c r="C478" s="5">
        <f t="shared" si="38"/>
        <v>10</v>
      </c>
      <c r="D478" s="5">
        <f t="shared" si="35"/>
        <v>3</v>
      </c>
      <c r="E478" s="5">
        <f t="shared" si="36"/>
        <v>2010</v>
      </c>
      <c r="F478" s="5" t="s">
        <v>5</v>
      </c>
      <c r="G478" s="5" t="s">
        <v>5</v>
      </c>
      <c r="H478" s="7">
        <v>1020691.45</v>
      </c>
      <c r="I478" s="7">
        <v>1086221.29</v>
      </c>
      <c r="J478" s="7">
        <f t="shared" si="37"/>
        <v>65529.840000000084</v>
      </c>
      <c r="K478" s="8">
        <f t="shared" si="39"/>
        <v>6.4201419537706611E-2</v>
      </c>
    </row>
    <row r="479" spans="1:11" x14ac:dyDescent="0.3">
      <c r="A479" s="5" t="s">
        <v>43</v>
      </c>
      <c r="B479" s="6">
        <v>40242</v>
      </c>
      <c r="C479" s="5">
        <f t="shared" si="38"/>
        <v>10</v>
      </c>
      <c r="D479" s="5">
        <f t="shared" si="35"/>
        <v>3</v>
      </c>
      <c r="E479" s="5">
        <f t="shared" si="36"/>
        <v>2010</v>
      </c>
      <c r="F479" s="5" t="s">
        <v>20</v>
      </c>
      <c r="G479" s="5" t="s">
        <v>5</v>
      </c>
      <c r="H479" s="7">
        <v>252487.49</v>
      </c>
      <c r="I479" s="7">
        <v>274556.53000000003</v>
      </c>
      <c r="J479" s="7">
        <f t="shared" si="37"/>
        <v>22069.040000000037</v>
      </c>
      <c r="K479" s="8">
        <f t="shared" si="39"/>
        <v>8.740646912843103E-2</v>
      </c>
    </row>
    <row r="480" spans="1:11" x14ac:dyDescent="0.3">
      <c r="A480" s="5" t="s">
        <v>43</v>
      </c>
      <c r="B480" s="6">
        <v>40242</v>
      </c>
      <c r="C480" s="5">
        <f t="shared" si="38"/>
        <v>10</v>
      </c>
      <c r="D480" s="5">
        <f t="shared" si="35"/>
        <v>3</v>
      </c>
      <c r="E480" s="5">
        <f t="shared" si="36"/>
        <v>2010</v>
      </c>
      <c r="F480" s="5" t="s">
        <v>21</v>
      </c>
      <c r="G480" s="5" t="s">
        <v>5</v>
      </c>
      <c r="H480" s="7">
        <v>308180.07</v>
      </c>
      <c r="I480" s="7">
        <v>334504.82</v>
      </c>
      <c r="J480" s="7">
        <f t="shared" si="37"/>
        <v>26324.75</v>
      </c>
      <c r="K480" s="8">
        <f t="shared" si="39"/>
        <v>8.5420027323635822E-2</v>
      </c>
    </row>
    <row r="481" spans="1:11" x14ac:dyDescent="0.3">
      <c r="A481" s="5" t="s">
        <v>43</v>
      </c>
      <c r="B481" s="6">
        <v>40242</v>
      </c>
      <c r="C481" s="5">
        <f t="shared" si="38"/>
        <v>10</v>
      </c>
      <c r="D481" s="5">
        <f t="shared" si="35"/>
        <v>3</v>
      </c>
      <c r="E481" s="5">
        <f t="shared" si="36"/>
        <v>2010</v>
      </c>
      <c r="F481" s="5" t="s">
        <v>22</v>
      </c>
      <c r="G481" s="5" t="s">
        <v>8</v>
      </c>
      <c r="H481" s="7">
        <v>1225095.8899999999</v>
      </c>
      <c r="I481" s="7">
        <v>1311847.3400000001</v>
      </c>
      <c r="J481" s="7">
        <f t="shared" si="37"/>
        <v>86751.450000000186</v>
      </c>
      <c r="K481" s="8">
        <f t="shared" si="39"/>
        <v>7.081196721670513E-2</v>
      </c>
    </row>
    <row r="482" spans="1:11" x14ac:dyDescent="0.3">
      <c r="A482" s="5" t="s">
        <v>43</v>
      </c>
      <c r="B482" s="6">
        <v>40242</v>
      </c>
      <c r="C482" s="5">
        <f t="shared" si="38"/>
        <v>10</v>
      </c>
      <c r="D482" s="5">
        <f t="shared" si="35"/>
        <v>3</v>
      </c>
      <c r="E482" s="5">
        <f t="shared" si="36"/>
        <v>2010</v>
      </c>
      <c r="F482" s="5" t="s">
        <v>23</v>
      </c>
      <c r="G482" s="5" t="s">
        <v>8</v>
      </c>
      <c r="H482" s="7">
        <v>362933.6</v>
      </c>
      <c r="I482" s="7">
        <v>376308.56</v>
      </c>
      <c r="J482" s="7">
        <f t="shared" si="37"/>
        <v>13374.960000000021</v>
      </c>
      <c r="K482" s="8">
        <f t="shared" si="39"/>
        <v>3.6852360872622489E-2</v>
      </c>
    </row>
    <row r="483" spans="1:11" x14ac:dyDescent="0.3">
      <c r="A483" s="5" t="s">
        <v>43</v>
      </c>
      <c r="B483" s="6">
        <v>40242</v>
      </c>
      <c r="C483" s="5">
        <f t="shared" si="38"/>
        <v>10</v>
      </c>
      <c r="D483" s="5">
        <f t="shared" si="35"/>
        <v>3</v>
      </c>
      <c r="E483" s="5">
        <f t="shared" si="36"/>
        <v>2010</v>
      </c>
      <c r="F483" s="5" t="s">
        <v>24</v>
      </c>
      <c r="G483" s="5" t="s">
        <v>8</v>
      </c>
      <c r="H483" s="7">
        <v>360076.99</v>
      </c>
      <c r="I483" s="7">
        <v>377677.25</v>
      </c>
      <c r="J483" s="7">
        <f t="shared" si="37"/>
        <v>17600.260000000009</v>
      </c>
      <c r="K483" s="8">
        <f t="shared" si="39"/>
        <v>4.8879157760122381E-2</v>
      </c>
    </row>
    <row r="484" spans="1:11" x14ac:dyDescent="0.3">
      <c r="A484" s="5" t="s">
        <v>43</v>
      </c>
      <c r="B484" s="6">
        <v>40242</v>
      </c>
      <c r="C484" s="5">
        <f t="shared" si="38"/>
        <v>10</v>
      </c>
      <c r="D484" s="5">
        <f t="shared" si="35"/>
        <v>3</v>
      </c>
      <c r="E484" s="5">
        <f t="shared" si="36"/>
        <v>2010</v>
      </c>
      <c r="F484" s="5" t="s">
        <v>25</v>
      </c>
      <c r="G484" s="5" t="s">
        <v>8</v>
      </c>
      <c r="H484" s="7">
        <v>28312.400000000001</v>
      </c>
      <c r="I484" s="7">
        <v>28866.06</v>
      </c>
      <c r="J484" s="7">
        <f t="shared" si="37"/>
        <v>553.65999999999985</v>
      </c>
      <c r="K484" s="8">
        <f t="shared" si="39"/>
        <v>1.9555389158107395E-2</v>
      </c>
    </row>
    <row r="485" spans="1:11" x14ac:dyDescent="0.3">
      <c r="A485" s="5" t="s">
        <v>43</v>
      </c>
      <c r="B485" s="6">
        <v>40242</v>
      </c>
      <c r="C485" s="5">
        <f t="shared" si="38"/>
        <v>10</v>
      </c>
      <c r="D485" s="5">
        <f t="shared" si="35"/>
        <v>3</v>
      </c>
      <c r="E485" s="5">
        <f t="shared" si="36"/>
        <v>2010</v>
      </c>
      <c r="F485" s="5" t="s">
        <v>26</v>
      </c>
      <c r="G485" s="5" t="s">
        <v>10</v>
      </c>
      <c r="H485" s="7">
        <v>24727</v>
      </c>
      <c r="I485" s="7">
        <v>27212.62</v>
      </c>
      <c r="J485" s="7">
        <f t="shared" si="37"/>
        <v>2485.619999999999</v>
      </c>
      <c r="K485" s="8">
        <f t="shared" si="39"/>
        <v>0.10052250576293116</v>
      </c>
    </row>
    <row r="486" spans="1:11" x14ac:dyDescent="0.3">
      <c r="A486" s="5" t="s">
        <v>43</v>
      </c>
      <c r="B486" s="6">
        <v>40242</v>
      </c>
      <c r="C486" s="5">
        <f t="shared" si="38"/>
        <v>10</v>
      </c>
      <c r="D486" s="5">
        <f t="shared" si="35"/>
        <v>3</v>
      </c>
      <c r="E486" s="5">
        <f t="shared" si="36"/>
        <v>2010</v>
      </c>
      <c r="F486" s="5" t="s">
        <v>27</v>
      </c>
      <c r="G486" s="5" t="s">
        <v>10</v>
      </c>
      <c r="H486" s="7">
        <v>340516.19</v>
      </c>
      <c r="I486" s="7">
        <v>385362.16</v>
      </c>
      <c r="J486" s="7">
        <f t="shared" si="37"/>
        <v>44845.969999999972</v>
      </c>
      <c r="K486" s="8">
        <f t="shared" si="39"/>
        <v>0.13169996410449669</v>
      </c>
    </row>
    <row r="487" spans="1:11" x14ac:dyDescent="0.3">
      <c r="A487" s="5" t="s">
        <v>43</v>
      </c>
      <c r="B487" s="6">
        <v>40242</v>
      </c>
      <c r="C487" s="5">
        <f t="shared" si="38"/>
        <v>10</v>
      </c>
      <c r="D487" s="5">
        <f t="shared" si="35"/>
        <v>3</v>
      </c>
      <c r="E487" s="5">
        <f t="shared" si="36"/>
        <v>2010</v>
      </c>
      <c r="F487" s="5" t="s">
        <v>28</v>
      </c>
      <c r="G487" s="5" t="s">
        <v>10</v>
      </c>
      <c r="H487" s="7">
        <v>294214.40000000002</v>
      </c>
      <c r="I487" s="7">
        <v>319301.83</v>
      </c>
      <c r="J487" s="7">
        <f t="shared" si="37"/>
        <v>25087.429999999993</v>
      </c>
      <c r="K487" s="8">
        <f t="shared" si="39"/>
        <v>8.5269211840073064E-2</v>
      </c>
    </row>
    <row r="488" spans="1:11" x14ac:dyDescent="0.3">
      <c r="A488" s="5" t="s">
        <v>43</v>
      </c>
      <c r="B488" s="6">
        <v>40242</v>
      </c>
      <c r="C488" s="5">
        <f t="shared" si="38"/>
        <v>10</v>
      </c>
      <c r="D488" s="5">
        <f t="shared" si="35"/>
        <v>3</v>
      </c>
      <c r="E488" s="5">
        <f t="shared" si="36"/>
        <v>2010</v>
      </c>
      <c r="F488" s="5" t="s">
        <v>29</v>
      </c>
      <c r="G488" s="5" t="s">
        <v>10</v>
      </c>
      <c r="H488" s="7">
        <v>1335561.72</v>
      </c>
      <c r="I488" s="7">
        <v>1461849.61</v>
      </c>
      <c r="J488" s="7">
        <f t="shared" si="37"/>
        <v>126287.89000000013</v>
      </c>
      <c r="K488" s="8">
        <f t="shared" si="39"/>
        <v>9.4557883854293256E-2</v>
      </c>
    </row>
    <row r="489" spans="1:11" x14ac:dyDescent="0.3">
      <c r="A489" s="5" t="s">
        <v>43</v>
      </c>
      <c r="B489" s="6">
        <v>40242</v>
      </c>
      <c r="C489" s="5">
        <f t="shared" si="38"/>
        <v>10</v>
      </c>
      <c r="D489" s="5">
        <f t="shared" si="35"/>
        <v>3</v>
      </c>
      <c r="E489" s="5">
        <f t="shared" si="36"/>
        <v>2010</v>
      </c>
      <c r="F489" s="5" t="s">
        <v>30</v>
      </c>
      <c r="G489" s="5" t="s">
        <v>10</v>
      </c>
      <c r="H489" s="7">
        <v>243986.62</v>
      </c>
      <c r="I489" s="7">
        <v>275301.21000000002</v>
      </c>
      <c r="J489" s="7">
        <f t="shared" si="37"/>
        <v>31314.590000000026</v>
      </c>
      <c r="K489" s="8">
        <f t="shared" si="39"/>
        <v>0.1283455215699944</v>
      </c>
    </row>
    <row r="490" spans="1:11" x14ac:dyDescent="0.3">
      <c r="A490" s="5" t="s">
        <v>43</v>
      </c>
      <c r="B490" s="6">
        <v>40242</v>
      </c>
      <c r="C490" s="5">
        <f t="shared" si="38"/>
        <v>10</v>
      </c>
      <c r="D490" s="5">
        <f t="shared" si="35"/>
        <v>3</v>
      </c>
      <c r="E490" s="5">
        <f t="shared" si="36"/>
        <v>2010</v>
      </c>
      <c r="F490" s="5" t="s">
        <v>9</v>
      </c>
      <c r="G490" s="5" t="s">
        <v>9</v>
      </c>
      <c r="H490" s="7">
        <v>1530877.08</v>
      </c>
      <c r="I490" s="7">
        <v>1813293.29</v>
      </c>
      <c r="J490" s="7">
        <f t="shared" si="37"/>
        <v>282416.20999999996</v>
      </c>
      <c r="K490" s="8">
        <f t="shared" si="39"/>
        <v>0.18448000410326867</v>
      </c>
    </row>
    <row r="491" spans="1:11" x14ac:dyDescent="0.3">
      <c r="A491" s="5" t="s">
        <v>43</v>
      </c>
      <c r="B491" s="6">
        <v>40242</v>
      </c>
      <c r="C491" s="5">
        <f t="shared" si="38"/>
        <v>10</v>
      </c>
      <c r="D491" s="5">
        <f t="shared" si="35"/>
        <v>3</v>
      </c>
      <c r="E491" s="5">
        <f t="shared" si="36"/>
        <v>2010</v>
      </c>
      <c r="F491" s="5" t="s">
        <v>31</v>
      </c>
      <c r="G491" s="5" t="s">
        <v>7</v>
      </c>
      <c r="H491" s="7">
        <v>16379.07</v>
      </c>
      <c r="I491" s="7">
        <v>35482.79</v>
      </c>
      <c r="J491" s="7">
        <f t="shared" si="37"/>
        <v>19103.72</v>
      </c>
      <c r="K491" s="8">
        <f t="shared" si="39"/>
        <v>1.1663494935915166</v>
      </c>
    </row>
    <row r="492" spans="1:11" x14ac:dyDescent="0.3">
      <c r="A492" s="5" t="s">
        <v>43</v>
      </c>
      <c r="B492" s="6">
        <v>40242</v>
      </c>
      <c r="C492" s="5">
        <f t="shared" si="38"/>
        <v>10</v>
      </c>
      <c r="D492" s="5">
        <f t="shared" si="35"/>
        <v>3</v>
      </c>
      <c r="E492" s="5">
        <f t="shared" si="36"/>
        <v>2010</v>
      </c>
      <c r="F492" s="5" t="s">
        <v>33</v>
      </c>
      <c r="G492" s="5" t="s">
        <v>7</v>
      </c>
      <c r="H492" s="7">
        <v>263232.17</v>
      </c>
      <c r="I492" s="7">
        <v>543040.80000000005</v>
      </c>
      <c r="J492" s="7">
        <f t="shared" si="37"/>
        <v>279808.63000000006</v>
      </c>
      <c r="K492" s="8">
        <f t="shared" si="39"/>
        <v>1.0629727741863773</v>
      </c>
    </row>
    <row r="493" spans="1:11" x14ac:dyDescent="0.3">
      <c r="A493" s="5" t="s">
        <v>43</v>
      </c>
      <c r="B493" s="6">
        <v>40242</v>
      </c>
      <c r="C493" s="5">
        <f t="shared" si="38"/>
        <v>10</v>
      </c>
      <c r="D493" s="5">
        <f t="shared" si="35"/>
        <v>3</v>
      </c>
      <c r="E493" s="5">
        <f t="shared" si="36"/>
        <v>2010</v>
      </c>
      <c r="F493" s="5" t="s">
        <v>34</v>
      </c>
      <c r="G493" s="5" t="s">
        <v>7</v>
      </c>
      <c r="H493" s="7">
        <v>76</v>
      </c>
      <c r="I493" s="7">
        <v>236</v>
      </c>
      <c r="J493" s="7">
        <f t="shared" si="37"/>
        <v>160</v>
      </c>
      <c r="K493" s="8">
        <f t="shared" si="39"/>
        <v>2.1052631578947367</v>
      </c>
    </row>
    <row r="494" spans="1:11" x14ac:dyDescent="0.3">
      <c r="A494" s="5" t="s">
        <v>43</v>
      </c>
      <c r="B494" s="6">
        <v>40242</v>
      </c>
      <c r="C494" s="5">
        <f t="shared" si="38"/>
        <v>10</v>
      </c>
      <c r="D494" s="5">
        <f t="shared" si="35"/>
        <v>3</v>
      </c>
      <c r="E494" s="5">
        <f t="shared" si="36"/>
        <v>2010</v>
      </c>
      <c r="F494" s="5" t="s">
        <v>35</v>
      </c>
      <c r="G494" s="5" t="s">
        <v>11</v>
      </c>
      <c r="H494" s="7">
        <v>5509.84</v>
      </c>
      <c r="I494" s="7">
        <v>7088.45</v>
      </c>
      <c r="J494" s="7">
        <f t="shared" si="37"/>
        <v>1578.6099999999997</v>
      </c>
      <c r="K494" s="8">
        <f t="shared" si="39"/>
        <v>0.28650741219345743</v>
      </c>
    </row>
    <row r="495" spans="1:11" x14ac:dyDescent="0.3">
      <c r="A495" s="5" t="s">
        <v>43</v>
      </c>
      <c r="B495" s="6">
        <v>40242</v>
      </c>
      <c r="C495" s="5">
        <f t="shared" si="38"/>
        <v>10</v>
      </c>
      <c r="D495" s="5">
        <f t="shared" si="35"/>
        <v>3</v>
      </c>
      <c r="E495" s="5">
        <f t="shared" si="36"/>
        <v>2010</v>
      </c>
      <c r="F495" s="5" t="s">
        <v>36</v>
      </c>
      <c r="G495" s="5" t="s">
        <v>11</v>
      </c>
      <c r="H495" s="7">
        <v>511439.23</v>
      </c>
      <c r="I495" s="7">
        <v>566735.6</v>
      </c>
      <c r="J495" s="7">
        <f t="shared" si="37"/>
        <v>55296.369999999995</v>
      </c>
      <c r="K495" s="8">
        <f t="shared" si="39"/>
        <v>0.10811914056729673</v>
      </c>
    </row>
    <row r="496" spans="1:11" x14ac:dyDescent="0.3">
      <c r="A496" s="5" t="s">
        <v>43</v>
      </c>
      <c r="B496" s="6">
        <v>40242</v>
      </c>
      <c r="C496" s="5">
        <f t="shared" si="38"/>
        <v>10</v>
      </c>
      <c r="D496" s="5">
        <f t="shared" si="35"/>
        <v>3</v>
      </c>
      <c r="E496" s="5">
        <f t="shared" si="36"/>
        <v>2010</v>
      </c>
      <c r="F496" s="5" t="s">
        <v>37</v>
      </c>
      <c r="G496" s="5" t="s">
        <v>11</v>
      </c>
      <c r="H496" s="7">
        <v>673269.74</v>
      </c>
      <c r="I496" s="7">
        <v>727802.26</v>
      </c>
      <c r="J496" s="7">
        <f t="shared" si="37"/>
        <v>54532.520000000019</v>
      </c>
      <c r="K496" s="8">
        <f t="shared" si="39"/>
        <v>8.0996540851516682E-2</v>
      </c>
    </row>
    <row r="497" spans="1:11" x14ac:dyDescent="0.3">
      <c r="A497" s="5" t="s">
        <v>43</v>
      </c>
      <c r="B497" s="6">
        <v>40242</v>
      </c>
      <c r="C497" s="5">
        <f t="shared" si="38"/>
        <v>10</v>
      </c>
      <c r="D497" s="5">
        <f t="shared" si="35"/>
        <v>3</v>
      </c>
      <c r="E497" s="5">
        <f t="shared" si="36"/>
        <v>2010</v>
      </c>
      <c r="F497" s="5" t="s">
        <v>38</v>
      </c>
      <c r="G497" s="5" t="s">
        <v>11</v>
      </c>
      <c r="H497" s="7">
        <v>518354.72</v>
      </c>
      <c r="I497" s="7">
        <v>552978.07999999996</v>
      </c>
      <c r="J497" s="7">
        <f t="shared" si="37"/>
        <v>34623.359999999986</v>
      </c>
      <c r="K497" s="8">
        <f t="shared" si="39"/>
        <v>6.6794723119334168E-2</v>
      </c>
    </row>
    <row r="498" spans="1:11" x14ac:dyDescent="0.3">
      <c r="A498" s="5" t="s">
        <v>43</v>
      </c>
      <c r="B498" s="6">
        <v>40243</v>
      </c>
      <c r="C498" s="5">
        <f t="shared" si="38"/>
        <v>10</v>
      </c>
      <c r="D498" s="5">
        <f t="shared" si="35"/>
        <v>3</v>
      </c>
      <c r="E498" s="5">
        <f t="shared" si="36"/>
        <v>2010</v>
      </c>
      <c r="F498" s="5" t="s">
        <v>14</v>
      </c>
      <c r="G498" s="5" t="s">
        <v>6</v>
      </c>
      <c r="H498" s="7">
        <v>18839.04</v>
      </c>
      <c r="I498" s="7">
        <v>22039.13</v>
      </c>
      <c r="J498" s="7">
        <f t="shared" si="37"/>
        <v>3200.09</v>
      </c>
      <c r="K498" s="8">
        <f t="shared" si="39"/>
        <v>0.16986481264438102</v>
      </c>
    </row>
    <row r="499" spans="1:11" x14ac:dyDescent="0.3">
      <c r="A499" s="5" t="s">
        <v>43</v>
      </c>
      <c r="B499" s="6">
        <v>40243</v>
      </c>
      <c r="C499" s="5">
        <f t="shared" si="38"/>
        <v>10</v>
      </c>
      <c r="D499" s="5">
        <f t="shared" si="35"/>
        <v>3</v>
      </c>
      <c r="E499" s="5">
        <f t="shared" si="36"/>
        <v>2010</v>
      </c>
      <c r="F499" s="5" t="s">
        <v>15</v>
      </c>
      <c r="G499" s="5" t="s">
        <v>6</v>
      </c>
      <c r="H499" s="7">
        <v>893727.88</v>
      </c>
      <c r="I499" s="7">
        <v>1101437.18</v>
      </c>
      <c r="J499" s="7">
        <f t="shared" si="37"/>
        <v>207709.29999999993</v>
      </c>
      <c r="K499" s="8">
        <f t="shared" si="39"/>
        <v>0.23240776599696086</v>
      </c>
    </row>
    <row r="500" spans="1:11" x14ac:dyDescent="0.3">
      <c r="A500" s="5" t="s">
        <v>43</v>
      </c>
      <c r="B500" s="6">
        <v>40243</v>
      </c>
      <c r="C500" s="5">
        <f t="shared" si="38"/>
        <v>10</v>
      </c>
      <c r="D500" s="5">
        <f t="shared" si="35"/>
        <v>3</v>
      </c>
      <c r="E500" s="5">
        <f t="shared" si="36"/>
        <v>2010</v>
      </c>
      <c r="F500" s="5" t="s">
        <v>16</v>
      </c>
      <c r="G500" s="5" t="s">
        <v>6</v>
      </c>
      <c r="H500" s="7">
        <v>279100.08</v>
      </c>
      <c r="I500" s="7">
        <v>311638.01</v>
      </c>
      <c r="J500" s="7">
        <f t="shared" si="37"/>
        <v>32537.929999999993</v>
      </c>
      <c r="K500" s="8">
        <f t="shared" si="39"/>
        <v>0.11658158607478719</v>
      </c>
    </row>
    <row r="501" spans="1:11" x14ac:dyDescent="0.3">
      <c r="A501" s="5" t="s">
        <v>43</v>
      </c>
      <c r="B501" s="6">
        <v>40243</v>
      </c>
      <c r="C501" s="5">
        <f t="shared" si="38"/>
        <v>10</v>
      </c>
      <c r="D501" s="5">
        <f t="shared" si="35"/>
        <v>3</v>
      </c>
      <c r="E501" s="5">
        <f t="shared" si="36"/>
        <v>2010</v>
      </c>
      <c r="F501" s="5" t="s">
        <v>17</v>
      </c>
      <c r="G501" s="5" t="s">
        <v>6</v>
      </c>
      <c r="H501" s="7">
        <v>6321</v>
      </c>
      <c r="I501" s="7">
        <v>7129.32</v>
      </c>
      <c r="J501" s="7">
        <f t="shared" si="37"/>
        <v>808.31999999999971</v>
      </c>
      <c r="K501" s="8">
        <f t="shared" si="39"/>
        <v>0.12787850023730418</v>
      </c>
    </row>
    <row r="502" spans="1:11" x14ac:dyDescent="0.3">
      <c r="A502" s="5" t="s">
        <v>43</v>
      </c>
      <c r="B502" s="6">
        <v>40243</v>
      </c>
      <c r="C502" s="5">
        <f t="shared" si="38"/>
        <v>10</v>
      </c>
      <c r="D502" s="5">
        <f t="shared" si="35"/>
        <v>3</v>
      </c>
      <c r="E502" s="5">
        <f t="shared" si="36"/>
        <v>2010</v>
      </c>
      <c r="F502" s="5" t="s">
        <v>19</v>
      </c>
      <c r="G502" s="5" t="s">
        <v>5</v>
      </c>
      <c r="H502" s="7">
        <v>308606.53999999998</v>
      </c>
      <c r="I502" s="7">
        <v>342138.86</v>
      </c>
      <c r="J502" s="7">
        <f t="shared" si="37"/>
        <v>33532.320000000007</v>
      </c>
      <c r="K502" s="8">
        <f t="shared" si="39"/>
        <v>0.10865719177565067</v>
      </c>
    </row>
    <row r="503" spans="1:11" x14ac:dyDescent="0.3">
      <c r="A503" s="5" t="s">
        <v>43</v>
      </c>
      <c r="B503" s="6">
        <v>40243</v>
      </c>
      <c r="C503" s="5">
        <f t="shared" si="38"/>
        <v>10</v>
      </c>
      <c r="D503" s="5">
        <f t="shared" si="35"/>
        <v>3</v>
      </c>
      <c r="E503" s="5">
        <f t="shared" si="36"/>
        <v>2010</v>
      </c>
      <c r="F503" s="5" t="s">
        <v>5</v>
      </c>
      <c r="G503" s="5" t="s">
        <v>5</v>
      </c>
      <c r="H503" s="7">
        <v>1031960.57</v>
      </c>
      <c r="I503" s="7">
        <v>1105363.79</v>
      </c>
      <c r="J503" s="7">
        <f t="shared" si="37"/>
        <v>73403.220000000088</v>
      </c>
      <c r="K503" s="8">
        <f t="shared" si="39"/>
        <v>7.1129868847605388E-2</v>
      </c>
    </row>
    <row r="504" spans="1:11" x14ac:dyDescent="0.3">
      <c r="A504" s="5" t="s">
        <v>43</v>
      </c>
      <c r="B504" s="6">
        <v>40243</v>
      </c>
      <c r="C504" s="5">
        <f t="shared" si="38"/>
        <v>10</v>
      </c>
      <c r="D504" s="5">
        <f t="shared" si="35"/>
        <v>3</v>
      </c>
      <c r="E504" s="5">
        <f t="shared" si="36"/>
        <v>2010</v>
      </c>
      <c r="F504" s="5" t="s">
        <v>20</v>
      </c>
      <c r="G504" s="5" t="s">
        <v>5</v>
      </c>
      <c r="H504" s="7">
        <v>298713.46999999997</v>
      </c>
      <c r="I504" s="7">
        <v>329512.75</v>
      </c>
      <c r="J504" s="7">
        <f t="shared" si="37"/>
        <v>30799.280000000028</v>
      </c>
      <c r="K504" s="8">
        <f t="shared" si="39"/>
        <v>0.10310643172535885</v>
      </c>
    </row>
    <row r="505" spans="1:11" x14ac:dyDescent="0.3">
      <c r="A505" s="5" t="s">
        <v>43</v>
      </c>
      <c r="B505" s="6">
        <v>40243</v>
      </c>
      <c r="C505" s="5">
        <f t="shared" si="38"/>
        <v>10</v>
      </c>
      <c r="D505" s="5">
        <f t="shared" si="35"/>
        <v>3</v>
      </c>
      <c r="E505" s="5">
        <f t="shared" si="36"/>
        <v>2010</v>
      </c>
      <c r="F505" s="5" t="s">
        <v>21</v>
      </c>
      <c r="G505" s="5" t="s">
        <v>5</v>
      </c>
      <c r="H505" s="7">
        <v>373267.19</v>
      </c>
      <c r="I505" s="7">
        <v>405638.33</v>
      </c>
      <c r="J505" s="7">
        <f t="shared" si="37"/>
        <v>32371.140000000014</v>
      </c>
      <c r="K505" s="8">
        <f t="shared" si="39"/>
        <v>8.6723775534624445E-2</v>
      </c>
    </row>
    <row r="506" spans="1:11" x14ac:dyDescent="0.3">
      <c r="A506" s="5" t="s">
        <v>43</v>
      </c>
      <c r="B506" s="6">
        <v>40243</v>
      </c>
      <c r="C506" s="5">
        <f t="shared" si="38"/>
        <v>10</v>
      </c>
      <c r="D506" s="5">
        <f t="shared" si="35"/>
        <v>3</v>
      </c>
      <c r="E506" s="5">
        <f t="shared" si="36"/>
        <v>2010</v>
      </c>
      <c r="F506" s="5" t="s">
        <v>22</v>
      </c>
      <c r="G506" s="5" t="s">
        <v>8</v>
      </c>
      <c r="H506" s="7">
        <v>944689.98</v>
      </c>
      <c r="I506" s="7">
        <v>1030136.53</v>
      </c>
      <c r="J506" s="7">
        <f t="shared" si="37"/>
        <v>85446.550000000047</v>
      </c>
      <c r="K506" s="8">
        <f t="shared" si="39"/>
        <v>9.0449302743742507E-2</v>
      </c>
    </row>
    <row r="507" spans="1:11" x14ac:dyDescent="0.3">
      <c r="A507" s="5" t="s">
        <v>43</v>
      </c>
      <c r="B507" s="6">
        <v>40243</v>
      </c>
      <c r="C507" s="5">
        <f t="shared" si="38"/>
        <v>10</v>
      </c>
      <c r="D507" s="5">
        <f t="shared" si="35"/>
        <v>3</v>
      </c>
      <c r="E507" s="5">
        <f t="shared" si="36"/>
        <v>2010</v>
      </c>
      <c r="F507" s="5" t="s">
        <v>23</v>
      </c>
      <c r="G507" s="5" t="s">
        <v>8</v>
      </c>
      <c r="H507" s="7">
        <v>453565.72</v>
      </c>
      <c r="I507" s="7">
        <v>476762.12</v>
      </c>
      <c r="J507" s="7">
        <f t="shared" si="37"/>
        <v>23196.400000000023</v>
      </c>
      <c r="K507" s="8">
        <f t="shared" si="39"/>
        <v>5.1142312959630246E-2</v>
      </c>
    </row>
    <row r="508" spans="1:11" x14ac:dyDescent="0.3">
      <c r="A508" s="5" t="s">
        <v>43</v>
      </c>
      <c r="B508" s="6">
        <v>40243</v>
      </c>
      <c r="C508" s="5">
        <f t="shared" si="38"/>
        <v>10</v>
      </c>
      <c r="D508" s="5">
        <f t="shared" si="35"/>
        <v>3</v>
      </c>
      <c r="E508" s="5">
        <f t="shared" si="36"/>
        <v>2010</v>
      </c>
      <c r="F508" s="5" t="s">
        <v>24</v>
      </c>
      <c r="G508" s="5" t="s">
        <v>8</v>
      </c>
      <c r="H508" s="7">
        <v>346911.93</v>
      </c>
      <c r="I508" s="7">
        <v>365536.64</v>
      </c>
      <c r="J508" s="7">
        <f t="shared" si="37"/>
        <v>18624.710000000021</v>
      </c>
      <c r="K508" s="8">
        <f t="shared" si="39"/>
        <v>5.3687141863354257E-2</v>
      </c>
    </row>
    <row r="509" spans="1:11" x14ac:dyDescent="0.3">
      <c r="A509" s="5" t="s">
        <v>43</v>
      </c>
      <c r="B509" s="6">
        <v>40243</v>
      </c>
      <c r="C509" s="5">
        <f t="shared" si="38"/>
        <v>10</v>
      </c>
      <c r="D509" s="5">
        <f t="shared" si="35"/>
        <v>3</v>
      </c>
      <c r="E509" s="5">
        <f t="shared" si="36"/>
        <v>2010</v>
      </c>
      <c r="F509" s="5" t="s">
        <v>25</v>
      </c>
      <c r="G509" s="5" t="s">
        <v>8</v>
      </c>
      <c r="H509" s="7">
        <v>7532.2</v>
      </c>
      <c r="I509" s="7">
        <v>8228.85</v>
      </c>
      <c r="J509" s="7">
        <f t="shared" si="37"/>
        <v>696.65000000000055</v>
      </c>
      <c r="K509" s="8">
        <f t="shared" si="39"/>
        <v>9.2489578078118015E-2</v>
      </c>
    </row>
    <row r="510" spans="1:11" x14ac:dyDescent="0.3">
      <c r="A510" s="5" t="s">
        <v>43</v>
      </c>
      <c r="B510" s="6">
        <v>40243</v>
      </c>
      <c r="C510" s="5">
        <f t="shared" si="38"/>
        <v>10</v>
      </c>
      <c r="D510" s="5">
        <f t="shared" si="35"/>
        <v>3</v>
      </c>
      <c r="E510" s="5">
        <f t="shared" si="36"/>
        <v>2010</v>
      </c>
      <c r="F510" s="5" t="s">
        <v>26</v>
      </c>
      <c r="G510" s="5" t="s">
        <v>10</v>
      </c>
      <c r="H510" s="7">
        <v>34328</v>
      </c>
      <c r="I510" s="7">
        <v>37972.959999999999</v>
      </c>
      <c r="J510" s="7">
        <f t="shared" si="37"/>
        <v>3644.9599999999991</v>
      </c>
      <c r="K510" s="8">
        <f t="shared" si="39"/>
        <v>0.10618037753437425</v>
      </c>
    </row>
    <row r="511" spans="1:11" x14ac:dyDescent="0.3">
      <c r="A511" s="5" t="s">
        <v>43</v>
      </c>
      <c r="B511" s="6">
        <v>40243</v>
      </c>
      <c r="C511" s="5">
        <f t="shared" si="38"/>
        <v>10</v>
      </c>
      <c r="D511" s="5">
        <f t="shared" si="35"/>
        <v>3</v>
      </c>
      <c r="E511" s="5">
        <f t="shared" si="36"/>
        <v>2010</v>
      </c>
      <c r="F511" s="5" t="s">
        <v>27</v>
      </c>
      <c r="G511" s="5" t="s">
        <v>10</v>
      </c>
      <c r="H511" s="7">
        <v>402317</v>
      </c>
      <c r="I511" s="7">
        <v>452586.77</v>
      </c>
      <c r="J511" s="7">
        <f t="shared" si="37"/>
        <v>50269.770000000019</v>
      </c>
      <c r="K511" s="8">
        <f t="shared" si="39"/>
        <v>0.12495064836932075</v>
      </c>
    </row>
    <row r="512" spans="1:11" x14ac:dyDescent="0.3">
      <c r="A512" s="5" t="s">
        <v>43</v>
      </c>
      <c r="B512" s="6">
        <v>40243</v>
      </c>
      <c r="C512" s="5">
        <f t="shared" si="38"/>
        <v>10</v>
      </c>
      <c r="D512" s="5">
        <f t="shared" si="35"/>
        <v>3</v>
      </c>
      <c r="E512" s="5">
        <f t="shared" si="36"/>
        <v>2010</v>
      </c>
      <c r="F512" s="5" t="s">
        <v>28</v>
      </c>
      <c r="G512" s="5" t="s">
        <v>10</v>
      </c>
      <c r="H512" s="7">
        <v>272899.59000000003</v>
      </c>
      <c r="I512" s="7">
        <v>298706.76</v>
      </c>
      <c r="J512" s="7">
        <f t="shared" si="37"/>
        <v>25807.169999999984</v>
      </c>
      <c r="K512" s="8">
        <f t="shared" si="39"/>
        <v>9.456654002301719E-2</v>
      </c>
    </row>
    <row r="513" spans="1:11" x14ac:dyDescent="0.3">
      <c r="A513" s="5" t="s">
        <v>43</v>
      </c>
      <c r="B513" s="6">
        <v>40243</v>
      </c>
      <c r="C513" s="5">
        <f t="shared" si="38"/>
        <v>10</v>
      </c>
      <c r="D513" s="5">
        <f t="shared" si="35"/>
        <v>3</v>
      </c>
      <c r="E513" s="5">
        <f t="shared" si="36"/>
        <v>2010</v>
      </c>
      <c r="F513" s="5" t="s">
        <v>29</v>
      </c>
      <c r="G513" s="5" t="s">
        <v>10</v>
      </c>
      <c r="H513" s="7">
        <v>1420366.08</v>
      </c>
      <c r="I513" s="7">
        <v>1549165.12</v>
      </c>
      <c r="J513" s="7">
        <f t="shared" si="37"/>
        <v>128799.04000000004</v>
      </c>
      <c r="K513" s="8">
        <f t="shared" si="39"/>
        <v>9.0680171692075345E-2</v>
      </c>
    </row>
    <row r="514" spans="1:11" x14ac:dyDescent="0.3">
      <c r="A514" s="5" t="s">
        <v>43</v>
      </c>
      <c r="B514" s="6">
        <v>40243</v>
      </c>
      <c r="C514" s="5">
        <f t="shared" si="38"/>
        <v>10</v>
      </c>
      <c r="D514" s="5">
        <f t="shared" ref="D514:D577" si="40">MONTH(B514)</f>
        <v>3</v>
      </c>
      <c r="E514" s="5">
        <f t="shared" ref="E514:E577" si="41">YEAR(B514)</f>
        <v>2010</v>
      </c>
      <c r="F514" s="5" t="s">
        <v>30</v>
      </c>
      <c r="G514" s="5" t="s">
        <v>10</v>
      </c>
      <c r="H514" s="7">
        <v>235634.62</v>
      </c>
      <c r="I514" s="7">
        <v>266440.73</v>
      </c>
      <c r="J514" s="7">
        <f t="shared" ref="J514:J577" si="42">I514-H514</f>
        <v>30806.109999999986</v>
      </c>
      <c r="K514" s="8">
        <f t="shared" si="39"/>
        <v>0.13073677373893525</v>
      </c>
    </row>
    <row r="515" spans="1:11" x14ac:dyDescent="0.3">
      <c r="A515" s="5" t="s">
        <v>43</v>
      </c>
      <c r="B515" s="6">
        <v>40243</v>
      </c>
      <c r="C515" s="5">
        <f t="shared" ref="C515:C578" si="43">WEEKNUM(B515,1)</f>
        <v>10</v>
      </c>
      <c r="D515" s="5">
        <f t="shared" si="40"/>
        <v>3</v>
      </c>
      <c r="E515" s="5">
        <f t="shared" si="41"/>
        <v>2010</v>
      </c>
      <c r="F515" s="5" t="s">
        <v>9</v>
      </c>
      <c r="G515" s="5" t="s">
        <v>9</v>
      </c>
      <c r="H515" s="7">
        <v>1768747.25</v>
      </c>
      <c r="I515" s="7">
        <v>2105188.56</v>
      </c>
      <c r="J515" s="7">
        <f t="shared" si="42"/>
        <v>336441.31000000006</v>
      </c>
      <c r="K515" s="8">
        <f t="shared" ref="K515:K578" si="44">(I515-H515)/H515</f>
        <v>0.19021446393768249</v>
      </c>
    </row>
    <row r="516" spans="1:11" x14ac:dyDescent="0.3">
      <c r="A516" s="5" t="s">
        <v>43</v>
      </c>
      <c r="B516" s="6">
        <v>40243</v>
      </c>
      <c r="C516" s="5">
        <f t="shared" si="43"/>
        <v>10</v>
      </c>
      <c r="D516" s="5">
        <f t="shared" si="40"/>
        <v>3</v>
      </c>
      <c r="E516" s="5">
        <f t="shared" si="41"/>
        <v>2010</v>
      </c>
      <c r="F516" s="5" t="s">
        <v>31</v>
      </c>
      <c r="G516" s="5" t="s">
        <v>7</v>
      </c>
      <c r="H516" s="7">
        <v>21924.91</v>
      </c>
      <c r="I516" s="7">
        <v>47672.98</v>
      </c>
      <c r="J516" s="7">
        <f t="shared" si="42"/>
        <v>25748.070000000003</v>
      </c>
      <c r="K516" s="8">
        <f t="shared" si="44"/>
        <v>1.1743751741740334</v>
      </c>
    </row>
    <row r="517" spans="1:11" x14ac:dyDescent="0.3">
      <c r="A517" s="5" t="s">
        <v>43</v>
      </c>
      <c r="B517" s="6">
        <v>40243</v>
      </c>
      <c r="C517" s="5">
        <f t="shared" si="43"/>
        <v>10</v>
      </c>
      <c r="D517" s="5">
        <f t="shared" si="40"/>
        <v>3</v>
      </c>
      <c r="E517" s="5">
        <f t="shared" si="41"/>
        <v>2010</v>
      </c>
      <c r="F517" s="5" t="s">
        <v>33</v>
      </c>
      <c r="G517" s="5" t="s">
        <v>7</v>
      </c>
      <c r="H517" s="7">
        <v>292852.88</v>
      </c>
      <c r="I517" s="7">
        <v>597361.42000000004</v>
      </c>
      <c r="J517" s="7">
        <f t="shared" si="42"/>
        <v>304508.54000000004</v>
      </c>
      <c r="K517" s="8">
        <f t="shared" si="44"/>
        <v>1.0398003939725642</v>
      </c>
    </row>
    <row r="518" spans="1:11" x14ac:dyDescent="0.3">
      <c r="A518" s="5" t="s">
        <v>43</v>
      </c>
      <c r="B518" s="6">
        <v>40243</v>
      </c>
      <c r="C518" s="5">
        <f t="shared" si="43"/>
        <v>10</v>
      </c>
      <c r="D518" s="5">
        <f t="shared" si="40"/>
        <v>3</v>
      </c>
      <c r="E518" s="5">
        <f t="shared" si="41"/>
        <v>2010</v>
      </c>
      <c r="F518" s="5" t="s">
        <v>34</v>
      </c>
      <c r="G518" s="5" t="s">
        <v>7</v>
      </c>
      <c r="H518" s="7">
        <v>247</v>
      </c>
      <c r="I518" s="7">
        <v>766.97</v>
      </c>
      <c r="J518" s="7">
        <f t="shared" si="42"/>
        <v>519.97</v>
      </c>
      <c r="K518" s="8">
        <f t="shared" si="44"/>
        <v>2.1051417004048583</v>
      </c>
    </row>
    <row r="519" spans="1:11" x14ac:dyDescent="0.3">
      <c r="A519" s="5" t="s">
        <v>43</v>
      </c>
      <c r="B519" s="6">
        <v>40243</v>
      </c>
      <c r="C519" s="5">
        <f t="shared" si="43"/>
        <v>10</v>
      </c>
      <c r="D519" s="5">
        <f t="shared" si="40"/>
        <v>3</v>
      </c>
      <c r="E519" s="5">
        <f t="shared" si="41"/>
        <v>2010</v>
      </c>
      <c r="F519" s="5" t="s">
        <v>35</v>
      </c>
      <c r="G519" s="5" t="s">
        <v>11</v>
      </c>
      <c r="H519" s="7">
        <v>4738.2</v>
      </c>
      <c r="I519" s="7">
        <v>6161.01</v>
      </c>
      <c r="J519" s="7">
        <f t="shared" si="42"/>
        <v>1422.8100000000004</v>
      </c>
      <c r="K519" s="8">
        <f t="shared" si="44"/>
        <v>0.30028491832341403</v>
      </c>
    </row>
    <row r="520" spans="1:11" x14ac:dyDescent="0.3">
      <c r="A520" s="5" t="s">
        <v>43</v>
      </c>
      <c r="B520" s="6">
        <v>40243</v>
      </c>
      <c r="C520" s="5">
        <f t="shared" si="43"/>
        <v>10</v>
      </c>
      <c r="D520" s="5">
        <f t="shared" si="40"/>
        <v>3</v>
      </c>
      <c r="E520" s="5">
        <f t="shared" si="41"/>
        <v>2010</v>
      </c>
      <c r="F520" s="5" t="s">
        <v>36</v>
      </c>
      <c r="G520" s="5" t="s">
        <v>11</v>
      </c>
      <c r="H520" s="7">
        <v>665856.37</v>
      </c>
      <c r="I520" s="7">
        <v>738236.48</v>
      </c>
      <c r="J520" s="7">
        <f t="shared" si="42"/>
        <v>72380.109999999986</v>
      </c>
      <c r="K520" s="8">
        <f t="shared" si="44"/>
        <v>0.10870228665079826</v>
      </c>
    </row>
    <row r="521" spans="1:11" x14ac:dyDescent="0.3">
      <c r="A521" s="5" t="s">
        <v>43</v>
      </c>
      <c r="B521" s="6">
        <v>40243</v>
      </c>
      <c r="C521" s="5">
        <f t="shared" si="43"/>
        <v>10</v>
      </c>
      <c r="D521" s="5">
        <f t="shared" si="40"/>
        <v>3</v>
      </c>
      <c r="E521" s="5">
        <f t="shared" si="41"/>
        <v>2010</v>
      </c>
      <c r="F521" s="5" t="s">
        <v>37</v>
      </c>
      <c r="G521" s="5" t="s">
        <v>11</v>
      </c>
      <c r="H521" s="7">
        <v>755946.89</v>
      </c>
      <c r="I521" s="7">
        <v>815173.59</v>
      </c>
      <c r="J521" s="7">
        <f t="shared" si="42"/>
        <v>59226.699999999953</v>
      </c>
      <c r="K521" s="8">
        <f t="shared" si="44"/>
        <v>7.8347699796740944E-2</v>
      </c>
    </row>
    <row r="522" spans="1:11" x14ac:dyDescent="0.3">
      <c r="A522" s="5" t="s">
        <v>43</v>
      </c>
      <c r="B522" s="6">
        <v>40243</v>
      </c>
      <c r="C522" s="5">
        <f t="shared" si="43"/>
        <v>10</v>
      </c>
      <c r="D522" s="5">
        <f t="shared" si="40"/>
        <v>3</v>
      </c>
      <c r="E522" s="5">
        <f t="shared" si="41"/>
        <v>2010</v>
      </c>
      <c r="F522" s="5" t="s">
        <v>38</v>
      </c>
      <c r="G522" s="5" t="s">
        <v>11</v>
      </c>
      <c r="H522" s="7">
        <v>703370.01</v>
      </c>
      <c r="I522" s="7">
        <v>751029.89</v>
      </c>
      <c r="J522" s="7">
        <f t="shared" si="42"/>
        <v>47659.880000000005</v>
      </c>
      <c r="K522" s="8">
        <f t="shared" si="44"/>
        <v>6.7759329118965428E-2</v>
      </c>
    </row>
    <row r="523" spans="1:11" x14ac:dyDescent="0.3">
      <c r="A523" s="5" t="s">
        <v>43</v>
      </c>
      <c r="B523" s="6">
        <v>40244</v>
      </c>
      <c r="C523" s="5">
        <f t="shared" si="43"/>
        <v>11</v>
      </c>
      <c r="D523" s="5">
        <f t="shared" si="40"/>
        <v>3</v>
      </c>
      <c r="E523" s="5">
        <f t="shared" si="41"/>
        <v>2010</v>
      </c>
      <c r="F523" s="5" t="s">
        <v>14</v>
      </c>
      <c r="G523" s="5" t="s">
        <v>6</v>
      </c>
      <c r="H523" s="7">
        <v>10591.54</v>
      </c>
      <c r="I523" s="7">
        <v>12862.46</v>
      </c>
      <c r="J523" s="7">
        <f t="shared" si="42"/>
        <v>2270.9199999999983</v>
      </c>
      <c r="K523" s="8">
        <f t="shared" si="44"/>
        <v>0.21440885839075319</v>
      </c>
    </row>
    <row r="524" spans="1:11" x14ac:dyDescent="0.3">
      <c r="A524" s="5" t="s">
        <v>43</v>
      </c>
      <c r="B524" s="6">
        <v>40244</v>
      </c>
      <c r="C524" s="5">
        <f t="shared" si="43"/>
        <v>11</v>
      </c>
      <c r="D524" s="5">
        <f t="shared" si="40"/>
        <v>3</v>
      </c>
      <c r="E524" s="5">
        <f t="shared" si="41"/>
        <v>2010</v>
      </c>
      <c r="F524" s="5" t="s">
        <v>15</v>
      </c>
      <c r="G524" s="5" t="s">
        <v>6</v>
      </c>
      <c r="H524" s="7">
        <v>884177.57</v>
      </c>
      <c r="I524" s="7">
        <v>1247518.04</v>
      </c>
      <c r="J524" s="7">
        <f t="shared" si="42"/>
        <v>363340.47000000009</v>
      </c>
      <c r="K524" s="8">
        <f t="shared" si="44"/>
        <v>0.4109360860624412</v>
      </c>
    </row>
    <row r="525" spans="1:11" x14ac:dyDescent="0.3">
      <c r="A525" s="5" t="s">
        <v>43</v>
      </c>
      <c r="B525" s="6">
        <v>40244</v>
      </c>
      <c r="C525" s="5">
        <f t="shared" si="43"/>
        <v>11</v>
      </c>
      <c r="D525" s="5">
        <f t="shared" si="40"/>
        <v>3</v>
      </c>
      <c r="E525" s="5">
        <f t="shared" si="41"/>
        <v>2010</v>
      </c>
      <c r="F525" s="5" t="s">
        <v>16</v>
      </c>
      <c r="G525" s="5" t="s">
        <v>6</v>
      </c>
      <c r="H525" s="7">
        <v>239654.75</v>
      </c>
      <c r="I525" s="7">
        <v>268674.62</v>
      </c>
      <c r="J525" s="7">
        <f t="shared" si="42"/>
        <v>29019.869999999995</v>
      </c>
      <c r="K525" s="8">
        <f t="shared" si="44"/>
        <v>0.12109031846854693</v>
      </c>
    </row>
    <row r="526" spans="1:11" x14ac:dyDescent="0.3">
      <c r="A526" s="5" t="s">
        <v>43</v>
      </c>
      <c r="B526" s="6">
        <v>40244</v>
      </c>
      <c r="C526" s="5">
        <f t="shared" si="43"/>
        <v>11</v>
      </c>
      <c r="D526" s="5">
        <f t="shared" si="40"/>
        <v>3</v>
      </c>
      <c r="E526" s="5">
        <f t="shared" si="41"/>
        <v>2010</v>
      </c>
      <c r="F526" s="5" t="s">
        <v>17</v>
      </c>
      <c r="G526" s="5" t="s">
        <v>6</v>
      </c>
      <c r="H526" s="7">
        <v>1130</v>
      </c>
      <c r="I526" s="7">
        <v>1207.1500000000001</v>
      </c>
      <c r="J526" s="7">
        <f t="shared" si="42"/>
        <v>77.150000000000091</v>
      </c>
      <c r="K526" s="8">
        <f t="shared" si="44"/>
        <v>6.8274336283185924E-2</v>
      </c>
    </row>
    <row r="527" spans="1:11" x14ac:dyDescent="0.3">
      <c r="A527" s="5" t="s">
        <v>43</v>
      </c>
      <c r="B527" s="6">
        <v>40244</v>
      </c>
      <c r="C527" s="5">
        <f t="shared" si="43"/>
        <v>11</v>
      </c>
      <c r="D527" s="5">
        <f t="shared" si="40"/>
        <v>3</v>
      </c>
      <c r="E527" s="5">
        <f t="shared" si="41"/>
        <v>2010</v>
      </c>
      <c r="F527" s="5" t="s">
        <v>19</v>
      </c>
      <c r="G527" s="5" t="s">
        <v>5</v>
      </c>
      <c r="H527" s="7">
        <v>266129.27</v>
      </c>
      <c r="I527" s="7">
        <v>295869.43</v>
      </c>
      <c r="J527" s="7">
        <f t="shared" si="42"/>
        <v>29740.159999999974</v>
      </c>
      <c r="K527" s="8">
        <f t="shared" si="44"/>
        <v>0.11175080441170553</v>
      </c>
    </row>
    <row r="528" spans="1:11" x14ac:dyDescent="0.3">
      <c r="A528" s="5" t="s">
        <v>43</v>
      </c>
      <c r="B528" s="6">
        <v>40244</v>
      </c>
      <c r="C528" s="5">
        <f t="shared" si="43"/>
        <v>11</v>
      </c>
      <c r="D528" s="5">
        <f t="shared" si="40"/>
        <v>3</v>
      </c>
      <c r="E528" s="5">
        <f t="shared" si="41"/>
        <v>2010</v>
      </c>
      <c r="F528" s="5" t="s">
        <v>5</v>
      </c>
      <c r="G528" s="5" t="s">
        <v>5</v>
      </c>
      <c r="H528" s="7">
        <v>908353.92</v>
      </c>
      <c r="I528" s="7">
        <v>971195.49</v>
      </c>
      <c r="J528" s="7">
        <f t="shared" si="42"/>
        <v>62841.569999999949</v>
      </c>
      <c r="K528" s="8">
        <f t="shared" si="44"/>
        <v>6.9181811864696907E-2</v>
      </c>
    </row>
    <row r="529" spans="1:11" x14ac:dyDescent="0.3">
      <c r="A529" s="5" t="s">
        <v>43</v>
      </c>
      <c r="B529" s="6">
        <v>40244</v>
      </c>
      <c r="C529" s="5">
        <f t="shared" si="43"/>
        <v>11</v>
      </c>
      <c r="D529" s="5">
        <f t="shared" si="40"/>
        <v>3</v>
      </c>
      <c r="E529" s="5">
        <f t="shared" si="41"/>
        <v>2010</v>
      </c>
      <c r="F529" s="5" t="s">
        <v>20</v>
      </c>
      <c r="G529" s="5" t="s">
        <v>5</v>
      </c>
      <c r="H529" s="7">
        <v>221327.7</v>
      </c>
      <c r="I529" s="7">
        <v>242276.91</v>
      </c>
      <c r="J529" s="7">
        <f t="shared" si="42"/>
        <v>20949.209999999992</v>
      </c>
      <c r="K529" s="8">
        <f t="shared" si="44"/>
        <v>9.4652454256742333E-2</v>
      </c>
    </row>
    <row r="530" spans="1:11" x14ac:dyDescent="0.3">
      <c r="A530" s="5" t="s">
        <v>43</v>
      </c>
      <c r="B530" s="6">
        <v>40244</v>
      </c>
      <c r="C530" s="5">
        <f t="shared" si="43"/>
        <v>11</v>
      </c>
      <c r="D530" s="5">
        <f t="shared" si="40"/>
        <v>3</v>
      </c>
      <c r="E530" s="5">
        <f t="shared" si="41"/>
        <v>2010</v>
      </c>
      <c r="F530" s="5" t="s">
        <v>21</v>
      </c>
      <c r="G530" s="5" t="s">
        <v>5</v>
      </c>
      <c r="H530" s="7">
        <v>307370.32</v>
      </c>
      <c r="I530" s="7">
        <v>335437.08</v>
      </c>
      <c r="J530" s="7">
        <f t="shared" si="42"/>
        <v>28066.760000000009</v>
      </c>
      <c r="K530" s="8">
        <f t="shared" si="44"/>
        <v>9.1312524904811912E-2</v>
      </c>
    </row>
    <row r="531" spans="1:11" x14ac:dyDescent="0.3">
      <c r="A531" s="5" t="s">
        <v>43</v>
      </c>
      <c r="B531" s="6">
        <v>40244</v>
      </c>
      <c r="C531" s="5">
        <f t="shared" si="43"/>
        <v>11</v>
      </c>
      <c r="D531" s="5">
        <f t="shared" si="40"/>
        <v>3</v>
      </c>
      <c r="E531" s="5">
        <f t="shared" si="41"/>
        <v>2010</v>
      </c>
      <c r="F531" s="5" t="s">
        <v>22</v>
      </c>
      <c r="G531" s="5" t="s">
        <v>8</v>
      </c>
      <c r="H531" s="7">
        <v>984477.5</v>
      </c>
      <c r="I531" s="7">
        <v>1077008.9099999999</v>
      </c>
      <c r="J531" s="7">
        <f t="shared" si="42"/>
        <v>92531.409999999916</v>
      </c>
      <c r="K531" s="8">
        <f t="shared" si="44"/>
        <v>9.3990375605333715E-2</v>
      </c>
    </row>
    <row r="532" spans="1:11" x14ac:dyDescent="0.3">
      <c r="A532" s="5" t="s">
        <v>43</v>
      </c>
      <c r="B532" s="6">
        <v>40244</v>
      </c>
      <c r="C532" s="5">
        <f t="shared" si="43"/>
        <v>11</v>
      </c>
      <c r="D532" s="5">
        <f t="shared" si="40"/>
        <v>3</v>
      </c>
      <c r="E532" s="5">
        <f t="shared" si="41"/>
        <v>2010</v>
      </c>
      <c r="F532" s="5" t="s">
        <v>23</v>
      </c>
      <c r="G532" s="5" t="s">
        <v>8</v>
      </c>
      <c r="H532" s="7">
        <v>395637.34</v>
      </c>
      <c r="I532" s="7">
        <v>417339.82</v>
      </c>
      <c r="J532" s="7">
        <f t="shared" si="42"/>
        <v>21702.479999999981</v>
      </c>
      <c r="K532" s="8">
        <f t="shared" si="44"/>
        <v>5.4854478599011866E-2</v>
      </c>
    </row>
    <row r="533" spans="1:11" x14ac:dyDescent="0.3">
      <c r="A533" s="5" t="s">
        <v>43</v>
      </c>
      <c r="B533" s="6">
        <v>40244</v>
      </c>
      <c r="C533" s="5">
        <f t="shared" si="43"/>
        <v>11</v>
      </c>
      <c r="D533" s="5">
        <f t="shared" si="40"/>
        <v>3</v>
      </c>
      <c r="E533" s="5">
        <f t="shared" si="41"/>
        <v>2010</v>
      </c>
      <c r="F533" s="5" t="s">
        <v>24</v>
      </c>
      <c r="G533" s="5" t="s">
        <v>8</v>
      </c>
      <c r="H533" s="7">
        <v>339083.05</v>
      </c>
      <c r="I533" s="7">
        <v>358388.01</v>
      </c>
      <c r="J533" s="7">
        <f t="shared" si="42"/>
        <v>19304.960000000021</v>
      </c>
      <c r="K533" s="8">
        <f t="shared" si="44"/>
        <v>5.6932836955430305E-2</v>
      </c>
    </row>
    <row r="534" spans="1:11" x14ac:dyDescent="0.3">
      <c r="A534" s="5" t="s">
        <v>43</v>
      </c>
      <c r="B534" s="6">
        <v>40244</v>
      </c>
      <c r="C534" s="5">
        <f t="shared" si="43"/>
        <v>11</v>
      </c>
      <c r="D534" s="5">
        <f t="shared" si="40"/>
        <v>3</v>
      </c>
      <c r="E534" s="5">
        <f t="shared" si="41"/>
        <v>2010</v>
      </c>
      <c r="F534" s="5" t="s">
        <v>25</v>
      </c>
      <c r="G534" s="5" t="s">
        <v>8</v>
      </c>
      <c r="H534" s="7">
        <v>36595.4</v>
      </c>
      <c r="I534" s="7">
        <v>37225.49</v>
      </c>
      <c r="J534" s="7">
        <f t="shared" si="42"/>
        <v>630.08999999999651</v>
      </c>
      <c r="K534" s="8">
        <f t="shared" si="44"/>
        <v>1.7217737748460093E-2</v>
      </c>
    </row>
    <row r="535" spans="1:11" x14ac:dyDescent="0.3">
      <c r="A535" s="5" t="s">
        <v>43</v>
      </c>
      <c r="B535" s="6">
        <v>40244</v>
      </c>
      <c r="C535" s="5">
        <f t="shared" si="43"/>
        <v>11</v>
      </c>
      <c r="D535" s="5">
        <f t="shared" si="40"/>
        <v>3</v>
      </c>
      <c r="E535" s="5">
        <f t="shared" si="41"/>
        <v>2010</v>
      </c>
      <c r="F535" s="5" t="s">
        <v>26</v>
      </c>
      <c r="G535" s="5" t="s">
        <v>10</v>
      </c>
      <c r="H535" s="7">
        <v>15100</v>
      </c>
      <c r="I535" s="7">
        <v>17047.59</v>
      </c>
      <c r="J535" s="7">
        <f t="shared" si="42"/>
        <v>1947.5900000000001</v>
      </c>
      <c r="K535" s="8">
        <f t="shared" si="44"/>
        <v>0.12897947019867551</v>
      </c>
    </row>
    <row r="536" spans="1:11" x14ac:dyDescent="0.3">
      <c r="A536" s="5" t="s">
        <v>43</v>
      </c>
      <c r="B536" s="6">
        <v>40244</v>
      </c>
      <c r="C536" s="5">
        <f t="shared" si="43"/>
        <v>11</v>
      </c>
      <c r="D536" s="5">
        <f t="shared" si="40"/>
        <v>3</v>
      </c>
      <c r="E536" s="5">
        <f t="shared" si="41"/>
        <v>2010</v>
      </c>
      <c r="F536" s="5" t="s">
        <v>27</v>
      </c>
      <c r="G536" s="5" t="s">
        <v>10</v>
      </c>
      <c r="H536" s="7">
        <v>238100.77</v>
      </c>
      <c r="I536" s="7">
        <v>267275.3</v>
      </c>
      <c r="J536" s="7">
        <f t="shared" si="42"/>
        <v>29174.53</v>
      </c>
      <c r="K536" s="8">
        <f t="shared" si="44"/>
        <v>0.122530179133818</v>
      </c>
    </row>
    <row r="537" spans="1:11" x14ac:dyDescent="0.3">
      <c r="A537" s="5" t="s">
        <v>43</v>
      </c>
      <c r="B537" s="6">
        <v>40244</v>
      </c>
      <c r="C537" s="5">
        <f t="shared" si="43"/>
        <v>11</v>
      </c>
      <c r="D537" s="5">
        <f t="shared" si="40"/>
        <v>3</v>
      </c>
      <c r="E537" s="5">
        <f t="shared" si="41"/>
        <v>2010</v>
      </c>
      <c r="F537" s="5" t="s">
        <v>28</v>
      </c>
      <c r="G537" s="5" t="s">
        <v>10</v>
      </c>
      <c r="H537" s="7">
        <v>262879.93</v>
      </c>
      <c r="I537" s="7">
        <v>285360.09999999998</v>
      </c>
      <c r="J537" s="7">
        <f t="shared" si="42"/>
        <v>22480.169999999984</v>
      </c>
      <c r="K537" s="8">
        <f t="shared" si="44"/>
        <v>8.5514972558003888E-2</v>
      </c>
    </row>
    <row r="538" spans="1:11" x14ac:dyDescent="0.3">
      <c r="A538" s="5" t="s">
        <v>43</v>
      </c>
      <c r="B538" s="6">
        <v>40244</v>
      </c>
      <c r="C538" s="5">
        <f t="shared" si="43"/>
        <v>11</v>
      </c>
      <c r="D538" s="5">
        <f t="shared" si="40"/>
        <v>3</v>
      </c>
      <c r="E538" s="5">
        <f t="shared" si="41"/>
        <v>2010</v>
      </c>
      <c r="F538" s="5" t="s">
        <v>29</v>
      </c>
      <c r="G538" s="5" t="s">
        <v>10</v>
      </c>
      <c r="H538" s="7">
        <v>1191606.2</v>
      </c>
      <c r="I538" s="7">
        <v>1305835.94</v>
      </c>
      <c r="J538" s="7">
        <f t="shared" si="42"/>
        <v>114229.73999999999</v>
      </c>
      <c r="K538" s="8">
        <f t="shared" si="44"/>
        <v>9.586198863349317E-2</v>
      </c>
    </row>
    <row r="539" spans="1:11" x14ac:dyDescent="0.3">
      <c r="A539" s="5" t="s">
        <v>43</v>
      </c>
      <c r="B539" s="6">
        <v>40244</v>
      </c>
      <c r="C539" s="5">
        <f t="shared" si="43"/>
        <v>11</v>
      </c>
      <c r="D539" s="5">
        <f t="shared" si="40"/>
        <v>3</v>
      </c>
      <c r="E539" s="5">
        <f t="shared" si="41"/>
        <v>2010</v>
      </c>
      <c r="F539" s="5" t="s">
        <v>30</v>
      </c>
      <c r="G539" s="5" t="s">
        <v>10</v>
      </c>
      <c r="H539" s="7">
        <v>178304.62</v>
      </c>
      <c r="I539" s="7">
        <v>200777.72</v>
      </c>
      <c r="J539" s="7">
        <f t="shared" si="42"/>
        <v>22473.100000000006</v>
      </c>
      <c r="K539" s="8">
        <f t="shared" si="44"/>
        <v>0.12603767642139618</v>
      </c>
    </row>
    <row r="540" spans="1:11" x14ac:dyDescent="0.3">
      <c r="A540" s="5" t="s">
        <v>43</v>
      </c>
      <c r="B540" s="6">
        <v>40244</v>
      </c>
      <c r="C540" s="5">
        <f t="shared" si="43"/>
        <v>11</v>
      </c>
      <c r="D540" s="5">
        <f t="shared" si="40"/>
        <v>3</v>
      </c>
      <c r="E540" s="5">
        <f t="shared" si="41"/>
        <v>2010</v>
      </c>
      <c r="F540" s="5" t="s">
        <v>9</v>
      </c>
      <c r="G540" s="5" t="s">
        <v>9</v>
      </c>
      <c r="H540" s="7">
        <v>1491153.16</v>
      </c>
      <c r="I540" s="7">
        <v>1758036.23</v>
      </c>
      <c r="J540" s="7">
        <f t="shared" si="42"/>
        <v>266883.07000000007</v>
      </c>
      <c r="K540" s="8">
        <f t="shared" si="44"/>
        <v>0.1789776376827717</v>
      </c>
    </row>
    <row r="541" spans="1:11" x14ac:dyDescent="0.3">
      <c r="A541" s="5" t="s">
        <v>43</v>
      </c>
      <c r="B541" s="6">
        <v>40244</v>
      </c>
      <c r="C541" s="5">
        <f t="shared" si="43"/>
        <v>11</v>
      </c>
      <c r="D541" s="5">
        <f t="shared" si="40"/>
        <v>3</v>
      </c>
      <c r="E541" s="5">
        <f t="shared" si="41"/>
        <v>2010</v>
      </c>
      <c r="F541" s="5" t="s">
        <v>31</v>
      </c>
      <c r="G541" s="5" t="s">
        <v>7</v>
      </c>
      <c r="H541" s="7">
        <v>11291.36</v>
      </c>
      <c r="I541" s="7">
        <v>24858.81</v>
      </c>
      <c r="J541" s="7">
        <f t="shared" si="42"/>
        <v>13567.45</v>
      </c>
      <c r="K541" s="8">
        <f t="shared" si="44"/>
        <v>1.201578020716725</v>
      </c>
    </row>
    <row r="542" spans="1:11" x14ac:dyDescent="0.3">
      <c r="A542" s="5" t="s">
        <v>43</v>
      </c>
      <c r="B542" s="6">
        <v>40244</v>
      </c>
      <c r="C542" s="5">
        <f t="shared" si="43"/>
        <v>11</v>
      </c>
      <c r="D542" s="5">
        <f t="shared" si="40"/>
        <v>3</v>
      </c>
      <c r="E542" s="5">
        <f t="shared" si="41"/>
        <v>2010</v>
      </c>
      <c r="F542" s="5" t="s">
        <v>33</v>
      </c>
      <c r="G542" s="5" t="s">
        <v>7</v>
      </c>
      <c r="H542" s="7">
        <v>283782.40999999997</v>
      </c>
      <c r="I542" s="7">
        <v>573658.31000000006</v>
      </c>
      <c r="J542" s="7">
        <f t="shared" si="42"/>
        <v>289875.90000000008</v>
      </c>
      <c r="K542" s="8">
        <f t="shared" si="44"/>
        <v>1.0214724020421142</v>
      </c>
    </row>
    <row r="543" spans="1:11" x14ac:dyDescent="0.3">
      <c r="A543" s="5" t="s">
        <v>43</v>
      </c>
      <c r="B543" s="6">
        <v>40244</v>
      </c>
      <c r="C543" s="5">
        <f t="shared" si="43"/>
        <v>11</v>
      </c>
      <c r="D543" s="5">
        <f t="shared" si="40"/>
        <v>3</v>
      </c>
      <c r="E543" s="5">
        <f t="shared" si="41"/>
        <v>2010</v>
      </c>
      <c r="F543" s="5" t="s">
        <v>34</v>
      </c>
      <c r="G543" s="5" t="s">
        <v>7</v>
      </c>
      <c r="H543" s="7">
        <v>418</v>
      </c>
      <c r="I543" s="7">
        <v>1297.8699999999999</v>
      </c>
      <c r="J543" s="7">
        <f t="shared" si="42"/>
        <v>879.86999999999989</v>
      </c>
      <c r="K543" s="8">
        <f t="shared" si="44"/>
        <v>2.1049521531100477</v>
      </c>
    </row>
    <row r="544" spans="1:11" x14ac:dyDescent="0.3">
      <c r="A544" s="5" t="s">
        <v>43</v>
      </c>
      <c r="B544" s="6">
        <v>40244</v>
      </c>
      <c r="C544" s="5">
        <f t="shared" si="43"/>
        <v>11</v>
      </c>
      <c r="D544" s="5">
        <f t="shared" si="40"/>
        <v>3</v>
      </c>
      <c r="E544" s="5">
        <f t="shared" si="41"/>
        <v>2010</v>
      </c>
      <c r="F544" s="5" t="s">
        <v>35</v>
      </c>
      <c r="G544" s="5" t="s">
        <v>11</v>
      </c>
      <c r="H544" s="7">
        <v>10092.6</v>
      </c>
      <c r="I544" s="7">
        <v>12896.56</v>
      </c>
      <c r="J544" s="7">
        <f t="shared" si="42"/>
        <v>2803.9599999999991</v>
      </c>
      <c r="K544" s="8">
        <f t="shared" si="44"/>
        <v>0.27782335572597733</v>
      </c>
    </row>
    <row r="545" spans="1:11" x14ac:dyDescent="0.3">
      <c r="A545" s="5" t="s">
        <v>43</v>
      </c>
      <c r="B545" s="6">
        <v>40244</v>
      </c>
      <c r="C545" s="5">
        <f t="shared" si="43"/>
        <v>11</v>
      </c>
      <c r="D545" s="5">
        <f t="shared" si="40"/>
        <v>3</v>
      </c>
      <c r="E545" s="5">
        <f t="shared" si="41"/>
        <v>2010</v>
      </c>
      <c r="F545" s="5" t="s">
        <v>36</v>
      </c>
      <c r="G545" s="5" t="s">
        <v>11</v>
      </c>
      <c r="H545" s="7">
        <v>567165.23</v>
      </c>
      <c r="I545" s="7">
        <v>627134.39</v>
      </c>
      <c r="J545" s="7">
        <f t="shared" si="42"/>
        <v>59969.160000000033</v>
      </c>
      <c r="K545" s="8">
        <f t="shared" si="44"/>
        <v>0.10573490197909352</v>
      </c>
    </row>
    <row r="546" spans="1:11" x14ac:dyDescent="0.3">
      <c r="A546" s="5" t="s">
        <v>43</v>
      </c>
      <c r="B546" s="6">
        <v>40244</v>
      </c>
      <c r="C546" s="5">
        <f t="shared" si="43"/>
        <v>11</v>
      </c>
      <c r="D546" s="5">
        <f t="shared" si="40"/>
        <v>3</v>
      </c>
      <c r="E546" s="5">
        <f t="shared" si="41"/>
        <v>2010</v>
      </c>
      <c r="F546" s="5" t="s">
        <v>37</v>
      </c>
      <c r="G546" s="5" t="s">
        <v>11</v>
      </c>
      <c r="H546" s="7">
        <v>580202.93999999994</v>
      </c>
      <c r="I546" s="7">
        <v>625194.67000000004</v>
      </c>
      <c r="J546" s="7">
        <f t="shared" si="42"/>
        <v>44991.730000000098</v>
      </c>
      <c r="K546" s="8">
        <f t="shared" si="44"/>
        <v>7.7544815612275428E-2</v>
      </c>
    </row>
    <row r="547" spans="1:11" x14ac:dyDescent="0.3">
      <c r="A547" s="5" t="s">
        <v>43</v>
      </c>
      <c r="B547" s="6">
        <v>40244</v>
      </c>
      <c r="C547" s="5">
        <f t="shared" si="43"/>
        <v>11</v>
      </c>
      <c r="D547" s="5">
        <f t="shared" si="40"/>
        <v>3</v>
      </c>
      <c r="E547" s="5">
        <f t="shared" si="41"/>
        <v>2010</v>
      </c>
      <c r="F547" s="5" t="s">
        <v>38</v>
      </c>
      <c r="G547" s="5" t="s">
        <v>11</v>
      </c>
      <c r="H547" s="7">
        <v>651129.53</v>
      </c>
      <c r="I547" s="7">
        <v>692000.67</v>
      </c>
      <c r="J547" s="7">
        <f t="shared" si="42"/>
        <v>40871.140000000014</v>
      </c>
      <c r="K547" s="8">
        <f t="shared" si="44"/>
        <v>6.2769599775331975E-2</v>
      </c>
    </row>
    <row r="548" spans="1:11" x14ac:dyDescent="0.3">
      <c r="A548" s="5" t="s">
        <v>43</v>
      </c>
      <c r="B548" s="6">
        <v>40245</v>
      </c>
      <c r="C548" s="5">
        <f t="shared" si="43"/>
        <v>11</v>
      </c>
      <c r="D548" s="5">
        <f t="shared" si="40"/>
        <v>3</v>
      </c>
      <c r="E548" s="5">
        <f t="shared" si="41"/>
        <v>2010</v>
      </c>
      <c r="F548" s="5" t="s">
        <v>14</v>
      </c>
      <c r="G548" s="5" t="s">
        <v>6</v>
      </c>
      <c r="H548" s="7">
        <v>8426</v>
      </c>
      <c r="I548" s="7">
        <v>10446.49</v>
      </c>
      <c r="J548" s="7">
        <f t="shared" si="42"/>
        <v>2020.4899999999998</v>
      </c>
      <c r="K548" s="8">
        <f t="shared" si="44"/>
        <v>0.23979230951815805</v>
      </c>
    </row>
    <row r="549" spans="1:11" x14ac:dyDescent="0.3">
      <c r="A549" s="5" t="s">
        <v>43</v>
      </c>
      <c r="B549" s="6">
        <v>40245</v>
      </c>
      <c r="C549" s="5">
        <f t="shared" si="43"/>
        <v>11</v>
      </c>
      <c r="D549" s="5">
        <f t="shared" si="40"/>
        <v>3</v>
      </c>
      <c r="E549" s="5">
        <f t="shared" si="41"/>
        <v>2010</v>
      </c>
      <c r="F549" s="5" t="s">
        <v>15</v>
      </c>
      <c r="G549" s="5" t="s">
        <v>6</v>
      </c>
      <c r="H549" s="7">
        <v>823759.51</v>
      </c>
      <c r="I549" s="7">
        <v>1269124.1299999999</v>
      </c>
      <c r="J549" s="7">
        <f t="shared" si="42"/>
        <v>445364.61999999988</v>
      </c>
      <c r="K549" s="8">
        <f t="shared" si="44"/>
        <v>0.54064883572633948</v>
      </c>
    </row>
    <row r="550" spans="1:11" x14ac:dyDescent="0.3">
      <c r="A550" s="5" t="s">
        <v>43</v>
      </c>
      <c r="B550" s="6">
        <v>40245</v>
      </c>
      <c r="C550" s="5">
        <f t="shared" si="43"/>
        <v>11</v>
      </c>
      <c r="D550" s="5">
        <f t="shared" si="40"/>
        <v>3</v>
      </c>
      <c r="E550" s="5">
        <f t="shared" si="41"/>
        <v>2010</v>
      </c>
      <c r="F550" s="5" t="s">
        <v>16</v>
      </c>
      <c r="G550" s="5" t="s">
        <v>6</v>
      </c>
      <c r="H550" s="7">
        <v>248279.18</v>
      </c>
      <c r="I550" s="7">
        <v>278350.96999999997</v>
      </c>
      <c r="J550" s="7">
        <f t="shared" si="42"/>
        <v>30071.789999999979</v>
      </c>
      <c r="K550" s="8">
        <f t="shared" si="44"/>
        <v>0.12112086885416642</v>
      </c>
    </row>
    <row r="551" spans="1:11" x14ac:dyDescent="0.3">
      <c r="A551" s="5" t="s">
        <v>43</v>
      </c>
      <c r="B551" s="6">
        <v>40245</v>
      </c>
      <c r="C551" s="5">
        <f t="shared" si="43"/>
        <v>11</v>
      </c>
      <c r="D551" s="5">
        <f t="shared" si="40"/>
        <v>3</v>
      </c>
      <c r="E551" s="5">
        <f t="shared" si="41"/>
        <v>2010</v>
      </c>
      <c r="F551" s="5" t="s">
        <v>17</v>
      </c>
      <c r="G551" s="5" t="s">
        <v>6</v>
      </c>
      <c r="H551" s="7">
        <v>944</v>
      </c>
      <c r="I551" s="7">
        <v>1085.96</v>
      </c>
      <c r="J551" s="7">
        <f t="shared" si="42"/>
        <v>141.96000000000004</v>
      </c>
      <c r="K551" s="8">
        <f t="shared" si="44"/>
        <v>0.15038135593220342</v>
      </c>
    </row>
    <row r="552" spans="1:11" x14ac:dyDescent="0.3">
      <c r="A552" s="5" t="s">
        <v>43</v>
      </c>
      <c r="B552" s="6">
        <v>40245</v>
      </c>
      <c r="C552" s="5">
        <f t="shared" si="43"/>
        <v>11</v>
      </c>
      <c r="D552" s="5">
        <f t="shared" si="40"/>
        <v>3</v>
      </c>
      <c r="E552" s="5">
        <f t="shared" si="41"/>
        <v>2010</v>
      </c>
      <c r="F552" s="5" t="s">
        <v>19</v>
      </c>
      <c r="G552" s="5" t="s">
        <v>5</v>
      </c>
      <c r="H552" s="7">
        <v>131850.44</v>
      </c>
      <c r="I552" s="7">
        <v>147477.25</v>
      </c>
      <c r="J552" s="7">
        <f t="shared" si="42"/>
        <v>15626.809999999998</v>
      </c>
      <c r="K552" s="8">
        <f t="shared" si="44"/>
        <v>0.11851921009895755</v>
      </c>
    </row>
    <row r="553" spans="1:11" x14ac:dyDescent="0.3">
      <c r="A553" s="5" t="s">
        <v>43</v>
      </c>
      <c r="B553" s="6">
        <v>40245</v>
      </c>
      <c r="C553" s="5">
        <f t="shared" si="43"/>
        <v>11</v>
      </c>
      <c r="D553" s="5">
        <f t="shared" si="40"/>
        <v>3</v>
      </c>
      <c r="E553" s="5">
        <f t="shared" si="41"/>
        <v>2010</v>
      </c>
      <c r="F553" s="5" t="s">
        <v>5</v>
      </c>
      <c r="G553" s="5" t="s">
        <v>5</v>
      </c>
      <c r="H553" s="7">
        <v>486847.37</v>
      </c>
      <c r="I553" s="7">
        <v>525622.72</v>
      </c>
      <c r="J553" s="7">
        <f t="shared" si="42"/>
        <v>38775.349999999977</v>
      </c>
      <c r="K553" s="8">
        <f t="shared" si="44"/>
        <v>7.9645803570839821E-2</v>
      </c>
    </row>
    <row r="554" spans="1:11" x14ac:dyDescent="0.3">
      <c r="A554" s="5" t="s">
        <v>43</v>
      </c>
      <c r="B554" s="6">
        <v>40245</v>
      </c>
      <c r="C554" s="5">
        <f t="shared" si="43"/>
        <v>11</v>
      </c>
      <c r="D554" s="5">
        <f t="shared" si="40"/>
        <v>3</v>
      </c>
      <c r="E554" s="5">
        <f t="shared" si="41"/>
        <v>2010</v>
      </c>
      <c r="F554" s="5" t="s">
        <v>20</v>
      </c>
      <c r="G554" s="5" t="s">
        <v>5</v>
      </c>
      <c r="H554" s="7">
        <v>138057.42000000001</v>
      </c>
      <c r="I554" s="7">
        <v>151198.89000000001</v>
      </c>
      <c r="J554" s="7">
        <f t="shared" si="42"/>
        <v>13141.470000000001</v>
      </c>
      <c r="K554" s="8">
        <f t="shared" si="44"/>
        <v>9.5188436811291993E-2</v>
      </c>
    </row>
    <row r="555" spans="1:11" x14ac:dyDescent="0.3">
      <c r="A555" s="5" t="s">
        <v>43</v>
      </c>
      <c r="B555" s="6">
        <v>40245</v>
      </c>
      <c r="C555" s="5">
        <f t="shared" si="43"/>
        <v>11</v>
      </c>
      <c r="D555" s="5">
        <f t="shared" si="40"/>
        <v>3</v>
      </c>
      <c r="E555" s="5">
        <f t="shared" si="41"/>
        <v>2010</v>
      </c>
      <c r="F555" s="5" t="s">
        <v>21</v>
      </c>
      <c r="G555" s="5" t="s">
        <v>5</v>
      </c>
      <c r="H555" s="7">
        <v>197673.04</v>
      </c>
      <c r="I555" s="7">
        <v>213329.36</v>
      </c>
      <c r="J555" s="7">
        <f t="shared" si="42"/>
        <v>15656.319999999978</v>
      </c>
      <c r="K555" s="8">
        <f t="shared" si="44"/>
        <v>7.9203112371823578E-2</v>
      </c>
    </row>
    <row r="556" spans="1:11" x14ac:dyDescent="0.3">
      <c r="A556" s="5" t="s">
        <v>43</v>
      </c>
      <c r="B556" s="6">
        <v>40245</v>
      </c>
      <c r="C556" s="5">
        <f t="shared" si="43"/>
        <v>11</v>
      </c>
      <c r="D556" s="5">
        <f t="shared" si="40"/>
        <v>3</v>
      </c>
      <c r="E556" s="5">
        <f t="shared" si="41"/>
        <v>2010</v>
      </c>
      <c r="F556" s="5" t="s">
        <v>22</v>
      </c>
      <c r="G556" s="5" t="s">
        <v>8</v>
      </c>
      <c r="H556" s="7">
        <v>769295.95</v>
      </c>
      <c r="I556" s="7">
        <v>843256.9</v>
      </c>
      <c r="J556" s="7">
        <f t="shared" si="42"/>
        <v>73960.95000000007</v>
      </c>
      <c r="K556" s="8">
        <f t="shared" si="44"/>
        <v>9.6141088484867326E-2</v>
      </c>
    </row>
    <row r="557" spans="1:11" x14ac:dyDescent="0.3">
      <c r="A557" s="5" t="s">
        <v>43</v>
      </c>
      <c r="B557" s="6">
        <v>40245</v>
      </c>
      <c r="C557" s="5">
        <f t="shared" si="43"/>
        <v>11</v>
      </c>
      <c r="D557" s="5">
        <f t="shared" si="40"/>
        <v>3</v>
      </c>
      <c r="E557" s="5">
        <f t="shared" si="41"/>
        <v>2010</v>
      </c>
      <c r="F557" s="5" t="s">
        <v>23</v>
      </c>
      <c r="G557" s="5" t="s">
        <v>8</v>
      </c>
      <c r="H557" s="7">
        <v>321835.76</v>
      </c>
      <c r="I557" s="7">
        <v>340020.85</v>
      </c>
      <c r="J557" s="7">
        <f t="shared" si="42"/>
        <v>18185.089999999967</v>
      </c>
      <c r="K557" s="8">
        <f t="shared" si="44"/>
        <v>5.650425546247554E-2</v>
      </c>
    </row>
    <row r="558" spans="1:11" x14ac:dyDescent="0.3">
      <c r="A558" s="5" t="s">
        <v>43</v>
      </c>
      <c r="B558" s="6">
        <v>40245</v>
      </c>
      <c r="C558" s="5">
        <f t="shared" si="43"/>
        <v>11</v>
      </c>
      <c r="D558" s="5">
        <f t="shared" si="40"/>
        <v>3</v>
      </c>
      <c r="E558" s="5">
        <f t="shared" si="41"/>
        <v>2010</v>
      </c>
      <c r="F558" s="5" t="s">
        <v>24</v>
      </c>
      <c r="G558" s="5" t="s">
        <v>8</v>
      </c>
      <c r="H558" s="7">
        <v>309525.01</v>
      </c>
      <c r="I558" s="7">
        <v>331224.86</v>
      </c>
      <c r="J558" s="7">
        <f t="shared" si="42"/>
        <v>21699.849999999977</v>
      </c>
      <c r="K558" s="8">
        <f t="shared" si="44"/>
        <v>7.0106935785253593E-2</v>
      </c>
    </row>
    <row r="559" spans="1:11" x14ac:dyDescent="0.3">
      <c r="A559" s="5" t="s">
        <v>43</v>
      </c>
      <c r="B559" s="6">
        <v>40245</v>
      </c>
      <c r="C559" s="5">
        <f t="shared" si="43"/>
        <v>11</v>
      </c>
      <c r="D559" s="5">
        <f t="shared" si="40"/>
        <v>3</v>
      </c>
      <c r="E559" s="5">
        <f t="shared" si="41"/>
        <v>2010</v>
      </c>
      <c r="F559" s="5" t="s">
        <v>25</v>
      </c>
      <c r="G559" s="5" t="s">
        <v>8</v>
      </c>
      <c r="H559" s="7">
        <v>29137</v>
      </c>
      <c r="I559" s="7">
        <v>29630.83</v>
      </c>
      <c r="J559" s="7">
        <f t="shared" si="42"/>
        <v>493.83000000000175</v>
      </c>
      <c r="K559" s="8">
        <f t="shared" si="44"/>
        <v>1.6948553385729544E-2</v>
      </c>
    </row>
    <row r="560" spans="1:11" x14ac:dyDescent="0.3">
      <c r="A560" s="5" t="s">
        <v>43</v>
      </c>
      <c r="B560" s="6">
        <v>40245</v>
      </c>
      <c r="C560" s="5">
        <f t="shared" si="43"/>
        <v>11</v>
      </c>
      <c r="D560" s="5">
        <f t="shared" si="40"/>
        <v>3</v>
      </c>
      <c r="E560" s="5">
        <f t="shared" si="41"/>
        <v>2010</v>
      </c>
      <c r="F560" s="5" t="s">
        <v>26</v>
      </c>
      <c r="G560" s="5" t="s">
        <v>10</v>
      </c>
      <c r="H560" s="7">
        <v>10199</v>
      </c>
      <c r="I560" s="7">
        <v>11690.69</v>
      </c>
      <c r="J560" s="7">
        <f t="shared" si="42"/>
        <v>1491.6900000000005</v>
      </c>
      <c r="K560" s="8">
        <f t="shared" si="44"/>
        <v>0.14625845671144236</v>
      </c>
    </row>
    <row r="561" spans="1:11" x14ac:dyDescent="0.3">
      <c r="A561" s="5" t="s">
        <v>43</v>
      </c>
      <c r="B561" s="6">
        <v>40245</v>
      </c>
      <c r="C561" s="5">
        <f t="shared" si="43"/>
        <v>11</v>
      </c>
      <c r="D561" s="5">
        <f t="shared" si="40"/>
        <v>3</v>
      </c>
      <c r="E561" s="5">
        <f t="shared" si="41"/>
        <v>2010</v>
      </c>
      <c r="F561" s="5" t="s">
        <v>27</v>
      </c>
      <c r="G561" s="5" t="s">
        <v>10</v>
      </c>
      <c r="H561" s="7">
        <v>113050.34</v>
      </c>
      <c r="I561" s="7">
        <v>126304.92</v>
      </c>
      <c r="J561" s="7">
        <f t="shared" si="42"/>
        <v>13254.580000000002</v>
      </c>
      <c r="K561" s="8">
        <f t="shared" si="44"/>
        <v>0.11724493707847321</v>
      </c>
    </row>
    <row r="562" spans="1:11" x14ac:dyDescent="0.3">
      <c r="A562" s="5" t="s">
        <v>43</v>
      </c>
      <c r="B562" s="6">
        <v>40245</v>
      </c>
      <c r="C562" s="5">
        <f t="shared" si="43"/>
        <v>11</v>
      </c>
      <c r="D562" s="5">
        <f t="shared" si="40"/>
        <v>3</v>
      </c>
      <c r="E562" s="5">
        <f t="shared" si="41"/>
        <v>2010</v>
      </c>
      <c r="F562" s="5" t="s">
        <v>28</v>
      </c>
      <c r="G562" s="5" t="s">
        <v>10</v>
      </c>
      <c r="H562" s="7">
        <v>169167.22</v>
      </c>
      <c r="I562" s="7">
        <v>180291.55</v>
      </c>
      <c r="J562" s="7">
        <f t="shared" si="42"/>
        <v>11124.329999999987</v>
      </c>
      <c r="K562" s="8">
        <f t="shared" si="44"/>
        <v>6.5759371112204756E-2</v>
      </c>
    </row>
    <row r="563" spans="1:11" x14ac:dyDescent="0.3">
      <c r="A563" s="5" t="s">
        <v>43</v>
      </c>
      <c r="B563" s="6">
        <v>40245</v>
      </c>
      <c r="C563" s="5">
        <f t="shared" si="43"/>
        <v>11</v>
      </c>
      <c r="D563" s="5">
        <f t="shared" si="40"/>
        <v>3</v>
      </c>
      <c r="E563" s="5">
        <f t="shared" si="41"/>
        <v>2010</v>
      </c>
      <c r="F563" s="5" t="s">
        <v>29</v>
      </c>
      <c r="G563" s="5" t="s">
        <v>10</v>
      </c>
      <c r="H563" s="7">
        <v>790987.71</v>
      </c>
      <c r="I563" s="7">
        <v>865389.74</v>
      </c>
      <c r="J563" s="7">
        <f t="shared" si="42"/>
        <v>74402.030000000028</v>
      </c>
      <c r="K563" s="8">
        <f t="shared" si="44"/>
        <v>9.4062182078657117E-2</v>
      </c>
    </row>
    <row r="564" spans="1:11" x14ac:dyDescent="0.3">
      <c r="A564" s="5" t="s">
        <v>43</v>
      </c>
      <c r="B564" s="6">
        <v>40245</v>
      </c>
      <c r="C564" s="5">
        <f t="shared" si="43"/>
        <v>11</v>
      </c>
      <c r="D564" s="5">
        <f t="shared" si="40"/>
        <v>3</v>
      </c>
      <c r="E564" s="5">
        <f t="shared" si="41"/>
        <v>2010</v>
      </c>
      <c r="F564" s="5" t="s">
        <v>30</v>
      </c>
      <c r="G564" s="5" t="s">
        <v>10</v>
      </c>
      <c r="H564" s="7">
        <v>78253.98</v>
      </c>
      <c r="I564" s="7">
        <v>88293.45</v>
      </c>
      <c r="J564" s="7">
        <f t="shared" si="42"/>
        <v>10039.470000000001</v>
      </c>
      <c r="K564" s="8">
        <f t="shared" si="44"/>
        <v>0.12829341076326087</v>
      </c>
    </row>
    <row r="565" spans="1:11" x14ac:dyDescent="0.3">
      <c r="A565" s="5" t="s">
        <v>43</v>
      </c>
      <c r="B565" s="6">
        <v>40245</v>
      </c>
      <c r="C565" s="5">
        <f t="shared" si="43"/>
        <v>11</v>
      </c>
      <c r="D565" s="5">
        <f t="shared" si="40"/>
        <v>3</v>
      </c>
      <c r="E565" s="5">
        <f t="shared" si="41"/>
        <v>2010</v>
      </c>
      <c r="F565" s="5" t="s">
        <v>9</v>
      </c>
      <c r="G565" s="5" t="s">
        <v>9</v>
      </c>
      <c r="H565" s="7">
        <v>911380.59</v>
      </c>
      <c r="I565" s="7">
        <v>1075353.6000000001</v>
      </c>
      <c r="J565" s="7">
        <f t="shared" si="42"/>
        <v>163973.01000000013</v>
      </c>
      <c r="K565" s="8">
        <f t="shared" si="44"/>
        <v>0.1799171628177863</v>
      </c>
    </row>
    <row r="566" spans="1:11" x14ac:dyDescent="0.3">
      <c r="A566" s="5" t="s">
        <v>43</v>
      </c>
      <c r="B566" s="6">
        <v>40245</v>
      </c>
      <c r="C566" s="5">
        <f t="shared" si="43"/>
        <v>11</v>
      </c>
      <c r="D566" s="5">
        <f t="shared" si="40"/>
        <v>3</v>
      </c>
      <c r="E566" s="5">
        <f t="shared" si="41"/>
        <v>2010</v>
      </c>
      <c r="F566" s="5" t="s">
        <v>31</v>
      </c>
      <c r="G566" s="5" t="s">
        <v>7</v>
      </c>
      <c r="H566" s="7">
        <v>7715.41</v>
      </c>
      <c r="I566" s="7">
        <v>17160.52</v>
      </c>
      <c r="J566" s="7">
        <f t="shared" si="42"/>
        <v>9445.11</v>
      </c>
      <c r="K566" s="8">
        <f t="shared" si="44"/>
        <v>1.2241876970893317</v>
      </c>
    </row>
    <row r="567" spans="1:11" x14ac:dyDescent="0.3">
      <c r="A567" s="5" t="s">
        <v>43</v>
      </c>
      <c r="B567" s="6">
        <v>40245</v>
      </c>
      <c r="C567" s="5">
        <f t="shared" si="43"/>
        <v>11</v>
      </c>
      <c r="D567" s="5">
        <f t="shared" si="40"/>
        <v>3</v>
      </c>
      <c r="E567" s="5">
        <f t="shared" si="41"/>
        <v>2010</v>
      </c>
      <c r="F567" s="5" t="s">
        <v>33</v>
      </c>
      <c r="G567" s="5" t="s">
        <v>7</v>
      </c>
      <c r="H567" s="7">
        <v>235649.36</v>
      </c>
      <c r="I567" s="7">
        <v>485727.85</v>
      </c>
      <c r="J567" s="7">
        <f t="shared" si="42"/>
        <v>250078.49</v>
      </c>
      <c r="K567" s="8">
        <f t="shared" si="44"/>
        <v>1.0612313566223988</v>
      </c>
    </row>
    <row r="568" spans="1:11" x14ac:dyDescent="0.3">
      <c r="A568" s="5" t="s">
        <v>43</v>
      </c>
      <c r="B568" s="6">
        <v>40245</v>
      </c>
      <c r="C568" s="5">
        <f t="shared" si="43"/>
        <v>11</v>
      </c>
      <c r="D568" s="5">
        <f t="shared" si="40"/>
        <v>3</v>
      </c>
      <c r="E568" s="5">
        <f t="shared" si="41"/>
        <v>2010</v>
      </c>
      <c r="F568" s="5" t="s">
        <v>35</v>
      </c>
      <c r="G568" s="5" t="s">
        <v>11</v>
      </c>
      <c r="H568" s="7">
        <v>2140</v>
      </c>
      <c r="I568" s="7">
        <v>2783.9</v>
      </c>
      <c r="J568" s="7">
        <f t="shared" si="42"/>
        <v>643.90000000000009</v>
      </c>
      <c r="K568" s="8">
        <f t="shared" si="44"/>
        <v>0.30088785046728977</v>
      </c>
    </row>
    <row r="569" spans="1:11" x14ac:dyDescent="0.3">
      <c r="A569" s="5" t="s">
        <v>43</v>
      </c>
      <c r="B569" s="6">
        <v>40245</v>
      </c>
      <c r="C569" s="5">
        <f t="shared" si="43"/>
        <v>11</v>
      </c>
      <c r="D569" s="5">
        <f t="shared" si="40"/>
        <v>3</v>
      </c>
      <c r="E569" s="5">
        <f t="shared" si="41"/>
        <v>2010</v>
      </c>
      <c r="F569" s="5" t="s">
        <v>36</v>
      </c>
      <c r="G569" s="5" t="s">
        <v>11</v>
      </c>
      <c r="H569" s="7">
        <v>433151.35</v>
      </c>
      <c r="I569" s="7">
        <v>483791.01</v>
      </c>
      <c r="J569" s="7">
        <f t="shared" si="42"/>
        <v>50639.660000000033</v>
      </c>
      <c r="K569" s="8">
        <f t="shared" si="44"/>
        <v>0.11690985148724582</v>
      </c>
    </row>
    <row r="570" spans="1:11" x14ac:dyDescent="0.3">
      <c r="A570" s="5" t="s">
        <v>43</v>
      </c>
      <c r="B570" s="6">
        <v>40245</v>
      </c>
      <c r="C570" s="5">
        <f t="shared" si="43"/>
        <v>11</v>
      </c>
      <c r="D570" s="5">
        <f t="shared" si="40"/>
        <v>3</v>
      </c>
      <c r="E570" s="5">
        <f t="shared" si="41"/>
        <v>2010</v>
      </c>
      <c r="F570" s="5" t="s">
        <v>37</v>
      </c>
      <c r="G570" s="5" t="s">
        <v>11</v>
      </c>
      <c r="H570" s="7">
        <v>402300.75</v>
      </c>
      <c r="I570" s="7">
        <v>434186.61</v>
      </c>
      <c r="J570" s="7">
        <f t="shared" si="42"/>
        <v>31885.859999999986</v>
      </c>
      <c r="K570" s="8">
        <f t="shared" si="44"/>
        <v>7.9258763499695156E-2</v>
      </c>
    </row>
    <row r="571" spans="1:11" x14ac:dyDescent="0.3">
      <c r="A571" s="5" t="s">
        <v>43</v>
      </c>
      <c r="B571" s="6">
        <v>40245</v>
      </c>
      <c r="C571" s="5">
        <f t="shared" si="43"/>
        <v>11</v>
      </c>
      <c r="D571" s="5">
        <f t="shared" si="40"/>
        <v>3</v>
      </c>
      <c r="E571" s="5">
        <f t="shared" si="41"/>
        <v>2010</v>
      </c>
      <c r="F571" s="5" t="s">
        <v>38</v>
      </c>
      <c r="G571" s="5" t="s">
        <v>11</v>
      </c>
      <c r="H571" s="7">
        <v>365403.97</v>
      </c>
      <c r="I571" s="7">
        <v>390308.97</v>
      </c>
      <c r="J571" s="7">
        <f t="shared" si="42"/>
        <v>24905</v>
      </c>
      <c r="K571" s="8">
        <f t="shared" si="44"/>
        <v>6.8157442295988191E-2</v>
      </c>
    </row>
    <row r="572" spans="1:11" x14ac:dyDescent="0.3">
      <c r="A572" s="5" t="s">
        <v>43</v>
      </c>
      <c r="B572" s="6">
        <v>40246</v>
      </c>
      <c r="C572" s="5">
        <f t="shared" si="43"/>
        <v>11</v>
      </c>
      <c r="D572" s="5">
        <f t="shared" si="40"/>
        <v>3</v>
      </c>
      <c r="E572" s="5">
        <f t="shared" si="41"/>
        <v>2010</v>
      </c>
      <c r="F572" s="5" t="s">
        <v>14</v>
      </c>
      <c r="G572" s="5" t="s">
        <v>6</v>
      </c>
      <c r="H572" s="7">
        <v>5242.43</v>
      </c>
      <c r="I572" s="7">
        <v>6465.2</v>
      </c>
      <c r="J572" s="7">
        <f t="shared" si="42"/>
        <v>1222.7699999999995</v>
      </c>
      <c r="K572" s="8">
        <f t="shared" si="44"/>
        <v>0.23324488834376414</v>
      </c>
    </row>
    <row r="573" spans="1:11" x14ac:dyDescent="0.3">
      <c r="A573" s="5" t="s">
        <v>43</v>
      </c>
      <c r="B573" s="6">
        <v>40246</v>
      </c>
      <c r="C573" s="5">
        <f t="shared" si="43"/>
        <v>11</v>
      </c>
      <c r="D573" s="5">
        <f t="shared" si="40"/>
        <v>3</v>
      </c>
      <c r="E573" s="5">
        <f t="shared" si="41"/>
        <v>2010</v>
      </c>
      <c r="F573" s="5" t="s">
        <v>15</v>
      </c>
      <c r="G573" s="5" t="s">
        <v>6</v>
      </c>
      <c r="H573" s="7">
        <v>165226.70000000001</v>
      </c>
      <c r="I573" s="7">
        <v>253646.07</v>
      </c>
      <c r="J573" s="7">
        <f t="shared" si="42"/>
        <v>88419.37</v>
      </c>
      <c r="K573" s="8">
        <f t="shared" si="44"/>
        <v>0.53513972015418809</v>
      </c>
    </row>
    <row r="574" spans="1:11" x14ac:dyDescent="0.3">
      <c r="A574" s="5" t="s">
        <v>43</v>
      </c>
      <c r="B574" s="6">
        <v>40246</v>
      </c>
      <c r="C574" s="5">
        <f t="shared" si="43"/>
        <v>11</v>
      </c>
      <c r="D574" s="5">
        <f t="shared" si="40"/>
        <v>3</v>
      </c>
      <c r="E574" s="5">
        <f t="shared" si="41"/>
        <v>2010</v>
      </c>
      <c r="F574" s="5" t="s">
        <v>16</v>
      </c>
      <c r="G574" s="5" t="s">
        <v>6</v>
      </c>
      <c r="H574" s="7">
        <v>78546.89</v>
      </c>
      <c r="I574" s="7">
        <v>88497.14</v>
      </c>
      <c r="J574" s="7">
        <f t="shared" si="42"/>
        <v>9950.25</v>
      </c>
      <c r="K574" s="8">
        <f t="shared" si="44"/>
        <v>0.12667910849175568</v>
      </c>
    </row>
    <row r="575" spans="1:11" x14ac:dyDescent="0.3">
      <c r="A575" s="5" t="s">
        <v>43</v>
      </c>
      <c r="B575" s="6">
        <v>40246</v>
      </c>
      <c r="C575" s="5">
        <f t="shared" si="43"/>
        <v>11</v>
      </c>
      <c r="D575" s="5">
        <f t="shared" si="40"/>
        <v>3</v>
      </c>
      <c r="E575" s="5">
        <f t="shared" si="41"/>
        <v>2010</v>
      </c>
      <c r="F575" s="5" t="s">
        <v>17</v>
      </c>
      <c r="G575" s="5" t="s">
        <v>6</v>
      </c>
      <c r="H575" s="7">
        <v>1766</v>
      </c>
      <c r="I575" s="7">
        <v>2030.9</v>
      </c>
      <c r="J575" s="7">
        <f t="shared" si="42"/>
        <v>264.90000000000009</v>
      </c>
      <c r="K575" s="8">
        <f t="shared" si="44"/>
        <v>0.15000000000000005</v>
      </c>
    </row>
    <row r="576" spans="1:11" x14ac:dyDescent="0.3">
      <c r="A576" s="5" t="s">
        <v>43</v>
      </c>
      <c r="B576" s="6">
        <v>40246</v>
      </c>
      <c r="C576" s="5">
        <f t="shared" si="43"/>
        <v>11</v>
      </c>
      <c r="D576" s="5">
        <f t="shared" si="40"/>
        <v>3</v>
      </c>
      <c r="E576" s="5">
        <f t="shared" si="41"/>
        <v>2010</v>
      </c>
      <c r="F576" s="5" t="s">
        <v>18</v>
      </c>
      <c r="G576" s="5" t="s">
        <v>6</v>
      </c>
      <c r="H576" s="7">
        <v>1760</v>
      </c>
      <c r="I576" s="7">
        <v>2023.83</v>
      </c>
      <c r="J576" s="7">
        <f t="shared" si="42"/>
        <v>263.82999999999993</v>
      </c>
      <c r="K576" s="8">
        <f t="shared" si="44"/>
        <v>0.14990340909090905</v>
      </c>
    </row>
    <row r="577" spans="1:11" x14ac:dyDescent="0.3">
      <c r="A577" s="5" t="s">
        <v>43</v>
      </c>
      <c r="B577" s="6">
        <v>40246</v>
      </c>
      <c r="C577" s="5">
        <f t="shared" si="43"/>
        <v>11</v>
      </c>
      <c r="D577" s="5">
        <f t="shared" si="40"/>
        <v>3</v>
      </c>
      <c r="E577" s="5">
        <f t="shared" si="41"/>
        <v>2010</v>
      </c>
      <c r="F577" s="5" t="s">
        <v>19</v>
      </c>
      <c r="G577" s="5" t="s">
        <v>5</v>
      </c>
      <c r="H577" s="7">
        <v>118110.27</v>
      </c>
      <c r="I577" s="7">
        <v>134965.19</v>
      </c>
      <c r="J577" s="7">
        <f t="shared" si="42"/>
        <v>16854.919999999998</v>
      </c>
      <c r="K577" s="8">
        <f t="shared" si="44"/>
        <v>0.14270494851971804</v>
      </c>
    </row>
    <row r="578" spans="1:11" x14ac:dyDescent="0.3">
      <c r="A578" s="5" t="s">
        <v>43</v>
      </c>
      <c r="B578" s="6">
        <v>40246</v>
      </c>
      <c r="C578" s="5">
        <f t="shared" si="43"/>
        <v>11</v>
      </c>
      <c r="D578" s="5">
        <f t="shared" ref="D578:D641" si="45">MONTH(B578)</f>
        <v>3</v>
      </c>
      <c r="E578" s="5">
        <f t="shared" ref="E578:E641" si="46">YEAR(B578)</f>
        <v>2010</v>
      </c>
      <c r="F578" s="5" t="s">
        <v>5</v>
      </c>
      <c r="G578" s="5" t="s">
        <v>5</v>
      </c>
      <c r="H578" s="7">
        <v>507303.73</v>
      </c>
      <c r="I578" s="7">
        <v>541646.5</v>
      </c>
      <c r="J578" s="7">
        <f t="shared" ref="J578:J641" si="47">I578-H578</f>
        <v>34342.770000000019</v>
      </c>
      <c r="K578" s="8">
        <f t="shared" si="44"/>
        <v>6.7696663692971504E-2</v>
      </c>
    </row>
    <row r="579" spans="1:11" x14ac:dyDescent="0.3">
      <c r="A579" s="5" t="s">
        <v>43</v>
      </c>
      <c r="B579" s="6">
        <v>40246</v>
      </c>
      <c r="C579" s="5">
        <f t="shared" ref="C579:C642" si="48">WEEKNUM(B579,1)</f>
        <v>11</v>
      </c>
      <c r="D579" s="5">
        <f t="shared" si="45"/>
        <v>3</v>
      </c>
      <c r="E579" s="5">
        <f t="shared" si="46"/>
        <v>2010</v>
      </c>
      <c r="F579" s="5" t="s">
        <v>20</v>
      </c>
      <c r="G579" s="5" t="s">
        <v>5</v>
      </c>
      <c r="H579" s="7">
        <v>89732.800000000003</v>
      </c>
      <c r="I579" s="7">
        <v>97150.89</v>
      </c>
      <c r="J579" s="7">
        <f t="shared" si="47"/>
        <v>7418.0899999999965</v>
      </c>
      <c r="K579" s="8">
        <f t="shared" ref="K579:K642" si="49">(I579-H579)/H579</f>
        <v>8.2668656277303243E-2</v>
      </c>
    </row>
    <row r="580" spans="1:11" x14ac:dyDescent="0.3">
      <c r="A580" s="5" t="s">
        <v>43</v>
      </c>
      <c r="B580" s="6">
        <v>40246</v>
      </c>
      <c r="C580" s="5">
        <f t="shared" si="48"/>
        <v>11</v>
      </c>
      <c r="D580" s="5">
        <f t="shared" si="45"/>
        <v>3</v>
      </c>
      <c r="E580" s="5">
        <f t="shared" si="46"/>
        <v>2010</v>
      </c>
      <c r="F580" s="5" t="s">
        <v>21</v>
      </c>
      <c r="G580" s="5" t="s">
        <v>5</v>
      </c>
      <c r="H580" s="7">
        <v>166634.54999999999</v>
      </c>
      <c r="I580" s="7">
        <v>177981.5</v>
      </c>
      <c r="J580" s="7">
        <f t="shared" si="47"/>
        <v>11346.950000000012</v>
      </c>
      <c r="K580" s="8">
        <f t="shared" si="49"/>
        <v>6.8094821872174846E-2</v>
      </c>
    </row>
    <row r="581" spans="1:11" x14ac:dyDescent="0.3">
      <c r="A581" s="5" t="s">
        <v>43</v>
      </c>
      <c r="B581" s="6">
        <v>40246</v>
      </c>
      <c r="C581" s="5">
        <f t="shared" si="48"/>
        <v>11</v>
      </c>
      <c r="D581" s="5">
        <f t="shared" si="45"/>
        <v>3</v>
      </c>
      <c r="E581" s="5">
        <f t="shared" si="46"/>
        <v>2010</v>
      </c>
      <c r="F581" s="5" t="s">
        <v>22</v>
      </c>
      <c r="G581" s="5" t="s">
        <v>8</v>
      </c>
      <c r="H581" s="7">
        <v>224477</v>
      </c>
      <c r="I581" s="7">
        <v>245526.06</v>
      </c>
      <c r="J581" s="7">
        <f t="shared" si="47"/>
        <v>21049.059999999998</v>
      </c>
      <c r="K581" s="8">
        <f t="shared" si="49"/>
        <v>9.3769339397800217E-2</v>
      </c>
    </row>
    <row r="582" spans="1:11" x14ac:dyDescent="0.3">
      <c r="A582" s="5" t="s">
        <v>43</v>
      </c>
      <c r="B582" s="6">
        <v>40246</v>
      </c>
      <c r="C582" s="5">
        <f t="shared" si="48"/>
        <v>11</v>
      </c>
      <c r="D582" s="5">
        <f t="shared" si="45"/>
        <v>3</v>
      </c>
      <c r="E582" s="5">
        <f t="shared" si="46"/>
        <v>2010</v>
      </c>
      <c r="F582" s="5" t="s">
        <v>23</v>
      </c>
      <c r="G582" s="5" t="s">
        <v>8</v>
      </c>
      <c r="H582" s="7">
        <v>165012.18</v>
      </c>
      <c r="I582" s="7">
        <v>174421.98</v>
      </c>
      <c r="J582" s="7">
        <f t="shared" si="47"/>
        <v>9409.8000000000175</v>
      </c>
      <c r="K582" s="8">
        <f t="shared" si="49"/>
        <v>5.7024881436025014E-2</v>
      </c>
    </row>
    <row r="583" spans="1:11" x14ac:dyDescent="0.3">
      <c r="A583" s="5" t="s">
        <v>43</v>
      </c>
      <c r="B583" s="6">
        <v>40246</v>
      </c>
      <c r="C583" s="5">
        <f t="shared" si="48"/>
        <v>11</v>
      </c>
      <c r="D583" s="5">
        <f t="shared" si="45"/>
        <v>3</v>
      </c>
      <c r="E583" s="5">
        <f t="shared" si="46"/>
        <v>2010</v>
      </c>
      <c r="F583" s="5" t="s">
        <v>24</v>
      </c>
      <c r="G583" s="5" t="s">
        <v>8</v>
      </c>
      <c r="H583" s="7">
        <v>130803.98</v>
      </c>
      <c r="I583" s="7">
        <v>137782.23000000001</v>
      </c>
      <c r="J583" s="7">
        <f t="shared" si="47"/>
        <v>6978.2500000000146</v>
      </c>
      <c r="K583" s="8">
        <f t="shared" si="49"/>
        <v>5.3348911860327301E-2</v>
      </c>
    </row>
    <row r="584" spans="1:11" x14ac:dyDescent="0.3">
      <c r="A584" s="5" t="s">
        <v>43</v>
      </c>
      <c r="B584" s="6">
        <v>40246</v>
      </c>
      <c r="C584" s="5">
        <f t="shared" si="48"/>
        <v>11</v>
      </c>
      <c r="D584" s="5">
        <f t="shared" si="45"/>
        <v>3</v>
      </c>
      <c r="E584" s="5">
        <f t="shared" si="46"/>
        <v>2010</v>
      </c>
      <c r="F584" s="5" t="s">
        <v>25</v>
      </c>
      <c r="G584" s="5" t="s">
        <v>8</v>
      </c>
      <c r="H584" s="7">
        <v>12133.8</v>
      </c>
      <c r="I584" s="7">
        <v>13019.8</v>
      </c>
      <c r="J584" s="7">
        <f t="shared" si="47"/>
        <v>886</v>
      </c>
      <c r="K584" s="8">
        <f t="shared" si="49"/>
        <v>7.3019169592378322E-2</v>
      </c>
    </row>
    <row r="585" spans="1:11" x14ac:dyDescent="0.3">
      <c r="A585" s="5" t="s">
        <v>43</v>
      </c>
      <c r="B585" s="6">
        <v>40246</v>
      </c>
      <c r="C585" s="5">
        <f t="shared" si="48"/>
        <v>11</v>
      </c>
      <c r="D585" s="5">
        <f t="shared" si="45"/>
        <v>3</v>
      </c>
      <c r="E585" s="5">
        <f t="shared" si="46"/>
        <v>2010</v>
      </c>
      <c r="F585" s="5" t="s">
        <v>26</v>
      </c>
      <c r="G585" s="5" t="s">
        <v>10</v>
      </c>
      <c r="H585" s="7">
        <v>5663.53</v>
      </c>
      <c r="I585" s="7">
        <v>6482.12</v>
      </c>
      <c r="J585" s="7">
        <f t="shared" si="47"/>
        <v>818.59000000000015</v>
      </c>
      <c r="K585" s="8">
        <f t="shared" si="49"/>
        <v>0.14453706433973162</v>
      </c>
    </row>
    <row r="586" spans="1:11" x14ac:dyDescent="0.3">
      <c r="A586" s="5" t="s">
        <v>43</v>
      </c>
      <c r="B586" s="6">
        <v>40246</v>
      </c>
      <c r="C586" s="5">
        <f t="shared" si="48"/>
        <v>11</v>
      </c>
      <c r="D586" s="5">
        <f t="shared" si="45"/>
        <v>3</v>
      </c>
      <c r="E586" s="5">
        <f t="shared" si="46"/>
        <v>2010</v>
      </c>
      <c r="F586" s="5" t="s">
        <v>27</v>
      </c>
      <c r="G586" s="5" t="s">
        <v>10</v>
      </c>
      <c r="H586" s="7">
        <v>91886.61</v>
      </c>
      <c r="I586" s="7">
        <v>101129.49</v>
      </c>
      <c r="J586" s="7">
        <f t="shared" si="47"/>
        <v>9242.8800000000047</v>
      </c>
      <c r="K586" s="8">
        <f t="shared" si="49"/>
        <v>0.10059006421066143</v>
      </c>
    </row>
    <row r="587" spans="1:11" x14ac:dyDescent="0.3">
      <c r="A587" s="5" t="s">
        <v>43</v>
      </c>
      <c r="B587" s="6">
        <v>40246</v>
      </c>
      <c r="C587" s="5">
        <f t="shared" si="48"/>
        <v>11</v>
      </c>
      <c r="D587" s="5">
        <f t="shared" si="45"/>
        <v>3</v>
      </c>
      <c r="E587" s="5">
        <f t="shared" si="46"/>
        <v>2010</v>
      </c>
      <c r="F587" s="5" t="s">
        <v>28</v>
      </c>
      <c r="G587" s="5" t="s">
        <v>10</v>
      </c>
      <c r="H587" s="7">
        <v>61025.31</v>
      </c>
      <c r="I587" s="7">
        <v>69822.83</v>
      </c>
      <c r="J587" s="7">
        <f t="shared" si="47"/>
        <v>8797.5200000000041</v>
      </c>
      <c r="K587" s="8">
        <f t="shared" si="49"/>
        <v>0.14416182400384372</v>
      </c>
    </row>
    <row r="588" spans="1:11" x14ac:dyDescent="0.3">
      <c r="A588" s="5" t="s">
        <v>43</v>
      </c>
      <c r="B588" s="6">
        <v>40246</v>
      </c>
      <c r="C588" s="5">
        <f t="shared" si="48"/>
        <v>11</v>
      </c>
      <c r="D588" s="5">
        <f t="shared" si="45"/>
        <v>3</v>
      </c>
      <c r="E588" s="5">
        <f t="shared" si="46"/>
        <v>2010</v>
      </c>
      <c r="F588" s="5" t="s">
        <v>29</v>
      </c>
      <c r="G588" s="5" t="s">
        <v>10</v>
      </c>
      <c r="H588" s="7">
        <v>633274.31999999995</v>
      </c>
      <c r="I588" s="7">
        <v>690651.03</v>
      </c>
      <c r="J588" s="7">
        <f t="shared" si="47"/>
        <v>57376.710000000079</v>
      </c>
      <c r="K588" s="8">
        <f t="shared" si="49"/>
        <v>9.0603247578395538E-2</v>
      </c>
    </row>
    <row r="589" spans="1:11" x14ac:dyDescent="0.3">
      <c r="A589" s="5" t="s">
        <v>43</v>
      </c>
      <c r="B589" s="6">
        <v>40246</v>
      </c>
      <c r="C589" s="5">
        <f t="shared" si="48"/>
        <v>11</v>
      </c>
      <c r="D589" s="5">
        <f t="shared" si="45"/>
        <v>3</v>
      </c>
      <c r="E589" s="5">
        <f t="shared" si="46"/>
        <v>2010</v>
      </c>
      <c r="F589" s="5" t="s">
        <v>30</v>
      </c>
      <c r="G589" s="5" t="s">
        <v>10</v>
      </c>
      <c r="H589" s="7">
        <v>46700.07</v>
      </c>
      <c r="I589" s="7">
        <v>52817.11</v>
      </c>
      <c r="J589" s="7">
        <f t="shared" si="47"/>
        <v>6117.0400000000009</v>
      </c>
      <c r="K589" s="8">
        <f t="shared" si="49"/>
        <v>0.13098567089942265</v>
      </c>
    </row>
    <row r="590" spans="1:11" x14ac:dyDescent="0.3">
      <c r="A590" s="5" t="s">
        <v>43</v>
      </c>
      <c r="B590" s="6">
        <v>40246</v>
      </c>
      <c r="C590" s="5">
        <f t="shared" si="48"/>
        <v>11</v>
      </c>
      <c r="D590" s="5">
        <f t="shared" si="45"/>
        <v>3</v>
      </c>
      <c r="E590" s="5">
        <f t="shared" si="46"/>
        <v>2010</v>
      </c>
      <c r="F590" s="5" t="s">
        <v>9</v>
      </c>
      <c r="G590" s="5" t="s">
        <v>9</v>
      </c>
      <c r="H590" s="7">
        <v>550172.62</v>
      </c>
      <c r="I590" s="7">
        <v>664429.75</v>
      </c>
      <c r="J590" s="7">
        <f t="shared" si="47"/>
        <v>114257.13</v>
      </c>
      <c r="K590" s="8">
        <f t="shared" si="49"/>
        <v>0.20767505660314395</v>
      </c>
    </row>
    <row r="591" spans="1:11" x14ac:dyDescent="0.3">
      <c r="A591" s="5" t="s">
        <v>43</v>
      </c>
      <c r="B591" s="6">
        <v>40246</v>
      </c>
      <c r="C591" s="5">
        <f t="shared" si="48"/>
        <v>11</v>
      </c>
      <c r="D591" s="5">
        <f t="shared" si="45"/>
        <v>3</v>
      </c>
      <c r="E591" s="5">
        <f t="shared" si="46"/>
        <v>2010</v>
      </c>
      <c r="F591" s="5" t="s">
        <v>31</v>
      </c>
      <c r="G591" s="5" t="s">
        <v>7</v>
      </c>
      <c r="H591" s="7">
        <v>10811.04</v>
      </c>
      <c r="I591" s="7">
        <v>23660.33</v>
      </c>
      <c r="J591" s="7">
        <f t="shared" si="47"/>
        <v>12849.29</v>
      </c>
      <c r="K591" s="8">
        <f t="shared" si="49"/>
        <v>1.1885341280764847</v>
      </c>
    </row>
    <row r="592" spans="1:11" x14ac:dyDescent="0.3">
      <c r="A592" s="5" t="s">
        <v>43</v>
      </c>
      <c r="B592" s="6">
        <v>40246</v>
      </c>
      <c r="C592" s="5">
        <f t="shared" si="48"/>
        <v>11</v>
      </c>
      <c r="D592" s="5">
        <f t="shared" si="45"/>
        <v>3</v>
      </c>
      <c r="E592" s="5">
        <f t="shared" si="46"/>
        <v>2010</v>
      </c>
      <c r="F592" s="5" t="s">
        <v>33</v>
      </c>
      <c r="G592" s="5" t="s">
        <v>7</v>
      </c>
      <c r="H592" s="7">
        <v>161290.73000000001</v>
      </c>
      <c r="I592" s="7">
        <v>310800.42</v>
      </c>
      <c r="J592" s="7">
        <f t="shared" si="47"/>
        <v>149509.68999999997</v>
      </c>
      <c r="K592" s="8">
        <f t="shared" si="49"/>
        <v>0.92695773650475732</v>
      </c>
    </row>
    <row r="593" spans="1:11" x14ac:dyDescent="0.3">
      <c r="A593" s="5" t="s">
        <v>43</v>
      </c>
      <c r="B593" s="6">
        <v>40246</v>
      </c>
      <c r="C593" s="5">
        <f t="shared" si="48"/>
        <v>11</v>
      </c>
      <c r="D593" s="5">
        <f t="shared" si="45"/>
        <v>3</v>
      </c>
      <c r="E593" s="5">
        <f t="shared" si="46"/>
        <v>2010</v>
      </c>
      <c r="F593" s="5" t="s">
        <v>34</v>
      </c>
      <c r="G593" s="5" t="s">
        <v>7</v>
      </c>
      <c r="H593" s="7">
        <v>76</v>
      </c>
      <c r="I593" s="7">
        <v>236</v>
      </c>
      <c r="J593" s="7">
        <f t="shared" si="47"/>
        <v>160</v>
      </c>
      <c r="K593" s="8">
        <f t="shared" si="49"/>
        <v>2.1052631578947367</v>
      </c>
    </row>
    <row r="594" spans="1:11" x14ac:dyDescent="0.3">
      <c r="A594" s="5" t="s">
        <v>43</v>
      </c>
      <c r="B594" s="6">
        <v>40246</v>
      </c>
      <c r="C594" s="5">
        <f t="shared" si="48"/>
        <v>11</v>
      </c>
      <c r="D594" s="5">
        <f t="shared" si="45"/>
        <v>3</v>
      </c>
      <c r="E594" s="5">
        <f t="shared" si="46"/>
        <v>2010</v>
      </c>
      <c r="F594" s="5" t="s">
        <v>35</v>
      </c>
      <c r="G594" s="5" t="s">
        <v>11</v>
      </c>
      <c r="H594" s="7">
        <v>3222.76</v>
      </c>
      <c r="I594" s="7">
        <v>3953.13</v>
      </c>
      <c r="J594" s="7">
        <f t="shared" si="47"/>
        <v>730.36999999999989</v>
      </c>
      <c r="K594" s="8">
        <f t="shared" si="49"/>
        <v>0.22662872817088453</v>
      </c>
    </row>
    <row r="595" spans="1:11" x14ac:dyDescent="0.3">
      <c r="A595" s="5" t="s">
        <v>43</v>
      </c>
      <c r="B595" s="6">
        <v>40246</v>
      </c>
      <c r="C595" s="5">
        <f t="shared" si="48"/>
        <v>11</v>
      </c>
      <c r="D595" s="5">
        <f t="shared" si="45"/>
        <v>3</v>
      </c>
      <c r="E595" s="5">
        <f t="shared" si="46"/>
        <v>2010</v>
      </c>
      <c r="F595" s="5" t="s">
        <v>36</v>
      </c>
      <c r="G595" s="5" t="s">
        <v>11</v>
      </c>
      <c r="H595" s="7">
        <v>164779.69</v>
      </c>
      <c r="I595" s="7">
        <v>179584.05</v>
      </c>
      <c r="J595" s="7">
        <f t="shared" si="47"/>
        <v>14804.359999999986</v>
      </c>
      <c r="K595" s="8">
        <f t="shared" si="49"/>
        <v>8.9843353874497434E-2</v>
      </c>
    </row>
    <row r="596" spans="1:11" x14ac:dyDescent="0.3">
      <c r="A596" s="5" t="s">
        <v>43</v>
      </c>
      <c r="B596" s="6">
        <v>40246</v>
      </c>
      <c r="C596" s="5">
        <f t="shared" si="48"/>
        <v>11</v>
      </c>
      <c r="D596" s="5">
        <f t="shared" si="45"/>
        <v>3</v>
      </c>
      <c r="E596" s="5">
        <f t="shared" si="46"/>
        <v>2010</v>
      </c>
      <c r="F596" s="5" t="s">
        <v>37</v>
      </c>
      <c r="G596" s="5" t="s">
        <v>11</v>
      </c>
      <c r="H596" s="7">
        <v>342734.27</v>
      </c>
      <c r="I596" s="7">
        <v>367672.84</v>
      </c>
      <c r="J596" s="7">
        <f t="shared" si="47"/>
        <v>24938.570000000007</v>
      </c>
      <c r="K596" s="8">
        <f t="shared" si="49"/>
        <v>7.2763572781910618E-2</v>
      </c>
    </row>
    <row r="597" spans="1:11" x14ac:dyDescent="0.3">
      <c r="A597" s="5" t="s">
        <v>43</v>
      </c>
      <c r="B597" s="6">
        <v>40246</v>
      </c>
      <c r="C597" s="5">
        <f t="shared" si="48"/>
        <v>11</v>
      </c>
      <c r="D597" s="5">
        <f t="shared" si="45"/>
        <v>3</v>
      </c>
      <c r="E597" s="5">
        <f t="shared" si="46"/>
        <v>2010</v>
      </c>
      <c r="F597" s="5" t="s">
        <v>38</v>
      </c>
      <c r="G597" s="5" t="s">
        <v>11</v>
      </c>
      <c r="H597" s="7">
        <v>278539.59999999998</v>
      </c>
      <c r="I597" s="7">
        <v>295942.15999999997</v>
      </c>
      <c r="J597" s="7">
        <f t="shared" si="47"/>
        <v>17402.559999999998</v>
      </c>
      <c r="K597" s="8">
        <f t="shared" si="49"/>
        <v>6.247786670189804E-2</v>
      </c>
    </row>
    <row r="598" spans="1:11" x14ac:dyDescent="0.3">
      <c r="A598" s="5" t="s">
        <v>43</v>
      </c>
      <c r="B598" s="6">
        <v>40247</v>
      </c>
      <c r="C598" s="5">
        <f t="shared" si="48"/>
        <v>11</v>
      </c>
      <c r="D598" s="5">
        <f t="shared" si="45"/>
        <v>3</v>
      </c>
      <c r="E598" s="5">
        <f t="shared" si="46"/>
        <v>2010</v>
      </c>
      <c r="F598" s="5" t="s">
        <v>14</v>
      </c>
      <c r="G598" s="5" t="s">
        <v>6</v>
      </c>
      <c r="H598" s="7">
        <v>8424.9500000000007</v>
      </c>
      <c r="I598" s="7">
        <v>10356.65</v>
      </c>
      <c r="J598" s="7">
        <f t="shared" si="47"/>
        <v>1931.6999999999989</v>
      </c>
      <c r="K598" s="8">
        <f t="shared" si="49"/>
        <v>0.22928325984130454</v>
      </c>
    </row>
    <row r="599" spans="1:11" x14ac:dyDescent="0.3">
      <c r="A599" s="5" t="s">
        <v>43</v>
      </c>
      <c r="B599" s="6">
        <v>40247</v>
      </c>
      <c r="C599" s="5">
        <f t="shared" si="48"/>
        <v>11</v>
      </c>
      <c r="D599" s="5">
        <f t="shared" si="45"/>
        <v>3</v>
      </c>
      <c r="E599" s="5">
        <f t="shared" si="46"/>
        <v>2010</v>
      </c>
      <c r="F599" s="5" t="s">
        <v>15</v>
      </c>
      <c r="G599" s="5" t="s">
        <v>6</v>
      </c>
      <c r="H599" s="7">
        <v>182760.27</v>
      </c>
      <c r="I599" s="7">
        <v>285248.92</v>
      </c>
      <c r="J599" s="7">
        <f t="shared" si="47"/>
        <v>102488.65</v>
      </c>
      <c r="K599" s="8">
        <f t="shared" si="49"/>
        <v>0.56078189203813278</v>
      </c>
    </row>
    <row r="600" spans="1:11" x14ac:dyDescent="0.3">
      <c r="A600" s="5" t="s">
        <v>43</v>
      </c>
      <c r="B600" s="6">
        <v>40247</v>
      </c>
      <c r="C600" s="5">
        <f t="shared" si="48"/>
        <v>11</v>
      </c>
      <c r="D600" s="5">
        <f t="shared" si="45"/>
        <v>3</v>
      </c>
      <c r="E600" s="5">
        <f t="shared" si="46"/>
        <v>2010</v>
      </c>
      <c r="F600" s="5" t="s">
        <v>16</v>
      </c>
      <c r="G600" s="5" t="s">
        <v>6</v>
      </c>
      <c r="H600" s="7">
        <v>54611.24</v>
      </c>
      <c r="I600" s="7">
        <v>61444.23</v>
      </c>
      <c r="J600" s="7">
        <f t="shared" si="47"/>
        <v>6832.9900000000052</v>
      </c>
      <c r="K600" s="8">
        <f t="shared" si="49"/>
        <v>0.12512057957299644</v>
      </c>
    </row>
    <row r="601" spans="1:11" x14ac:dyDescent="0.3">
      <c r="A601" s="5" t="s">
        <v>43</v>
      </c>
      <c r="B601" s="6">
        <v>40247</v>
      </c>
      <c r="C601" s="5">
        <f t="shared" si="48"/>
        <v>11</v>
      </c>
      <c r="D601" s="5">
        <f t="shared" si="45"/>
        <v>3</v>
      </c>
      <c r="E601" s="5">
        <f t="shared" si="46"/>
        <v>2010</v>
      </c>
      <c r="F601" s="5" t="s">
        <v>19</v>
      </c>
      <c r="G601" s="5" t="s">
        <v>5</v>
      </c>
      <c r="H601" s="7">
        <v>177154.64</v>
      </c>
      <c r="I601" s="7">
        <v>193270.68</v>
      </c>
      <c r="J601" s="7">
        <f t="shared" si="47"/>
        <v>16116.039999999979</v>
      </c>
      <c r="K601" s="8">
        <f t="shared" si="49"/>
        <v>9.0971594082999901E-2</v>
      </c>
    </row>
    <row r="602" spans="1:11" x14ac:dyDescent="0.3">
      <c r="A602" s="5" t="s">
        <v>43</v>
      </c>
      <c r="B602" s="6">
        <v>40247</v>
      </c>
      <c r="C602" s="5">
        <f t="shared" si="48"/>
        <v>11</v>
      </c>
      <c r="D602" s="5">
        <f t="shared" si="45"/>
        <v>3</v>
      </c>
      <c r="E602" s="5">
        <f t="shared" si="46"/>
        <v>2010</v>
      </c>
      <c r="F602" s="5" t="s">
        <v>5</v>
      </c>
      <c r="G602" s="5" t="s">
        <v>5</v>
      </c>
      <c r="H602" s="7">
        <v>717239.49</v>
      </c>
      <c r="I602" s="7">
        <v>764565.57</v>
      </c>
      <c r="J602" s="7">
        <f t="shared" si="47"/>
        <v>47326.079999999958</v>
      </c>
      <c r="K602" s="8">
        <f t="shared" si="49"/>
        <v>6.5983650732895305E-2</v>
      </c>
    </row>
    <row r="603" spans="1:11" x14ac:dyDescent="0.3">
      <c r="A603" s="5" t="s">
        <v>43</v>
      </c>
      <c r="B603" s="6">
        <v>40247</v>
      </c>
      <c r="C603" s="5">
        <f t="shared" si="48"/>
        <v>11</v>
      </c>
      <c r="D603" s="5">
        <f t="shared" si="45"/>
        <v>3</v>
      </c>
      <c r="E603" s="5">
        <f t="shared" si="46"/>
        <v>2010</v>
      </c>
      <c r="F603" s="5" t="s">
        <v>20</v>
      </c>
      <c r="G603" s="5" t="s">
        <v>5</v>
      </c>
      <c r="H603" s="7">
        <v>95300</v>
      </c>
      <c r="I603" s="7">
        <v>103994.79</v>
      </c>
      <c r="J603" s="7">
        <f t="shared" si="47"/>
        <v>8694.7899999999936</v>
      </c>
      <c r="K603" s="8">
        <f t="shared" si="49"/>
        <v>9.1235991605456382E-2</v>
      </c>
    </row>
    <row r="604" spans="1:11" x14ac:dyDescent="0.3">
      <c r="A604" s="5" t="s">
        <v>43</v>
      </c>
      <c r="B604" s="6">
        <v>40247</v>
      </c>
      <c r="C604" s="5">
        <f t="shared" si="48"/>
        <v>11</v>
      </c>
      <c r="D604" s="5">
        <f t="shared" si="45"/>
        <v>3</v>
      </c>
      <c r="E604" s="5">
        <f t="shared" si="46"/>
        <v>2010</v>
      </c>
      <c r="F604" s="5" t="s">
        <v>21</v>
      </c>
      <c r="G604" s="5" t="s">
        <v>5</v>
      </c>
      <c r="H604" s="7">
        <v>301641.39</v>
      </c>
      <c r="I604" s="7">
        <v>318922.82</v>
      </c>
      <c r="J604" s="7">
        <f t="shared" si="47"/>
        <v>17281.429999999993</v>
      </c>
      <c r="K604" s="8">
        <f t="shared" si="49"/>
        <v>5.7291308729216478E-2</v>
      </c>
    </row>
    <row r="605" spans="1:11" x14ac:dyDescent="0.3">
      <c r="A605" s="5" t="s">
        <v>43</v>
      </c>
      <c r="B605" s="6">
        <v>40247</v>
      </c>
      <c r="C605" s="5">
        <f t="shared" si="48"/>
        <v>11</v>
      </c>
      <c r="D605" s="5">
        <f t="shared" si="45"/>
        <v>3</v>
      </c>
      <c r="E605" s="5">
        <f t="shared" si="46"/>
        <v>2010</v>
      </c>
      <c r="F605" s="5" t="s">
        <v>22</v>
      </c>
      <c r="G605" s="5" t="s">
        <v>8</v>
      </c>
      <c r="H605" s="7">
        <v>317141.46999999997</v>
      </c>
      <c r="I605" s="7">
        <v>341982.57</v>
      </c>
      <c r="J605" s="7">
        <f t="shared" si="47"/>
        <v>24841.100000000035</v>
      </c>
      <c r="K605" s="8">
        <f t="shared" si="49"/>
        <v>7.8328135390177883E-2</v>
      </c>
    </row>
    <row r="606" spans="1:11" x14ac:dyDescent="0.3">
      <c r="A606" s="5" t="s">
        <v>43</v>
      </c>
      <c r="B606" s="6">
        <v>40247</v>
      </c>
      <c r="C606" s="5">
        <f t="shared" si="48"/>
        <v>11</v>
      </c>
      <c r="D606" s="5">
        <f t="shared" si="45"/>
        <v>3</v>
      </c>
      <c r="E606" s="5">
        <f t="shared" si="46"/>
        <v>2010</v>
      </c>
      <c r="F606" s="5" t="s">
        <v>23</v>
      </c>
      <c r="G606" s="5" t="s">
        <v>8</v>
      </c>
      <c r="H606" s="7">
        <v>150426</v>
      </c>
      <c r="I606" s="7">
        <v>158994.38</v>
      </c>
      <c r="J606" s="7">
        <f t="shared" si="47"/>
        <v>8568.3800000000047</v>
      </c>
      <c r="K606" s="8">
        <f t="shared" si="49"/>
        <v>5.6960764761410959E-2</v>
      </c>
    </row>
    <row r="607" spans="1:11" x14ac:dyDescent="0.3">
      <c r="A607" s="5" t="s">
        <v>43</v>
      </c>
      <c r="B607" s="6">
        <v>40247</v>
      </c>
      <c r="C607" s="5">
        <f t="shared" si="48"/>
        <v>11</v>
      </c>
      <c r="D607" s="5">
        <f t="shared" si="45"/>
        <v>3</v>
      </c>
      <c r="E607" s="5">
        <f t="shared" si="46"/>
        <v>2010</v>
      </c>
      <c r="F607" s="5" t="s">
        <v>24</v>
      </c>
      <c r="G607" s="5" t="s">
        <v>8</v>
      </c>
      <c r="H607" s="7">
        <v>154565.48000000001</v>
      </c>
      <c r="I607" s="7">
        <v>163201.44</v>
      </c>
      <c r="J607" s="7">
        <f t="shared" si="47"/>
        <v>8635.9599999999919</v>
      </c>
      <c r="K607" s="8">
        <f t="shared" si="49"/>
        <v>5.5872501414934252E-2</v>
      </c>
    </row>
    <row r="608" spans="1:11" x14ac:dyDescent="0.3">
      <c r="A608" s="5" t="s">
        <v>43</v>
      </c>
      <c r="B608" s="6">
        <v>40247</v>
      </c>
      <c r="C608" s="5">
        <f t="shared" si="48"/>
        <v>11</v>
      </c>
      <c r="D608" s="5">
        <f t="shared" si="45"/>
        <v>3</v>
      </c>
      <c r="E608" s="5">
        <f t="shared" si="46"/>
        <v>2010</v>
      </c>
      <c r="F608" s="5" t="s">
        <v>25</v>
      </c>
      <c r="G608" s="5" t="s">
        <v>8</v>
      </c>
      <c r="H608" s="7">
        <v>18797.8</v>
      </c>
      <c r="I608" s="7">
        <v>19124.55</v>
      </c>
      <c r="J608" s="7">
        <f t="shared" si="47"/>
        <v>326.75</v>
      </c>
      <c r="K608" s="8">
        <f t="shared" si="49"/>
        <v>1.7382353254104203E-2</v>
      </c>
    </row>
    <row r="609" spans="1:11" x14ac:dyDescent="0.3">
      <c r="A609" s="5" t="s">
        <v>43</v>
      </c>
      <c r="B609" s="6">
        <v>40247</v>
      </c>
      <c r="C609" s="5">
        <f t="shared" si="48"/>
        <v>11</v>
      </c>
      <c r="D609" s="5">
        <f t="shared" si="45"/>
        <v>3</v>
      </c>
      <c r="E609" s="5">
        <f t="shared" si="46"/>
        <v>2010</v>
      </c>
      <c r="F609" s="5" t="s">
        <v>26</v>
      </c>
      <c r="G609" s="5" t="s">
        <v>10</v>
      </c>
      <c r="H609" s="7">
        <v>12254</v>
      </c>
      <c r="I609" s="7">
        <v>13772.87</v>
      </c>
      <c r="J609" s="7">
        <f t="shared" si="47"/>
        <v>1518.8700000000008</v>
      </c>
      <c r="K609" s="8">
        <f t="shared" si="49"/>
        <v>0.12394891464011758</v>
      </c>
    </row>
    <row r="610" spans="1:11" x14ac:dyDescent="0.3">
      <c r="A610" s="5" t="s">
        <v>43</v>
      </c>
      <c r="B610" s="6">
        <v>40247</v>
      </c>
      <c r="C610" s="5">
        <f t="shared" si="48"/>
        <v>11</v>
      </c>
      <c r="D610" s="5">
        <f t="shared" si="45"/>
        <v>3</v>
      </c>
      <c r="E610" s="5">
        <f t="shared" si="46"/>
        <v>2010</v>
      </c>
      <c r="F610" s="5" t="s">
        <v>27</v>
      </c>
      <c r="G610" s="5" t="s">
        <v>10</v>
      </c>
      <c r="H610" s="7">
        <v>205830.02</v>
      </c>
      <c r="I610" s="7">
        <v>230123.26</v>
      </c>
      <c r="J610" s="7">
        <f t="shared" si="47"/>
        <v>24293.24000000002</v>
      </c>
      <c r="K610" s="8">
        <f t="shared" si="49"/>
        <v>0.11802573793657514</v>
      </c>
    </row>
    <row r="611" spans="1:11" x14ac:dyDescent="0.3">
      <c r="A611" s="5" t="s">
        <v>43</v>
      </c>
      <c r="B611" s="6">
        <v>40247</v>
      </c>
      <c r="C611" s="5">
        <f t="shared" si="48"/>
        <v>11</v>
      </c>
      <c r="D611" s="5">
        <f t="shared" si="45"/>
        <v>3</v>
      </c>
      <c r="E611" s="5">
        <f t="shared" si="46"/>
        <v>2010</v>
      </c>
      <c r="F611" s="5" t="s">
        <v>28</v>
      </c>
      <c r="G611" s="5" t="s">
        <v>10</v>
      </c>
      <c r="H611" s="7">
        <v>95914.47</v>
      </c>
      <c r="I611" s="7">
        <v>105938.71</v>
      </c>
      <c r="J611" s="7">
        <f t="shared" si="47"/>
        <v>10024.240000000005</v>
      </c>
      <c r="K611" s="8">
        <f t="shared" si="49"/>
        <v>0.10451228057664297</v>
      </c>
    </row>
    <row r="612" spans="1:11" x14ac:dyDescent="0.3">
      <c r="A612" s="5" t="s">
        <v>43</v>
      </c>
      <c r="B612" s="6">
        <v>40247</v>
      </c>
      <c r="C612" s="5">
        <f t="shared" si="48"/>
        <v>11</v>
      </c>
      <c r="D612" s="5">
        <f t="shared" si="45"/>
        <v>3</v>
      </c>
      <c r="E612" s="5">
        <f t="shared" si="46"/>
        <v>2010</v>
      </c>
      <c r="F612" s="5" t="s">
        <v>29</v>
      </c>
      <c r="G612" s="5" t="s">
        <v>10</v>
      </c>
      <c r="H612" s="7">
        <v>696036.38</v>
      </c>
      <c r="I612" s="7">
        <v>763712.27</v>
      </c>
      <c r="J612" s="7">
        <f t="shared" si="47"/>
        <v>67675.890000000014</v>
      </c>
      <c r="K612" s="8">
        <f t="shared" si="49"/>
        <v>9.7230391894170834E-2</v>
      </c>
    </row>
    <row r="613" spans="1:11" x14ac:dyDescent="0.3">
      <c r="A613" s="5" t="s">
        <v>43</v>
      </c>
      <c r="B613" s="6">
        <v>40247</v>
      </c>
      <c r="C613" s="5">
        <f t="shared" si="48"/>
        <v>11</v>
      </c>
      <c r="D613" s="5">
        <f t="shared" si="45"/>
        <v>3</v>
      </c>
      <c r="E613" s="5">
        <f t="shared" si="46"/>
        <v>2010</v>
      </c>
      <c r="F613" s="5" t="s">
        <v>30</v>
      </c>
      <c r="G613" s="5" t="s">
        <v>10</v>
      </c>
      <c r="H613" s="7">
        <v>50702.879999999997</v>
      </c>
      <c r="I613" s="7">
        <v>57572.25</v>
      </c>
      <c r="J613" s="7">
        <f t="shared" si="47"/>
        <v>6869.3700000000026</v>
      </c>
      <c r="K613" s="8">
        <f t="shared" si="49"/>
        <v>0.13548283647792794</v>
      </c>
    </row>
    <row r="614" spans="1:11" x14ac:dyDescent="0.3">
      <c r="A614" s="5" t="s">
        <v>43</v>
      </c>
      <c r="B614" s="6">
        <v>40247</v>
      </c>
      <c r="C614" s="5">
        <f t="shared" si="48"/>
        <v>11</v>
      </c>
      <c r="D614" s="5">
        <f t="shared" si="45"/>
        <v>3</v>
      </c>
      <c r="E614" s="5">
        <f t="shared" si="46"/>
        <v>2010</v>
      </c>
      <c r="F614" s="5" t="s">
        <v>9</v>
      </c>
      <c r="G614" s="5" t="s">
        <v>9</v>
      </c>
      <c r="H614" s="7">
        <v>719956.8</v>
      </c>
      <c r="I614" s="7">
        <v>849023.66</v>
      </c>
      <c r="J614" s="7">
        <f t="shared" si="47"/>
        <v>129066.85999999999</v>
      </c>
      <c r="K614" s="8">
        <f t="shared" si="49"/>
        <v>0.17927028399481743</v>
      </c>
    </row>
    <row r="615" spans="1:11" x14ac:dyDescent="0.3">
      <c r="A615" s="5" t="s">
        <v>43</v>
      </c>
      <c r="B615" s="6">
        <v>40247</v>
      </c>
      <c r="C615" s="5">
        <f t="shared" si="48"/>
        <v>11</v>
      </c>
      <c r="D615" s="5">
        <f t="shared" si="45"/>
        <v>3</v>
      </c>
      <c r="E615" s="5">
        <f t="shared" si="46"/>
        <v>2010</v>
      </c>
      <c r="F615" s="5" t="s">
        <v>31</v>
      </c>
      <c r="G615" s="5" t="s">
        <v>7</v>
      </c>
      <c r="H615" s="7">
        <v>9596.2099999999991</v>
      </c>
      <c r="I615" s="7">
        <v>21325.81</v>
      </c>
      <c r="J615" s="7">
        <f t="shared" si="47"/>
        <v>11729.600000000002</v>
      </c>
      <c r="K615" s="8">
        <f t="shared" si="49"/>
        <v>1.2223158934621068</v>
      </c>
    </row>
    <row r="616" spans="1:11" x14ac:dyDescent="0.3">
      <c r="A616" s="5" t="s">
        <v>43</v>
      </c>
      <c r="B616" s="6">
        <v>40247</v>
      </c>
      <c r="C616" s="5">
        <f t="shared" si="48"/>
        <v>11</v>
      </c>
      <c r="D616" s="5">
        <f t="shared" si="45"/>
        <v>3</v>
      </c>
      <c r="E616" s="5">
        <f t="shared" si="46"/>
        <v>2010</v>
      </c>
      <c r="F616" s="5" t="s">
        <v>33</v>
      </c>
      <c r="G616" s="5" t="s">
        <v>7</v>
      </c>
      <c r="H616" s="7">
        <v>181572.47</v>
      </c>
      <c r="I616" s="7">
        <v>355177.66</v>
      </c>
      <c r="J616" s="7">
        <f t="shared" si="47"/>
        <v>173605.18999999997</v>
      </c>
      <c r="K616" s="8">
        <f t="shared" si="49"/>
        <v>0.95612066080281866</v>
      </c>
    </row>
    <row r="617" spans="1:11" x14ac:dyDescent="0.3">
      <c r="A617" s="5" t="s">
        <v>43</v>
      </c>
      <c r="B617" s="6">
        <v>40247</v>
      </c>
      <c r="C617" s="5">
        <f t="shared" si="48"/>
        <v>11</v>
      </c>
      <c r="D617" s="5">
        <f t="shared" si="45"/>
        <v>3</v>
      </c>
      <c r="E617" s="5">
        <f t="shared" si="46"/>
        <v>2010</v>
      </c>
      <c r="F617" s="5" t="s">
        <v>34</v>
      </c>
      <c r="G617" s="5" t="s">
        <v>7</v>
      </c>
      <c r="H617" s="7">
        <v>38</v>
      </c>
      <c r="I617" s="7">
        <v>117.97</v>
      </c>
      <c r="J617" s="7">
        <f t="shared" si="47"/>
        <v>79.97</v>
      </c>
      <c r="K617" s="8">
        <f t="shared" si="49"/>
        <v>2.1044736842105265</v>
      </c>
    </row>
    <row r="618" spans="1:11" x14ac:dyDescent="0.3">
      <c r="A618" s="5" t="s">
        <v>43</v>
      </c>
      <c r="B618" s="6">
        <v>40247</v>
      </c>
      <c r="C618" s="5">
        <f t="shared" si="48"/>
        <v>11</v>
      </c>
      <c r="D618" s="5">
        <f t="shared" si="45"/>
        <v>3</v>
      </c>
      <c r="E618" s="5">
        <f t="shared" si="46"/>
        <v>2010</v>
      </c>
      <c r="F618" s="5" t="s">
        <v>35</v>
      </c>
      <c r="G618" s="5" t="s">
        <v>11</v>
      </c>
      <c r="H618" s="7">
        <v>3551.72</v>
      </c>
      <c r="I618" s="7">
        <v>4540.99</v>
      </c>
      <c r="J618" s="7">
        <f t="shared" si="47"/>
        <v>989.27</v>
      </c>
      <c r="K618" s="8">
        <f t="shared" si="49"/>
        <v>0.27853265460115101</v>
      </c>
    </row>
    <row r="619" spans="1:11" x14ac:dyDescent="0.3">
      <c r="A619" s="5" t="s">
        <v>43</v>
      </c>
      <c r="B619" s="6">
        <v>40247</v>
      </c>
      <c r="C619" s="5">
        <f t="shared" si="48"/>
        <v>11</v>
      </c>
      <c r="D619" s="5">
        <f t="shared" si="45"/>
        <v>3</v>
      </c>
      <c r="E619" s="5">
        <f t="shared" si="46"/>
        <v>2010</v>
      </c>
      <c r="F619" s="5" t="s">
        <v>36</v>
      </c>
      <c r="G619" s="5" t="s">
        <v>11</v>
      </c>
      <c r="H619" s="7">
        <v>160095.20000000001</v>
      </c>
      <c r="I619" s="7">
        <v>174621.31</v>
      </c>
      <c r="J619" s="7">
        <f t="shared" si="47"/>
        <v>14526.109999999986</v>
      </c>
      <c r="K619" s="8">
        <f t="shared" si="49"/>
        <v>9.0734200650612787E-2</v>
      </c>
    </row>
    <row r="620" spans="1:11" x14ac:dyDescent="0.3">
      <c r="A620" s="5" t="s">
        <v>43</v>
      </c>
      <c r="B620" s="6">
        <v>40247</v>
      </c>
      <c r="C620" s="5">
        <f t="shared" si="48"/>
        <v>11</v>
      </c>
      <c r="D620" s="5">
        <f t="shared" si="45"/>
        <v>3</v>
      </c>
      <c r="E620" s="5">
        <f t="shared" si="46"/>
        <v>2010</v>
      </c>
      <c r="F620" s="5" t="s">
        <v>37</v>
      </c>
      <c r="G620" s="5" t="s">
        <v>11</v>
      </c>
      <c r="H620" s="7">
        <v>379995.82</v>
      </c>
      <c r="I620" s="7">
        <v>406075.34</v>
      </c>
      <c r="J620" s="7">
        <f t="shared" si="47"/>
        <v>26079.520000000019</v>
      </c>
      <c r="K620" s="8">
        <f t="shared" si="49"/>
        <v>6.863107073125177E-2</v>
      </c>
    </row>
    <row r="621" spans="1:11" x14ac:dyDescent="0.3">
      <c r="A621" s="5" t="s">
        <v>43</v>
      </c>
      <c r="B621" s="6">
        <v>40247</v>
      </c>
      <c r="C621" s="5">
        <f t="shared" si="48"/>
        <v>11</v>
      </c>
      <c r="D621" s="5">
        <f t="shared" si="45"/>
        <v>3</v>
      </c>
      <c r="E621" s="5">
        <f t="shared" si="46"/>
        <v>2010</v>
      </c>
      <c r="F621" s="5" t="s">
        <v>38</v>
      </c>
      <c r="G621" s="5" t="s">
        <v>11</v>
      </c>
      <c r="H621" s="7">
        <v>308977.14</v>
      </c>
      <c r="I621" s="7">
        <v>325594.06</v>
      </c>
      <c r="J621" s="7">
        <f t="shared" si="47"/>
        <v>16616.919999999984</v>
      </c>
      <c r="K621" s="8">
        <f t="shared" si="49"/>
        <v>5.3780418836163683E-2</v>
      </c>
    </row>
    <row r="622" spans="1:11" x14ac:dyDescent="0.3">
      <c r="A622" s="5" t="s">
        <v>43</v>
      </c>
      <c r="B622" s="6">
        <v>40248</v>
      </c>
      <c r="C622" s="5">
        <f t="shared" si="48"/>
        <v>11</v>
      </c>
      <c r="D622" s="5">
        <f t="shared" si="45"/>
        <v>3</v>
      </c>
      <c r="E622" s="5">
        <f t="shared" si="46"/>
        <v>2010</v>
      </c>
      <c r="F622" s="5" t="s">
        <v>14</v>
      </c>
      <c r="G622" s="5" t="s">
        <v>6</v>
      </c>
      <c r="H622" s="7">
        <v>8435.98</v>
      </c>
      <c r="I622" s="7">
        <v>10048.65</v>
      </c>
      <c r="J622" s="7">
        <f t="shared" si="47"/>
        <v>1612.67</v>
      </c>
      <c r="K622" s="8">
        <f t="shared" si="49"/>
        <v>0.19116569740563635</v>
      </c>
    </row>
    <row r="623" spans="1:11" x14ac:dyDescent="0.3">
      <c r="A623" s="5" t="s">
        <v>43</v>
      </c>
      <c r="B623" s="6">
        <v>40248</v>
      </c>
      <c r="C623" s="5">
        <f t="shared" si="48"/>
        <v>11</v>
      </c>
      <c r="D623" s="5">
        <f t="shared" si="45"/>
        <v>3</v>
      </c>
      <c r="E623" s="5">
        <f t="shared" si="46"/>
        <v>2010</v>
      </c>
      <c r="F623" s="5" t="s">
        <v>15</v>
      </c>
      <c r="G623" s="5" t="s">
        <v>6</v>
      </c>
      <c r="H623" s="7">
        <v>262633.76</v>
      </c>
      <c r="I623" s="7">
        <v>360121.42</v>
      </c>
      <c r="J623" s="7">
        <f t="shared" si="47"/>
        <v>97487.659999999974</v>
      </c>
      <c r="K623" s="8">
        <f t="shared" si="49"/>
        <v>0.37119241639003292</v>
      </c>
    </row>
    <row r="624" spans="1:11" x14ac:dyDescent="0.3">
      <c r="A624" s="5" t="s">
        <v>43</v>
      </c>
      <c r="B624" s="6">
        <v>40248</v>
      </c>
      <c r="C624" s="5">
        <f t="shared" si="48"/>
        <v>11</v>
      </c>
      <c r="D624" s="5">
        <f t="shared" si="45"/>
        <v>3</v>
      </c>
      <c r="E624" s="5">
        <f t="shared" si="46"/>
        <v>2010</v>
      </c>
      <c r="F624" s="5" t="s">
        <v>16</v>
      </c>
      <c r="G624" s="5" t="s">
        <v>6</v>
      </c>
      <c r="H624" s="7">
        <v>40776.44</v>
      </c>
      <c r="I624" s="7">
        <v>45667.08</v>
      </c>
      <c r="J624" s="7">
        <f t="shared" si="47"/>
        <v>4890.6399999999994</v>
      </c>
      <c r="K624" s="8">
        <f t="shared" si="49"/>
        <v>0.11993788570066438</v>
      </c>
    </row>
    <row r="625" spans="1:11" x14ac:dyDescent="0.3">
      <c r="A625" s="5" t="s">
        <v>43</v>
      </c>
      <c r="B625" s="6">
        <v>40248</v>
      </c>
      <c r="C625" s="5">
        <f t="shared" si="48"/>
        <v>11</v>
      </c>
      <c r="D625" s="5">
        <f t="shared" si="45"/>
        <v>3</v>
      </c>
      <c r="E625" s="5">
        <f t="shared" si="46"/>
        <v>2010</v>
      </c>
      <c r="F625" s="5" t="s">
        <v>17</v>
      </c>
      <c r="G625" s="5" t="s">
        <v>6</v>
      </c>
      <c r="H625" s="7">
        <v>710</v>
      </c>
      <c r="I625" s="7">
        <v>816.99</v>
      </c>
      <c r="J625" s="7">
        <f t="shared" si="47"/>
        <v>106.99000000000001</v>
      </c>
      <c r="K625" s="8">
        <f t="shared" si="49"/>
        <v>0.15069014084507043</v>
      </c>
    </row>
    <row r="626" spans="1:11" x14ac:dyDescent="0.3">
      <c r="A626" s="5" t="s">
        <v>43</v>
      </c>
      <c r="B626" s="6">
        <v>40248</v>
      </c>
      <c r="C626" s="5">
        <f t="shared" si="48"/>
        <v>11</v>
      </c>
      <c r="D626" s="5">
        <f t="shared" si="45"/>
        <v>3</v>
      </c>
      <c r="E626" s="5">
        <f t="shared" si="46"/>
        <v>2010</v>
      </c>
      <c r="F626" s="5" t="s">
        <v>19</v>
      </c>
      <c r="G626" s="5" t="s">
        <v>5</v>
      </c>
      <c r="H626" s="7">
        <v>168313.02</v>
      </c>
      <c r="I626" s="7">
        <v>181930.54</v>
      </c>
      <c r="J626" s="7">
        <f t="shared" si="47"/>
        <v>13617.520000000019</v>
      </c>
      <c r="K626" s="8">
        <f t="shared" si="49"/>
        <v>8.0905921597746983E-2</v>
      </c>
    </row>
    <row r="627" spans="1:11" x14ac:dyDescent="0.3">
      <c r="A627" s="5" t="s">
        <v>43</v>
      </c>
      <c r="B627" s="6">
        <v>40248</v>
      </c>
      <c r="C627" s="5">
        <f t="shared" si="48"/>
        <v>11</v>
      </c>
      <c r="D627" s="5">
        <f t="shared" si="45"/>
        <v>3</v>
      </c>
      <c r="E627" s="5">
        <f t="shared" si="46"/>
        <v>2010</v>
      </c>
      <c r="F627" s="5" t="s">
        <v>5</v>
      </c>
      <c r="G627" s="5" t="s">
        <v>5</v>
      </c>
      <c r="H627" s="7">
        <v>524442.13</v>
      </c>
      <c r="I627" s="7">
        <v>564859.37</v>
      </c>
      <c r="J627" s="7">
        <f t="shared" si="47"/>
        <v>40417.239999999991</v>
      </c>
      <c r="K627" s="8">
        <f t="shared" si="49"/>
        <v>7.7067111294052582E-2</v>
      </c>
    </row>
    <row r="628" spans="1:11" x14ac:dyDescent="0.3">
      <c r="A628" s="5" t="s">
        <v>43</v>
      </c>
      <c r="B628" s="6">
        <v>40248</v>
      </c>
      <c r="C628" s="5">
        <f t="shared" si="48"/>
        <v>11</v>
      </c>
      <c r="D628" s="5">
        <f t="shared" si="45"/>
        <v>3</v>
      </c>
      <c r="E628" s="5">
        <f t="shared" si="46"/>
        <v>2010</v>
      </c>
      <c r="F628" s="5" t="s">
        <v>20</v>
      </c>
      <c r="G628" s="5" t="s">
        <v>5</v>
      </c>
      <c r="H628" s="7">
        <v>130737.03</v>
      </c>
      <c r="I628" s="7">
        <v>125978.42</v>
      </c>
      <c r="J628" s="7">
        <f t="shared" si="47"/>
        <v>-4758.6100000000006</v>
      </c>
      <c r="K628" s="8">
        <f t="shared" si="49"/>
        <v>-3.6398333356662614E-2</v>
      </c>
    </row>
    <row r="629" spans="1:11" x14ac:dyDescent="0.3">
      <c r="A629" s="5" t="s">
        <v>43</v>
      </c>
      <c r="B629" s="6">
        <v>40248</v>
      </c>
      <c r="C629" s="5">
        <f t="shared" si="48"/>
        <v>11</v>
      </c>
      <c r="D629" s="5">
        <f t="shared" si="45"/>
        <v>3</v>
      </c>
      <c r="E629" s="5">
        <f t="shared" si="46"/>
        <v>2010</v>
      </c>
      <c r="F629" s="5" t="s">
        <v>21</v>
      </c>
      <c r="G629" s="5" t="s">
        <v>5</v>
      </c>
      <c r="H629" s="7">
        <v>333543.14</v>
      </c>
      <c r="I629" s="7">
        <v>350339.02</v>
      </c>
      <c r="J629" s="7">
        <f t="shared" si="47"/>
        <v>16795.880000000005</v>
      </c>
      <c r="K629" s="8">
        <f t="shared" si="49"/>
        <v>5.0355944961122584E-2</v>
      </c>
    </row>
    <row r="630" spans="1:11" x14ac:dyDescent="0.3">
      <c r="A630" s="5" t="s">
        <v>43</v>
      </c>
      <c r="B630" s="6">
        <v>40248</v>
      </c>
      <c r="C630" s="5">
        <f t="shared" si="48"/>
        <v>11</v>
      </c>
      <c r="D630" s="5">
        <f t="shared" si="45"/>
        <v>3</v>
      </c>
      <c r="E630" s="5">
        <f t="shared" si="46"/>
        <v>2010</v>
      </c>
      <c r="F630" s="5" t="s">
        <v>22</v>
      </c>
      <c r="G630" s="5" t="s">
        <v>8</v>
      </c>
      <c r="H630" s="7">
        <v>461168.91</v>
      </c>
      <c r="I630" s="7">
        <v>494324.04</v>
      </c>
      <c r="J630" s="7">
        <f t="shared" si="47"/>
        <v>33155.130000000005</v>
      </c>
      <c r="K630" s="8">
        <f t="shared" si="49"/>
        <v>7.1893679910035577E-2</v>
      </c>
    </row>
    <row r="631" spans="1:11" x14ac:dyDescent="0.3">
      <c r="A631" s="5" t="s">
        <v>43</v>
      </c>
      <c r="B631" s="6">
        <v>40248</v>
      </c>
      <c r="C631" s="5">
        <f t="shared" si="48"/>
        <v>11</v>
      </c>
      <c r="D631" s="5">
        <f t="shared" si="45"/>
        <v>3</v>
      </c>
      <c r="E631" s="5">
        <f t="shared" si="46"/>
        <v>2010</v>
      </c>
      <c r="F631" s="5" t="s">
        <v>23</v>
      </c>
      <c r="G631" s="5" t="s">
        <v>8</v>
      </c>
      <c r="H631" s="7">
        <v>212313.27</v>
      </c>
      <c r="I631" s="7">
        <v>222456.06</v>
      </c>
      <c r="J631" s="7">
        <f t="shared" si="47"/>
        <v>10142.790000000008</v>
      </c>
      <c r="K631" s="8">
        <f t="shared" si="49"/>
        <v>4.7772755796187436E-2</v>
      </c>
    </row>
    <row r="632" spans="1:11" x14ac:dyDescent="0.3">
      <c r="A632" s="5" t="s">
        <v>43</v>
      </c>
      <c r="B632" s="6">
        <v>40248</v>
      </c>
      <c r="C632" s="5">
        <f t="shared" si="48"/>
        <v>11</v>
      </c>
      <c r="D632" s="5">
        <f t="shared" si="45"/>
        <v>3</v>
      </c>
      <c r="E632" s="5">
        <f t="shared" si="46"/>
        <v>2010</v>
      </c>
      <c r="F632" s="5" t="s">
        <v>24</v>
      </c>
      <c r="G632" s="5" t="s">
        <v>8</v>
      </c>
      <c r="H632" s="7">
        <v>140460</v>
      </c>
      <c r="I632" s="7">
        <v>148844.66</v>
      </c>
      <c r="J632" s="7">
        <f t="shared" si="47"/>
        <v>8384.6600000000035</v>
      </c>
      <c r="K632" s="8">
        <f t="shared" si="49"/>
        <v>5.9694290189377781E-2</v>
      </c>
    </row>
    <row r="633" spans="1:11" x14ac:dyDescent="0.3">
      <c r="A633" s="5" t="s">
        <v>43</v>
      </c>
      <c r="B633" s="6">
        <v>40248</v>
      </c>
      <c r="C633" s="5">
        <f t="shared" si="48"/>
        <v>11</v>
      </c>
      <c r="D633" s="5">
        <f t="shared" si="45"/>
        <v>3</v>
      </c>
      <c r="E633" s="5">
        <f t="shared" si="46"/>
        <v>2010</v>
      </c>
      <c r="F633" s="5" t="s">
        <v>25</v>
      </c>
      <c r="G633" s="5" t="s">
        <v>8</v>
      </c>
      <c r="H633" s="7">
        <v>14189.4</v>
      </c>
      <c r="I633" s="7">
        <v>14461.98</v>
      </c>
      <c r="J633" s="7">
        <f t="shared" si="47"/>
        <v>272.57999999999993</v>
      </c>
      <c r="K633" s="8">
        <f t="shared" si="49"/>
        <v>1.9210114592583191E-2</v>
      </c>
    </row>
    <row r="634" spans="1:11" x14ac:dyDescent="0.3">
      <c r="A634" s="5" t="s">
        <v>43</v>
      </c>
      <c r="B634" s="6">
        <v>40248</v>
      </c>
      <c r="C634" s="5">
        <f t="shared" si="48"/>
        <v>11</v>
      </c>
      <c r="D634" s="5">
        <f t="shared" si="45"/>
        <v>3</v>
      </c>
      <c r="E634" s="5">
        <f t="shared" si="46"/>
        <v>2010</v>
      </c>
      <c r="F634" s="5" t="s">
        <v>26</v>
      </c>
      <c r="G634" s="5" t="s">
        <v>10</v>
      </c>
      <c r="H634" s="7">
        <v>15779</v>
      </c>
      <c r="I634" s="7">
        <v>17521.150000000001</v>
      </c>
      <c r="J634" s="7">
        <f t="shared" si="47"/>
        <v>1742.1500000000015</v>
      </c>
      <c r="K634" s="8">
        <f t="shared" si="49"/>
        <v>0.11040940490525392</v>
      </c>
    </row>
    <row r="635" spans="1:11" x14ac:dyDescent="0.3">
      <c r="A635" s="5" t="s">
        <v>43</v>
      </c>
      <c r="B635" s="6">
        <v>40248</v>
      </c>
      <c r="C635" s="5">
        <f t="shared" si="48"/>
        <v>11</v>
      </c>
      <c r="D635" s="5">
        <f t="shared" si="45"/>
        <v>3</v>
      </c>
      <c r="E635" s="5">
        <f t="shared" si="46"/>
        <v>2010</v>
      </c>
      <c r="F635" s="5" t="s">
        <v>27</v>
      </c>
      <c r="G635" s="5" t="s">
        <v>10</v>
      </c>
      <c r="H635" s="7">
        <v>177945.25</v>
      </c>
      <c r="I635" s="7">
        <v>199589.13</v>
      </c>
      <c r="J635" s="7">
        <f t="shared" si="47"/>
        <v>21643.880000000005</v>
      </c>
      <c r="K635" s="8">
        <f t="shared" si="49"/>
        <v>0.1216322436254972</v>
      </c>
    </row>
    <row r="636" spans="1:11" x14ac:dyDescent="0.3">
      <c r="A636" s="5" t="s">
        <v>43</v>
      </c>
      <c r="B636" s="6">
        <v>40248</v>
      </c>
      <c r="C636" s="5">
        <f t="shared" si="48"/>
        <v>11</v>
      </c>
      <c r="D636" s="5">
        <f t="shared" si="45"/>
        <v>3</v>
      </c>
      <c r="E636" s="5">
        <f t="shared" si="46"/>
        <v>2010</v>
      </c>
      <c r="F636" s="5" t="s">
        <v>28</v>
      </c>
      <c r="G636" s="5" t="s">
        <v>10</v>
      </c>
      <c r="H636" s="7">
        <v>120769.71</v>
      </c>
      <c r="I636" s="7">
        <v>131155.85999999999</v>
      </c>
      <c r="J636" s="7">
        <f t="shared" si="47"/>
        <v>10386.14999999998</v>
      </c>
      <c r="K636" s="8">
        <f t="shared" si="49"/>
        <v>8.5999626893200121E-2</v>
      </c>
    </row>
    <row r="637" spans="1:11" x14ac:dyDescent="0.3">
      <c r="A637" s="5" t="s">
        <v>43</v>
      </c>
      <c r="B637" s="6">
        <v>40248</v>
      </c>
      <c r="C637" s="5">
        <f t="shared" si="48"/>
        <v>11</v>
      </c>
      <c r="D637" s="5">
        <f t="shared" si="45"/>
        <v>3</v>
      </c>
      <c r="E637" s="5">
        <f t="shared" si="46"/>
        <v>2010</v>
      </c>
      <c r="F637" s="5" t="s">
        <v>29</v>
      </c>
      <c r="G637" s="5" t="s">
        <v>10</v>
      </c>
      <c r="H637" s="7">
        <v>704758.31</v>
      </c>
      <c r="I637" s="7">
        <v>774270.51</v>
      </c>
      <c r="J637" s="7">
        <f t="shared" si="47"/>
        <v>69512.199999999953</v>
      </c>
      <c r="K637" s="8">
        <f t="shared" si="49"/>
        <v>9.8632678768981019E-2</v>
      </c>
    </row>
    <row r="638" spans="1:11" x14ac:dyDescent="0.3">
      <c r="A638" s="5" t="s">
        <v>43</v>
      </c>
      <c r="B638" s="6">
        <v>40248</v>
      </c>
      <c r="C638" s="5">
        <f t="shared" si="48"/>
        <v>11</v>
      </c>
      <c r="D638" s="5">
        <f t="shared" si="45"/>
        <v>3</v>
      </c>
      <c r="E638" s="5">
        <f t="shared" si="46"/>
        <v>2010</v>
      </c>
      <c r="F638" s="5" t="s">
        <v>30</v>
      </c>
      <c r="G638" s="5" t="s">
        <v>10</v>
      </c>
      <c r="H638" s="7">
        <v>80461.3</v>
      </c>
      <c r="I638" s="7">
        <v>91304.43</v>
      </c>
      <c r="J638" s="7">
        <f t="shared" si="47"/>
        <v>10843.12999999999</v>
      </c>
      <c r="K638" s="8">
        <f t="shared" si="49"/>
        <v>0.13476205331010049</v>
      </c>
    </row>
    <row r="639" spans="1:11" x14ac:dyDescent="0.3">
      <c r="A639" s="5" t="s">
        <v>43</v>
      </c>
      <c r="B639" s="6">
        <v>40248</v>
      </c>
      <c r="C639" s="5">
        <f t="shared" si="48"/>
        <v>11</v>
      </c>
      <c r="D639" s="5">
        <f t="shared" si="45"/>
        <v>3</v>
      </c>
      <c r="E639" s="5">
        <f t="shared" si="46"/>
        <v>2010</v>
      </c>
      <c r="F639" s="5" t="s">
        <v>9</v>
      </c>
      <c r="G639" s="5" t="s">
        <v>9</v>
      </c>
      <c r="H639" s="7">
        <v>757764.1</v>
      </c>
      <c r="I639" s="7">
        <v>901843.88</v>
      </c>
      <c r="J639" s="7">
        <f t="shared" si="47"/>
        <v>144079.78000000003</v>
      </c>
      <c r="K639" s="8">
        <f t="shared" si="49"/>
        <v>0.19013803900184773</v>
      </c>
    </row>
    <row r="640" spans="1:11" x14ac:dyDescent="0.3">
      <c r="A640" s="5" t="s">
        <v>43</v>
      </c>
      <c r="B640" s="6">
        <v>40248</v>
      </c>
      <c r="C640" s="5">
        <f t="shared" si="48"/>
        <v>11</v>
      </c>
      <c r="D640" s="5">
        <f t="shared" si="45"/>
        <v>3</v>
      </c>
      <c r="E640" s="5">
        <f t="shared" si="46"/>
        <v>2010</v>
      </c>
      <c r="F640" s="5" t="s">
        <v>31</v>
      </c>
      <c r="G640" s="5" t="s">
        <v>7</v>
      </c>
      <c r="H640" s="7">
        <v>10462.799999999999</v>
      </c>
      <c r="I640" s="7">
        <v>22365.35</v>
      </c>
      <c r="J640" s="7">
        <f t="shared" si="47"/>
        <v>11902.55</v>
      </c>
      <c r="K640" s="8">
        <f t="shared" si="49"/>
        <v>1.1376065680315022</v>
      </c>
    </row>
    <row r="641" spans="1:11" x14ac:dyDescent="0.3">
      <c r="A641" s="5" t="s">
        <v>43</v>
      </c>
      <c r="B641" s="6">
        <v>40248</v>
      </c>
      <c r="C641" s="5">
        <f t="shared" si="48"/>
        <v>11</v>
      </c>
      <c r="D641" s="5">
        <f t="shared" si="45"/>
        <v>3</v>
      </c>
      <c r="E641" s="5">
        <f t="shared" si="46"/>
        <v>2010</v>
      </c>
      <c r="F641" s="5" t="s">
        <v>33</v>
      </c>
      <c r="G641" s="5" t="s">
        <v>7</v>
      </c>
      <c r="H641" s="7">
        <v>189071.05</v>
      </c>
      <c r="I641" s="7">
        <v>380002.71</v>
      </c>
      <c r="J641" s="7">
        <f t="shared" si="47"/>
        <v>190931.66000000003</v>
      </c>
      <c r="K641" s="8">
        <f t="shared" si="49"/>
        <v>1.009840797943419</v>
      </c>
    </row>
    <row r="642" spans="1:11" x14ac:dyDescent="0.3">
      <c r="A642" s="5" t="s">
        <v>43</v>
      </c>
      <c r="B642" s="6">
        <v>40248</v>
      </c>
      <c r="C642" s="5">
        <f t="shared" si="48"/>
        <v>11</v>
      </c>
      <c r="D642" s="5">
        <f t="shared" ref="D642:D705" si="50">MONTH(B642)</f>
        <v>3</v>
      </c>
      <c r="E642" s="5">
        <f t="shared" ref="E642:E705" si="51">YEAR(B642)</f>
        <v>2010</v>
      </c>
      <c r="F642" s="5" t="s">
        <v>34</v>
      </c>
      <c r="G642" s="5" t="s">
        <v>7</v>
      </c>
      <c r="H642" s="7">
        <v>57</v>
      </c>
      <c r="I642" s="7">
        <v>176.94</v>
      </c>
      <c r="J642" s="7">
        <f t="shared" ref="J642:J705" si="52">I642-H642</f>
        <v>119.94</v>
      </c>
      <c r="K642" s="8">
        <f t="shared" si="49"/>
        <v>2.1042105263157893</v>
      </c>
    </row>
    <row r="643" spans="1:11" x14ac:dyDescent="0.3">
      <c r="A643" s="5" t="s">
        <v>43</v>
      </c>
      <c r="B643" s="6">
        <v>40248</v>
      </c>
      <c r="C643" s="5">
        <f t="shared" ref="C643:C706" si="53">WEEKNUM(B643,1)</f>
        <v>11</v>
      </c>
      <c r="D643" s="5">
        <f t="shared" si="50"/>
        <v>3</v>
      </c>
      <c r="E643" s="5">
        <f t="shared" si="51"/>
        <v>2010</v>
      </c>
      <c r="F643" s="5" t="s">
        <v>35</v>
      </c>
      <c r="G643" s="5" t="s">
        <v>11</v>
      </c>
      <c r="H643" s="7">
        <v>1330.64</v>
      </c>
      <c r="I643" s="7">
        <v>1572.64</v>
      </c>
      <c r="J643" s="7">
        <f t="shared" si="52"/>
        <v>242</v>
      </c>
      <c r="K643" s="8">
        <f t="shared" ref="K643:K706" si="54">(I643-H643)/H643</f>
        <v>0.18186737209162507</v>
      </c>
    </row>
    <row r="644" spans="1:11" x14ac:dyDescent="0.3">
      <c r="A644" s="5" t="s">
        <v>43</v>
      </c>
      <c r="B644" s="6">
        <v>40248</v>
      </c>
      <c r="C644" s="5">
        <f t="shared" si="53"/>
        <v>11</v>
      </c>
      <c r="D644" s="5">
        <f t="shared" si="50"/>
        <v>3</v>
      </c>
      <c r="E644" s="5">
        <f t="shared" si="51"/>
        <v>2010</v>
      </c>
      <c r="F644" s="5" t="s">
        <v>36</v>
      </c>
      <c r="G644" s="5" t="s">
        <v>11</v>
      </c>
      <c r="H644" s="7">
        <v>164983.32</v>
      </c>
      <c r="I644" s="7">
        <v>172687.54</v>
      </c>
      <c r="J644" s="7">
        <f t="shared" si="52"/>
        <v>7704.2200000000012</v>
      </c>
      <c r="K644" s="8">
        <f t="shared" si="54"/>
        <v>4.6696963062690222E-2</v>
      </c>
    </row>
    <row r="645" spans="1:11" x14ac:dyDescent="0.3">
      <c r="A645" s="5" t="s">
        <v>43</v>
      </c>
      <c r="B645" s="6">
        <v>40248</v>
      </c>
      <c r="C645" s="5">
        <f t="shared" si="53"/>
        <v>11</v>
      </c>
      <c r="D645" s="5">
        <f t="shared" si="50"/>
        <v>3</v>
      </c>
      <c r="E645" s="5">
        <f t="shared" si="51"/>
        <v>2010</v>
      </c>
      <c r="F645" s="5" t="s">
        <v>37</v>
      </c>
      <c r="G645" s="5" t="s">
        <v>11</v>
      </c>
      <c r="H645" s="7">
        <v>459153.32</v>
      </c>
      <c r="I645" s="7">
        <v>492495.24</v>
      </c>
      <c r="J645" s="7">
        <f t="shared" si="52"/>
        <v>33341.919999999984</v>
      </c>
      <c r="K645" s="8">
        <f t="shared" si="54"/>
        <v>7.261609259408161E-2</v>
      </c>
    </row>
    <row r="646" spans="1:11" x14ac:dyDescent="0.3">
      <c r="A646" s="5" t="s">
        <v>43</v>
      </c>
      <c r="B646" s="6">
        <v>40248</v>
      </c>
      <c r="C646" s="5">
        <f t="shared" si="53"/>
        <v>11</v>
      </c>
      <c r="D646" s="5">
        <f t="shared" si="50"/>
        <v>3</v>
      </c>
      <c r="E646" s="5">
        <f t="shared" si="51"/>
        <v>2010</v>
      </c>
      <c r="F646" s="5" t="s">
        <v>38</v>
      </c>
      <c r="G646" s="5" t="s">
        <v>11</v>
      </c>
      <c r="H646" s="7">
        <v>449315.41</v>
      </c>
      <c r="I646" s="7">
        <v>458446.59</v>
      </c>
      <c r="J646" s="7">
        <f t="shared" si="52"/>
        <v>9131.1800000000512</v>
      </c>
      <c r="K646" s="8">
        <f t="shared" si="54"/>
        <v>2.0322427846398705E-2</v>
      </c>
    </row>
    <row r="647" spans="1:11" x14ac:dyDescent="0.3">
      <c r="A647" s="5" t="s">
        <v>43</v>
      </c>
      <c r="B647" s="6">
        <v>40249</v>
      </c>
      <c r="C647" s="5">
        <f t="shared" si="53"/>
        <v>11</v>
      </c>
      <c r="D647" s="5">
        <f t="shared" si="50"/>
        <v>3</v>
      </c>
      <c r="E647" s="5">
        <f t="shared" si="51"/>
        <v>2010</v>
      </c>
      <c r="F647" s="5" t="s">
        <v>14</v>
      </c>
      <c r="G647" s="5" t="s">
        <v>6</v>
      </c>
      <c r="H647" s="7">
        <v>13151.95</v>
      </c>
      <c r="I647" s="7">
        <v>15856.93</v>
      </c>
      <c r="J647" s="7">
        <f t="shared" si="52"/>
        <v>2704.9799999999996</v>
      </c>
      <c r="K647" s="8">
        <f t="shared" si="54"/>
        <v>0.20567140233957698</v>
      </c>
    </row>
    <row r="648" spans="1:11" x14ac:dyDescent="0.3">
      <c r="A648" s="5" t="s">
        <v>43</v>
      </c>
      <c r="B648" s="6">
        <v>40249</v>
      </c>
      <c r="C648" s="5">
        <f t="shared" si="53"/>
        <v>11</v>
      </c>
      <c r="D648" s="5">
        <f t="shared" si="50"/>
        <v>3</v>
      </c>
      <c r="E648" s="5">
        <f t="shared" si="51"/>
        <v>2010</v>
      </c>
      <c r="F648" s="5" t="s">
        <v>15</v>
      </c>
      <c r="G648" s="5" t="s">
        <v>6</v>
      </c>
      <c r="H648" s="7">
        <v>306630.05</v>
      </c>
      <c r="I648" s="7">
        <v>399453.02</v>
      </c>
      <c r="J648" s="7">
        <f t="shared" si="52"/>
        <v>92822.97000000003</v>
      </c>
      <c r="K648" s="8">
        <f t="shared" si="54"/>
        <v>0.30271974322151413</v>
      </c>
    </row>
    <row r="649" spans="1:11" x14ac:dyDescent="0.3">
      <c r="A649" s="5" t="s">
        <v>43</v>
      </c>
      <c r="B649" s="6">
        <v>40249</v>
      </c>
      <c r="C649" s="5">
        <f t="shared" si="53"/>
        <v>11</v>
      </c>
      <c r="D649" s="5">
        <f t="shared" si="50"/>
        <v>3</v>
      </c>
      <c r="E649" s="5">
        <f t="shared" si="51"/>
        <v>2010</v>
      </c>
      <c r="F649" s="5" t="s">
        <v>16</v>
      </c>
      <c r="G649" s="5" t="s">
        <v>6</v>
      </c>
      <c r="H649" s="7">
        <v>46879.03</v>
      </c>
      <c r="I649" s="7">
        <v>52500.38</v>
      </c>
      <c r="J649" s="7">
        <f t="shared" si="52"/>
        <v>5621.3499999999985</v>
      </c>
      <c r="K649" s="8">
        <f t="shared" si="54"/>
        <v>0.11991182411410814</v>
      </c>
    </row>
    <row r="650" spans="1:11" x14ac:dyDescent="0.3">
      <c r="A650" s="5" t="s">
        <v>43</v>
      </c>
      <c r="B650" s="6">
        <v>40249</v>
      </c>
      <c r="C650" s="5">
        <f t="shared" si="53"/>
        <v>11</v>
      </c>
      <c r="D650" s="5">
        <f t="shared" si="50"/>
        <v>3</v>
      </c>
      <c r="E650" s="5">
        <f t="shared" si="51"/>
        <v>2010</v>
      </c>
      <c r="F650" s="5" t="s">
        <v>17</v>
      </c>
      <c r="G650" s="5" t="s">
        <v>6</v>
      </c>
      <c r="H650" s="7">
        <v>382</v>
      </c>
      <c r="I650" s="7">
        <v>389.59</v>
      </c>
      <c r="J650" s="7">
        <f t="shared" si="52"/>
        <v>7.589999999999975</v>
      </c>
      <c r="K650" s="8">
        <f t="shared" si="54"/>
        <v>1.9869109947643914E-2</v>
      </c>
    </row>
    <row r="651" spans="1:11" x14ac:dyDescent="0.3">
      <c r="A651" s="5" t="s">
        <v>43</v>
      </c>
      <c r="B651" s="6">
        <v>40249</v>
      </c>
      <c r="C651" s="5">
        <f t="shared" si="53"/>
        <v>11</v>
      </c>
      <c r="D651" s="5">
        <f t="shared" si="50"/>
        <v>3</v>
      </c>
      <c r="E651" s="5">
        <f t="shared" si="51"/>
        <v>2010</v>
      </c>
      <c r="F651" s="5" t="s">
        <v>19</v>
      </c>
      <c r="G651" s="5" t="s">
        <v>5</v>
      </c>
      <c r="H651" s="7">
        <v>144467.89000000001</v>
      </c>
      <c r="I651" s="7">
        <v>160950.45000000001</v>
      </c>
      <c r="J651" s="7">
        <f t="shared" si="52"/>
        <v>16482.559999999998</v>
      </c>
      <c r="K651" s="8">
        <f t="shared" si="54"/>
        <v>0.11409151196158535</v>
      </c>
    </row>
    <row r="652" spans="1:11" x14ac:dyDescent="0.3">
      <c r="A652" s="5" t="s">
        <v>43</v>
      </c>
      <c r="B652" s="6">
        <v>40249</v>
      </c>
      <c r="C652" s="5">
        <f t="shared" si="53"/>
        <v>11</v>
      </c>
      <c r="D652" s="5">
        <f t="shared" si="50"/>
        <v>3</v>
      </c>
      <c r="E652" s="5">
        <f t="shared" si="51"/>
        <v>2010</v>
      </c>
      <c r="F652" s="5" t="s">
        <v>5</v>
      </c>
      <c r="G652" s="5" t="s">
        <v>5</v>
      </c>
      <c r="H652" s="7">
        <v>843222.27</v>
      </c>
      <c r="I652" s="7">
        <v>902676.82</v>
      </c>
      <c r="J652" s="7">
        <f t="shared" si="52"/>
        <v>59454.54999999993</v>
      </c>
      <c r="K652" s="8">
        <f t="shared" si="54"/>
        <v>7.0508752099253655E-2</v>
      </c>
    </row>
    <row r="653" spans="1:11" x14ac:dyDescent="0.3">
      <c r="A653" s="5" t="s">
        <v>43</v>
      </c>
      <c r="B653" s="6">
        <v>40249</v>
      </c>
      <c r="C653" s="5">
        <f t="shared" si="53"/>
        <v>11</v>
      </c>
      <c r="D653" s="5">
        <f t="shared" si="50"/>
        <v>3</v>
      </c>
      <c r="E653" s="5">
        <f t="shared" si="51"/>
        <v>2010</v>
      </c>
      <c r="F653" s="5" t="s">
        <v>20</v>
      </c>
      <c r="G653" s="5" t="s">
        <v>5</v>
      </c>
      <c r="H653" s="7">
        <v>150000.26999999999</v>
      </c>
      <c r="I653" s="7">
        <v>163912.82</v>
      </c>
      <c r="J653" s="7">
        <f t="shared" si="52"/>
        <v>13912.550000000017</v>
      </c>
      <c r="K653" s="8">
        <f t="shared" si="54"/>
        <v>9.2750166383033961E-2</v>
      </c>
    </row>
    <row r="654" spans="1:11" x14ac:dyDescent="0.3">
      <c r="A654" s="5" t="s">
        <v>43</v>
      </c>
      <c r="B654" s="6">
        <v>40249</v>
      </c>
      <c r="C654" s="5">
        <f t="shared" si="53"/>
        <v>11</v>
      </c>
      <c r="D654" s="5">
        <f t="shared" si="50"/>
        <v>3</v>
      </c>
      <c r="E654" s="5">
        <f t="shared" si="51"/>
        <v>2010</v>
      </c>
      <c r="F654" s="5" t="s">
        <v>21</v>
      </c>
      <c r="G654" s="5" t="s">
        <v>5</v>
      </c>
      <c r="H654" s="7">
        <v>320041.17</v>
      </c>
      <c r="I654" s="7">
        <v>338991.33</v>
      </c>
      <c r="J654" s="7">
        <f t="shared" si="52"/>
        <v>18950.160000000033</v>
      </c>
      <c r="K654" s="8">
        <f t="shared" si="54"/>
        <v>5.9211632053463727E-2</v>
      </c>
    </row>
    <row r="655" spans="1:11" x14ac:dyDescent="0.3">
      <c r="A655" s="5" t="s">
        <v>43</v>
      </c>
      <c r="B655" s="6">
        <v>40249</v>
      </c>
      <c r="C655" s="5">
        <f t="shared" si="53"/>
        <v>11</v>
      </c>
      <c r="D655" s="5">
        <f t="shared" si="50"/>
        <v>3</v>
      </c>
      <c r="E655" s="5">
        <f t="shared" si="51"/>
        <v>2010</v>
      </c>
      <c r="F655" s="5" t="s">
        <v>22</v>
      </c>
      <c r="G655" s="5" t="s">
        <v>8</v>
      </c>
      <c r="H655" s="7">
        <v>680297.2</v>
      </c>
      <c r="I655" s="7">
        <v>719234.88</v>
      </c>
      <c r="J655" s="7">
        <f t="shared" si="52"/>
        <v>38937.680000000051</v>
      </c>
      <c r="K655" s="8">
        <f t="shared" si="54"/>
        <v>5.7236278497103991E-2</v>
      </c>
    </row>
    <row r="656" spans="1:11" x14ac:dyDescent="0.3">
      <c r="A656" s="5" t="s">
        <v>43</v>
      </c>
      <c r="B656" s="6">
        <v>40249</v>
      </c>
      <c r="C656" s="5">
        <f t="shared" si="53"/>
        <v>11</v>
      </c>
      <c r="D656" s="5">
        <f t="shared" si="50"/>
        <v>3</v>
      </c>
      <c r="E656" s="5">
        <f t="shared" si="51"/>
        <v>2010</v>
      </c>
      <c r="F656" s="5" t="s">
        <v>23</v>
      </c>
      <c r="G656" s="5" t="s">
        <v>8</v>
      </c>
      <c r="H656" s="7">
        <v>225952.4</v>
      </c>
      <c r="I656" s="7">
        <v>236077.08</v>
      </c>
      <c r="J656" s="7">
        <f t="shared" si="52"/>
        <v>10124.679999999993</v>
      </c>
      <c r="K656" s="8">
        <f t="shared" si="54"/>
        <v>4.4808906654675913E-2</v>
      </c>
    </row>
    <row r="657" spans="1:11" x14ac:dyDescent="0.3">
      <c r="A657" s="5" t="s">
        <v>43</v>
      </c>
      <c r="B657" s="6">
        <v>40249</v>
      </c>
      <c r="C657" s="5">
        <f t="shared" si="53"/>
        <v>11</v>
      </c>
      <c r="D657" s="5">
        <f t="shared" si="50"/>
        <v>3</v>
      </c>
      <c r="E657" s="5">
        <f t="shared" si="51"/>
        <v>2010</v>
      </c>
      <c r="F657" s="5" t="s">
        <v>24</v>
      </c>
      <c r="G657" s="5" t="s">
        <v>8</v>
      </c>
      <c r="H657" s="7">
        <v>159694.99</v>
      </c>
      <c r="I657" s="7">
        <v>168590.92</v>
      </c>
      <c r="J657" s="7">
        <f t="shared" si="52"/>
        <v>8895.9300000000221</v>
      </c>
      <c r="K657" s="8">
        <f t="shared" si="54"/>
        <v>5.5705755077225798E-2</v>
      </c>
    </row>
    <row r="658" spans="1:11" x14ac:dyDescent="0.3">
      <c r="A658" s="5" t="s">
        <v>43</v>
      </c>
      <c r="B658" s="6">
        <v>40249</v>
      </c>
      <c r="C658" s="5">
        <f t="shared" si="53"/>
        <v>11</v>
      </c>
      <c r="D658" s="5">
        <f t="shared" si="50"/>
        <v>3</v>
      </c>
      <c r="E658" s="5">
        <f t="shared" si="51"/>
        <v>2010</v>
      </c>
      <c r="F658" s="5" t="s">
        <v>25</v>
      </c>
      <c r="G658" s="5" t="s">
        <v>8</v>
      </c>
      <c r="H658" s="7">
        <v>11876.2</v>
      </c>
      <c r="I658" s="7">
        <v>12755.77</v>
      </c>
      <c r="J658" s="7">
        <f t="shared" si="52"/>
        <v>879.56999999999971</v>
      </c>
      <c r="K658" s="8">
        <f t="shared" si="54"/>
        <v>7.40615685151816E-2</v>
      </c>
    </row>
    <row r="659" spans="1:11" x14ac:dyDescent="0.3">
      <c r="A659" s="5" t="s">
        <v>43</v>
      </c>
      <c r="B659" s="6">
        <v>40249</v>
      </c>
      <c r="C659" s="5">
        <f t="shared" si="53"/>
        <v>11</v>
      </c>
      <c r="D659" s="5">
        <f t="shared" si="50"/>
        <v>3</v>
      </c>
      <c r="E659" s="5">
        <f t="shared" si="51"/>
        <v>2010</v>
      </c>
      <c r="F659" s="5" t="s">
        <v>26</v>
      </c>
      <c r="G659" s="5" t="s">
        <v>10</v>
      </c>
      <c r="H659" s="7">
        <v>14333</v>
      </c>
      <c r="I659" s="7">
        <v>16057.26</v>
      </c>
      <c r="J659" s="7">
        <f t="shared" si="52"/>
        <v>1724.2600000000002</v>
      </c>
      <c r="K659" s="8">
        <f t="shared" si="54"/>
        <v>0.12030000697690646</v>
      </c>
    </row>
    <row r="660" spans="1:11" x14ac:dyDescent="0.3">
      <c r="A660" s="5" t="s">
        <v>43</v>
      </c>
      <c r="B660" s="6">
        <v>40249</v>
      </c>
      <c r="C660" s="5">
        <f t="shared" si="53"/>
        <v>11</v>
      </c>
      <c r="D660" s="5">
        <f t="shared" si="50"/>
        <v>3</v>
      </c>
      <c r="E660" s="5">
        <f t="shared" si="51"/>
        <v>2010</v>
      </c>
      <c r="F660" s="5" t="s">
        <v>27</v>
      </c>
      <c r="G660" s="5" t="s">
        <v>10</v>
      </c>
      <c r="H660" s="7">
        <v>235648.82</v>
      </c>
      <c r="I660" s="7">
        <v>263260.82</v>
      </c>
      <c r="J660" s="7">
        <f t="shared" si="52"/>
        <v>27612</v>
      </c>
      <c r="K660" s="8">
        <f t="shared" si="54"/>
        <v>0.11717436140779317</v>
      </c>
    </row>
    <row r="661" spans="1:11" x14ac:dyDescent="0.3">
      <c r="A661" s="5" t="s">
        <v>43</v>
      </c>
      <c r="B661" s="6">
        <v>40249</v>
      </c>
      <c r="C661" s="5">
        <f t="shared" si="53"/>
        <v>11</v>
      </c>
      <c r="D661" s="5">
        <f t="shared" si="50"/>
        <v>3</v>
      </c>
      <c r="E661" s="5">
        <f t="shared" si="51"/>
        <v>2010</v>
      </c>
      <c r="F661" s="5" t="s">
        <v>28</v>
      </c>
      <c r="G661" s="5" t="s">
        <v>10</v>
      </c>
      <c r="H661" s="7">
        <v>183558.85</v>
      </c>
      <c r="I661" s="7">
        <v>199419.46</v>
      </c>
      <c r="J661" s="7">
        <f t="shared" si="52"/>
        <v>15860.609999999986</v>
      </c>
      <c r="K661" s="8">
        <f t="shared" si="54"/>
        <v>8.6406130785848717E-2</v>
      </c>
    </row>
    <row r="662" spans="1:11" x14ac:dyDescent="0.3">
      <c r="A662" s="5" t="s">
        <v>43</v>
      </c>
      <c r="B662" s="6">
        <v>40249</v>
      </c>
      <c r="C662" s="5">
        <f t="shared" si="53"/>
        <v>11</v>
      </c>
      <c r="D662" s="5">
        <f t="shared" si="50"/>
        <v>3</v>
      </c>
      <c r="E662" s="5">
        <f t="shared" si="51"/>
        <v>2010</v>
      </c>
      <c r="F662" s="5" t="s">
        <v>29</v>
      </c>
      <c r="G662" s="5" t="s">
        <v>10</v>
      </c>
      <c r="H662" s="7">
        <v>901618.68</v>
      </c>
      <c r="I662" s="7">
        <v>985972.7</v>
      </c>
      <c r="J662" s="7">
        <f t="shared" si="52"/>
        <v>84354.019999999902</v>
      </c>
      <c r="K662" s="8">
        <f t="shared" si="54"/>
        <v>9.3558420950195814E-2</v>
      </c>
    </row>
    <row r="663" spans="1:11" x14ac:dyDescent="0.3">
      <c r="A663" s="5" t="s">
        <v>43</v>
      </c>
      <c r="B663" s="6">
        <v>40249</v>
      </c>
      <c r="C663" s="5">
        <f t="shared" si="53"/>
        <v>11</v>
      </c>
      <c r="D663" s="5">
        <f t="shared" si="50"/>
        <v>3</v>
      </c>
      <c r="E663" s="5">
        <f t="shared" si="51"/>
        <v>2010</v>
      </c>
      <c r="F663" s="5" t="s">
        <v>30</v>
      </c>
      <c r="G663" s="5" t="s">
        <v>10</v>
      </c>
      <c r="H663" s="7">
        <v>171650.36</v>
      </c>
      <c r="I663" s="7">
        <v>191744.83</v>
      </c>
      <c r="J663" s="7">
        <f t="shared" si="52"/>
        <v>20094.47</v>
      </c>
      <c r="K663" s="8">
        <f t="shared" si="54"/>
        <v>0.1170662852090727</v>
      </c>
    </row>
    <row r="664" spans="1:11" x14ac:dyDescent="0.3">
      <c r="A664" s="5" t="s">
        <v>43</v>
      </c>
      <c r="B664" s="6">
        <v>40249</v>
      </c>
      <c r="C664" s="5">
        <f t="shared" si="53"/>
        <v>11</v>
      </c>
      <c r="D664" s="5">
        <f t="shared" si="50"/>
        <v>3</v>
      </c>
      <c r="E664" s="5">
        <f t="shared" si="51"/>
        <v>2010</v>
      </c>
      <c r="F664" s="5" t="s">
        <v>9</v>
      </c>
      <c r="G664" s="5" t="s">
        <v>9</v>
      </c>
      <c r="H664" s="7">
        <v>805989.64</v>
      </c>
      <c r="I664" s="7">
        <v>958491.93</v>
      </c>
      <c r="J664" s="7">
        <f t="shared" si="52"/>
        <v>152502.29000000004</v>
      </c>
      <c r="K664" s="8">
        <f t="shared" si="54"/>
        <v>0.1892112285711266</v>
      </c>
    </row>
    <row r="665" spans="1:11" x14ac:dyDescent="0.3">
      <c r="A665" s="5" t="s">
        <v>43</v>
      </c>
      <c r="B665" s="6">
        <v>40249</v>
      </c>
      <c r="C665" s="5">
        <f t="shared" si="53"/>
        <v>11</v>
      </c>
      <c r="D665" s="5">
        <f t="shared" si="50"/>
        <v>3</v>
      </c>
      <c r="E665" s="5">
        <f t="shared" si="51"/>
        <v>2010</v>
      </c>
      <c r="F665" s="5" t="s">
        <v>31</v>
      </c>
      <c r="G665" s="5" t="s">
        <v>7</v>
      </c>
      <c r="H665" s="7">
        <v>11703.23</v>
      </c>
      <c r="I665" s="7">
        <v>25505.35</v>
      </c>
      <c r="J665" s="7">
        <f t="shared" si="52"/>
        <v>13802.119999999999</v>
      </c>
      <c r="K665" s="8">
        <f t="shared" si="54"/>
        <v>1.1793427968176307</v>
      </c>
    </row>
    <row r="666" spans="1:11" x14ac:dyDescent="0.3">
      <c r="A666" s="5" t="s">
        <v>43</v>
      </c>
      <c r="B666" s="6">
        <v>40249</v>
      </c>
      <c r="C666" s="5">
        <f t="shared" si="53"/>
        <v>11</v>
      </c>
      <c r="D666" s="5">
        <f t="shared" si="50"/>
        <v>3</v>
      </c>
      <c r="E666" s="5">
        <f t="shared" si="51"/>
        <v>2010</v>
      </c>
      <c r="F666" s="5" t="s">
        <v>33</v>
      </c>
      <c r="G666" s="5" t="s">
        <v>7</v>
      </c>
      <c r="H666" s="7">
        <v>219967.24</v>
      </c>
      <c r="I666" s="7">
        <v>421732.84</v>
      </c>
      <c r="J666" s="7">
        <f t="shared" si="52"/>
        <v>201765.60000000003</v>
      </c>
      <c r="K666" s="8">
        <f t="shared" si="54"/>
        <v>0.91725295093942194</v>
      </c>
    </row>
    <row r="667" spans="1:11" x14ac:dyDescent="0.3">
      <c r="A667" s="5" t="s">
        <v>43</v>
      </c>
      <c r="B667" s="6">
        <v>40249</v>
      </c>
      <c r="C667" s="5">
        <f t="shared" si="53"/>
        <v>11</v>
      </c>
      <c r="D667" s="5">
        <f t="shared" si="50"/>
        <v>3</v>
      </c>
      <c r="E667" s="5">
        <f t="shared" si="51"/>
        <v>2010</v>
      </c>
      <c r="F667" s="5" t="s">
        <v>34</v>
      </c>
      <c r="G667" s="5" t="s">
        <v>7</v>
      </c>
      <c r="H667" s="7">
        <v>190</v>
      </c>
      <c r="I667" s="7">
        <v>589.96</v>
      </c>
      <c r="J667" s="7">
        <f t="shared" si="52"/>
        <v>399.96000000000004</v>
      </c>
      <c r="K667" s="8">
        <f t="shared" si="54"/>
        <v>2.1050526315789475</v>
      </c>
    </row>
    <row r="668" spans="1:11" x14ac:dyDescent="0.3">
      <c r="A668" s="5" t="s">
        <v>43</v>
      </c>
      <c r="B668" s="6">
        <v>40249</v>
      </c>
      <c r="C668" s="5">
        <f t="shared" si="53"/>
        <v>11</v>
      </c>
      <c r="D668" s="5">
        <f t="shared" si="50"/>
        <v>3</v>
      </c>
      <c r="E668" s="5">
        <f t="shared" si="51"/>
        <v>2010</v>
      </c>
      <c r="F668" s="5" t="s">
        <v>35</v>
      </c>
      <c r="G668" s="5" t="s">
        <v>11</v>
      </c>
      <c r="H668" s="7">
        <v>3470.88</v>
      </c>
      <c r="I668" s="7">
        <v>4247.7700000000004</v>
      </c>
      <c r="J668" s="7">
        <f t="shared" si="52"/>
        <v>776.89000000000033</v>
      </c>
      <c r="K668" s="8">
        <f t="shared" si="54"/>
        <v>0.22383084405107648</v>
      </c>
    </row>
    <row r="669" spans="1:11" x14ac:dyDescent="0.3">
      <c r="A669" s="5" t="s">
        <v>43</v>
      </c>
      <c r="B669" s="6">
        <v>40249</v>
      </c>
      <c r="C669" s="5">
        <f t="shared" si="53"/>
        <v>11</v>
      </c>
      <c r="D669" s="5">
        <f t="shared" si="50"/>
        <v>3</v>
      </c>
      <c r="E669" s="5">
        <f t="shared" si="51"/>
        <v>2010</v>
      </c>
      <c r="F669" s="5" t="s">
        <v>36</v>
      </c>
      <c r="G669" s="5" t="s">
        <v>11</v>
      </c>
      <c r="H669" s="7">
        <v>149717.81</v>
      </c>
      <c r="I669" s="7">
        <v>161922.25</v>
      </c>
      <c r="J669" s="7">
        <f t="shared" si="52"/>
        <v>12204.440000000002</v>
      </c>
      <c r="K669" s="8">
        <f t="shared" si="54"/>
        <v>8.1516287207246768E-2</v>
      </c>
    </row>
    <row r="670" spans="1:11" x14ac:dyDescent="0.3">
      <c r="A670" s="5" t="s">
        <v>43</v>
      </c>
      <c r="B670" s="6">
        <v>40249</v>
      </c>
      <c r="C670" s="5">
        <f t="shared" si="53"/>
        <v>11</v>
      </c>
      <c r="D670" s="5">
        <f t="shared" si="50"/>
        <v>3</v>
      </c>
      <c r="E670" s="5">
        <f t="shared" si="51"/>
        <v>2010</v>
      </c>
      <c r="F670" s="5" t="s">
        <v>37</v>
      </c>
      <c r="G670" s="5" t="s">
        <v>11</v>
      </c>
      <c r="H670" s="7">
        <v>416874.59</v>
      </c>
      <c r="I670" s="7">
        <v>449076.3</v>
      </c>
      <c r="J670" s="7">
        <f t="shared" si="52"/>
        <v>32201.709999999963</v>
      </c>
      <c r="K670" s="8">
        <f t="shared" si="54"/>
        <v>7.7245557231012715E-2</v>
      </c>
    </row>
    <row r="671" spans="1:11" x14ac:dyDescent="0.3">
      <c r="A671" s="5" t="s">
        <v>43</v>
      </c>
      <c r="B671" s="6">
        <v>40249</v>
      </c>
      <c r="C671" s="5">
        <f t="shared" si="53"/>
        <v>11</v>
      </c>
      <c r="D671" s="5">
        <f t="shared" si="50"/>
        <v>3</v>
      </c>
      <c r="E671" s="5">
        <f t="shared" si="51"/>
        <v>2010</v>
      </c>
      <c r="F671" s="5" t="s">
        <v>38</v>
      </c>
      <c r="G671" s="5" t="s">
        <v>11</v>
      </c>
      <c r="H671" s="7">
        <v>593738.52</v>
      </c>
      <c r="I671" s="7">
        <v>613979.59</v>
      </c>
      <c r="J671" s="7">
        <f t="shared" si="52"/>
        <v>20241.069999999949</v>
      </c>
      <c r="K671" s="8">
        <f t="shared" si="54"/>
        <v>3.4090882296132559E-2</v>
      </c>
    </row>
    <row r="672" spans="1:11" x14ac:dyDescent="0.3">
      <c r="A672" s="5" t="s">
        <v>43</v>
      </c>
      <c r="B672" s="6">
        <v>40250</v>
      </c>
      <c r="C672" s="5">
        <f t="shared" si="53"/>
        <v>11</v>
      </c>
      <c r="D672" s="5">
        <f t="shared" si="50"/>
        <v>3</v>
      </c>
      <c r="E672" s="5">
        <f t="shared" si="51"/>
        <v>2010</v>
      </c>
      <c r="F672" s="5" t="s">
        <v>14</v>
      </c>
      <c r="G672" s="5" t="s">
        <v>6</v>
      </c>
      <c r="H672" s="7">
        <v>16477.939999999999</v>
      </c>
      <c r="I672" s="7">
        <v>19558.990000000002</v>
      </c>
      <c r="J672" s="7">
        <f t="shared" si="52"/>
        <v>3081.0500000000029</v>
      </c>
      <c r="K672" s="8">
        <f t="shared" si="54"/>
        <v>0.18698029001197985</v>
      </c>
    </row>
    <row r="673" spans="1:11" x14ac:dyDescent="0.3">
      <c r="A673" s="5" t="s">
        <v>43</v>
      </c>
      <c r="B673" s="6">
        <v>40250</v>
      </c>
      <c r="C673" s="5">
        <f t="shared" si="53"/>
        <v>11</v>
      </c>
      <c r="D673" s="5">
        <f t="shared" si="50"/>
        <v>3</v>
      </c>
      <c r="E673" s="5">
        <f t="shared" si="51"/>
        <v>2010</v>
      </c>
      <c r="F673" s="5" t="s">
        <v>15</v>
      </c>
      <c r="G673" s="5" t="s">
        <v>6</v>
      </c>
      <c r="H673" s="7">
        <v>379801.51</v>
      </c>
      <c r="I673" s="7">
        <v>491179.64</v>
      </c>
      <c r="J673" s="7">
        <f t="shared" si="52"/>
        <v>111378.13</v>
      </c>
      <c r="K673" s="8">
        <f t="shared" si="54"/>
        <v>0.29325352076667627</v>
      </c>
    </row>
    <row r="674" spans="1:11" x14ac:dyDescent="0.3">
      <c r="A674" s="5" t="s">
        <v>43</v>
      </c>
      <c r="B674" s="6">
        <v>40250</v>
      </c>
      <c r="C674" s="5">
        <f t="shared" si="53"/>
        <v>11</v>
      </c>
      <c r="D674" s="5">
        <f t="shared" si="50"/>
        <v>3</v>
      </c>
      <c r="E674" s="5">
        <f t="shared" si="51"/>
        <v>2010</v>
      </c>
      <c r="F674" s="5" t="s">
        <v>16</v>
      </c>
      <c r="G674" s="5" t="s">
        <v>6</v>
      </c>
      <c r="H674" s="7">
        <v>78207.83</v>
      </c>
      <c r="I674" s="7">
        <v>87398.9</v>
      </c>
      <c r="J674" s="7">
        <f t="shared" si="52"/>
        <v>9191.0699999999924</v>
      </c>
      <c r="K674" s="8">
        <f t="shared" si="54"/>
        <v>0.11752109731212325</v>
      </c>
    </row>
    <row r="675" spans="1:11" x14ac:dyDescent="0.3">
      <c r="A675" s="5" t="s">
        <v>43</v>
      </c>
      <c r="B675" s="6">
        <v>40250</v>
      </c>
      <c r="C675" s="5">
        <f t="shared" si="53"/>
        <v>11</v>
      </c>
      <c r="D675" s="5">
        <f t="shared" si="50"/>
        <v>3</v>
      </c>
      <c r="E675" s="5">
        <f t="shared" si="51"/>
        <v>2010</v>
      </c>
      <c r="F675" s="5" t="s">
        <v>17</v>
      </c>
      <c r="G675" s="5" t="s">
        <v>6</v>
      </c>
      <c r="H675" s="7">
        <v>1583</v>
      </c>
      <c r="I675" s="7">
        <v>1745.25</v>
      </c>
      <c r="J675" s="7">
        <f t="shared" si="52"/>
        <v>162.25</v>
      </c>
      <c r="K675" s="8">
        <f t="shared" si="54"/>
        <v>0.10249526216045483</v>
      </c>
    </row>
    <row r="676" spans="1:11" x14ac:dyDescent="0.3">
      <c r="A676" s="5" t="s">
        <v>43</v>
      </c>
      <c r="B676" s="6">
        <v>40250</v>
      </c>
      <c r="C676" s="5">
        <f t="shared" si="53"/>
        <v>11</v>
      </c>
      <c r="D676" s="5">
        <f t="shared" si="50"/>
        <v>3</v>
      </c>
      <c r="E676" s="5">
        <f t="shared" si="51"/>
        <v>2010</v>
      </c>
      <c r="F676" s="5" t="s">
        <v>19</v>
      </c>
      <c r="G676" s="5" t="s">
        <v>5</v>
      </c>
      <c r="H676" s="7">
        <v>163962.23000000001</v>
      </c>
      <c r="I676" s="7">
        <v>182124.32</v>
      </c>
      <c r="J676" s="7">
        <f t="shared" si="52"/>
        <v>18162.089999999997</v>
      </c>
      <c r="K676" s="8">
        <f t="shared" si="54"/>
        <v>0.11076996208212096</v>
      </c>
    </row>
    <row r="677" spans="1:11" x14ac:dyDescent="0.3">
      <c r="A677" s="5" t="s">
        <v>43</v>
      </c>
      <c r="B677" s="6">
        <v>40250</v>
      </c>
      <c r="C677" s="5">
        <f t="shared" si="53"/>
        <v>11</v>
      </c>
      <c r="D677" s="5">
        <f t="shared" si="50"/>
        <v>3</v>
      </c>
      <c r="E677" s="5">
        <f t="shared" si="51"/>
        <v>2010</v>
      </c>
      <c r="F677" s="5" t="s">
        <v>5</v>
      </c>
      <c r="G677" s="5" t="s">
        <v>5</v>
      </c>
      <c r="H677" s="7">
        <v>951208.52</v>
      </c>
      <c r="I677" s="7">
        <v>1016951.4</v>
      </c>
      <c r="J677" s="7">
        <f t="shared" si="52"/>
        <v>65742.880000000005</v>
      </c>
      <c r="K677" s="8">
        <f t="shared" si="54"/>
        <v>6.9115108430694044E-2</v>
      </c>
    </row>
    <row r="678" spans="1:11" x14ac:dyDescent="0.3">
      <c r="A678" s="5" t="s">
        <v>43</v>
      </c>
      <c r="B678" s="6">
        <v>40250</v>
      </c>
      <c r="C678" s="5">
        <f t="shared" si="53"/>
        <v>11</v>
      </c>
      <c r="D678" s="5">
        <f t="shared" si="50"/>
        <v>3</v>
      </c>
      <c r="E678" s="5">
        <f t="shared" si="51"/>
        <v>2010</v>
      </c>
      <c r="F678" s="5" t="s">
        <v>20</v>
      </c>
      <c r="G678" s="5" t="s">
        <v>5</v>
      </c>
      <c r="H678" s="7">
        <v>161130.49</v>
      </c>
      <c r="I678" s="7">
        <v>175561.47</v>
      </c>
      <c r="J678" s="7">
        <f t="shared" si="52"/>
        <v>14430.98000000001</v>
      </c>
      <c r="K678" s="8">
        <f t="shared" si="54"/>
        <v>8.9560827376618857E-2</v>
      </c>
    </row>
    <row r="679" spans="1:11" x14ac:dyDescent="0.3">
      <c r="A679" s="5" t="s">
        <v>43</v>
      </c>
      <c r="B679" s="6">
        <v>40250</v>
      </c>
      <c r="C679" s="5">
        <f t="shared" si="53"/>
        <v>11</v>
      </c>
      <c r="D679" s="5">
        <f t="shared" si="50"/>
        <v>3</v>
      </c>
      <c r="E679" s="5">
        <f t="shared" si="51"/>
        <v>2010</v>
      </c>
      <c r="F679" s="5" t="s">
        <v>21</v>
      </c>
      <c r="G679" s="5" t="s">
        <v>5</v>
      </c>
      <c r="H679" s="7">
        <v>386398.09</v>
      </c>
      <c r="I679" s="7">
        <v>411869.83</v>
      </c>
      <c r="J679" s="7">
        <f t="shared" si="52"/>
        <v>25471.739999999991</v>
      </c>
      <c r="K679" s="8">
        <f t="shared" si="54"/>
        <v>6.5920978025538354E-2</v>
      </c>
    </row>
    <row r="680" spans="1:11" x14ac:dyDescent="0.3">
      <c r="A680" s="5" t="s">
        <v>43</v>
      </c>
      <c r="B680" s="6">
        <v>40250</v>
      </c>
      <c r="C680" s="5">
        <f t="shared" si="53"/>
        <v>11</v>
      </c>
      <c r="D680" s="5">
        <f t="shared" si="50"/>
        <v>3</v>
      </c>
      <c r="E680" s="5">
        <f t="shared" si="51"/>
        <v>2010</v>
      </c>
      <c r="F680" s="5" t="s">
        <v>22</v>
      </c>
      <c r="G680" s="5" t="s">
        <v>8</v>
      </c>
      <c r="H680" s="7">
        <v>813115.63</v>
      </c>
      <c r="I680" s="7">
        <v>864169.89</v>
      </c>
      <c r="J680" s="7">
        <f t="shared" si="52"/>
        <v>51054.260000000009</v>
      </c>
      <c r="K680" s="8">
        <f t="shared" si="54"/>
        <v>6.2788437605116515E-2</v>
      </c>
    </row>
    <row r="681" spans="1:11" x14ac:dyDescent="0.3">
      <c r="A681" s="5" t="s">
        <v>43</v>
      </c>
      <c r="B681" s="6">
        <v>40250</v>
      </c>
      <c r="C681" s="5">
        <f t="shared" si="53"/>
        <v>11</v>
      </c>
      <c r="D681" s="5">
        <f t="shared" si="50"/>
        <v>3</v>
      </c>
      <c r="E681" s="5">
        <f t="shared" si="51"/>
        <v>2010</v>
      </c>
      <c r="F681" s="5" t="s">
        <v>23</v>
      </c>
      <c r="G681" s="5" t="s">
        <v>8</v>
      </c>
      <c r="H681" s="7">
        <v>310129.19</v>
      </c>
      <c r="I681" s="7">
        <v>324826.63</v>
      </c>
      <c r="J681" s="7">
        <f t="shared" si="52"/>
        <v>14697.440000000002</v>
      </c>
      <c r="K681" s="8">
        <f t="shared" si="54"/>
        <v>4.7391346812597684E-2</v>
      </c>
    </row>
    <row r="682" spans="1:11" x14ac:dyDescent="0.3">
      <c r="A682" s="5" t="s">
        <v>43</v>
      </c>
      <c r="B682" s="6">
        <v>40250</v>
      </c>
      <c r="C682" s="5">
        <f t="shared" si="53"/>
        <v>11</v>
      </c>
      <c r="D682" s="5">
        <f t="shared" si="50"/>
        <v>3</v>
      </c>
      <c r="E682" s="5">
        <f t="shared" si="51"/>
        <v>2010</v>
      </c>
      <c r="F682" s="5" t="s">
        <v>24</v>
      </c>
      <c r="G682" s="5" t="s">
        <v>8</v>
      </c>
      <c r="H682" s="7">
        <v>212639.99</v>
      </c>
      <c r="I682" s="7">
        <v>223460.84</v>
      </c>
      <c r="J682" s="7">
        <f t="shared" si="52"/>
        <v>10820.850000000006</v>
      </c>
      <c r="K682" s="8">
        <f t="shared" si="54"/>
        <v>5.0888123160652922E-2</v>
      </c>
    </row>
    <row r="683" spans="1:11" x14ac:dyDescent="0.3">
      <c r="A683" s="5" t="s">
        <v>43</v>
      </c>
      <c r="B683" s="6">
        <v>40250</v>
      </c>
      <c r="C683" s="5">
        <f t="shared" si="53"/>
        <v>11</v>
      </c>
      <c r="D683" s="5">
        <f t="shared" si="50"/>
        <v>3</v>
      </c>
      <c r="E683" s="5">
        <f t="shared" si="51"/>
        <v>2010</v>
      </c>
      <c r="F683" s="5" t="s">
        <v>25</v>
      </c>
      <c r="G683" s="5" t="s">
        <v>8</v>
      </c>
      <c r="H683" s="7">
        <v>21592.6</v>
      </c>
      <c r="I683" s="7">
        <v>22135.86</v>
      </c>
      <c r="J683" s="7">
        <f t="shared" si="52"/>
        <v>543.26000000000204</v>
      </c>
      <c r="K683" s="8">
        <f t="shared" si="54"/>
        <v>2.5159545399812994E-2</v>
      </c>
    </row>
    <row r="684" spans="1:11" x14ac:dyDescent="0.3">
      <c r="A684" s="5" t="s">
        <v>43</v>
      </c>
      <c r="B684" s="6">
        <v>40250</v>
      </c>
      <c r="C684" s="5">
        <f t="shared" si="53"/>
        <v>11</v>
      </c>
      <c r="D684" s="5">
        <f t="shared" si="50"/>
        <v>3</v>
      </c>
      <c r="E684" s="5">
        <f t="shared" si="51"/>
        <v>2010</v>
      </c>
      <c r="F684" s="5" t="s">
        <v>26</v>
      </c>
      <c r="G684" s="5" t="s">
        <v>10</v>
      </c>
      <c r="H684" s="7">
        <v>19642</v>
      </c>
      <c r="I684" s="7">
        <v>22002.77</v>
      </c>
      <c r="J684" s="7">
        <f t="shared" si="52"/>
        <v>2360.7700000000004</v>
      </c>
      <c r="K684" s="8">
        <f t="shared" si="54"/>
        <v>0.12018989919560129</v>
      </c>
    </row>
    <row r="685" spans="1:11" x14ac:dyDescent="0.3">
      <c r="A685" s="5" t="s">
        <v>43</v>
      </c>
      <c r="B685" s="6">
        <v>40250</v>
      </c>
      <c r="C685" s="5">
        <f t="shared" si="53"/>
        <v>11</v>
      </c>
      <c r="D685" s="5">
        <f t="shared" si="50"/>
        <v>3</v>
      </c>
      <c r="E685" s="5">
        <f t="shared" si="51"/>
        <v>2010</v>
      </c>
      <c r="F685" s="5" t="s">
        <v>27</v>
      </c>
      <c r="G685" s="5" t="s">
        <v>10</v>
      </c>
      <c r="H685" s="7">
        <v>233789.98</v>
      </c>
      <c r="I685" s="7">
        <v>260083.26</v>
      </c>
      <c r="J685" s="7">
        <f t="shared" si="52"/>
        <v>26293.279999999999</v>
      </c>
      <c r="K685" s="8">
        <f t="shared" si="54"/>
        <v>0.11246538453016676</v>
      </c>
    </row>
    <row r="686" spans="1:11" x14ac:dyDescent="0.3">
      <c r="A686" s="5" t="s">
        <v>43</v>
      </c>
      <c r="B686" s="6">
        <v>40250</v>
      </c>
      <c r="C686" s="5">
        <f t="shared" si="53"/>
        <v>11</v>
      </c>
      <c r="D686" s="5">
        <f t="shared" si="50"/>
        <v>3</v>
      </c>
      <c r="E686" s="5">
        <f t="shared" si="51"/>
        <v>2010</v>
      </c>
      <c r="F686" s="5" t="s">
        <v>28</v>
      </c>
      <c r="G686" s="5" t="s">
        <v>10</v>
      </c>
      <c r="H686" s="7">
        <v>161962.26</v>
      </c>
      <c r="I686" s="7">
        <v>176541.76</v>
      </c>
      <c r="J686" s="7">
        <f t="shared" si="52"/>
        <v>14579.5</v>
      </c>
      <c r="K686" s="8">
        <f t="shared" si="54"/>
        <v>9.0017884413319496E-2</v>
      </c>
    </row>
    <row r="687" spans="1:11" x14ac:dyDescent="0.3">
      <c r="A687" s="5" t="s">
        <v>43</v>
      </c>
      <c r="B687" s="6">
        <v>40250</v>
      </c>
      <c r="C687" s="5">
        <f t="shared" si="53"/>
        <v>11</v>
      </c>
      <c r="D687" s="5">
        <f t="shared" si="50"/>
        <v>3</v>
      </c>
      <c r="E687" s="5">
        <f t="shared" si="51"/>
        <v>2010</v>
      </c>
      <c r="F687" s="5" t="s">
        <v>29</v>
      </c>
      <c r="G687" s="5" t="s">
        <v>10</v>
      </c>
      <c r="H687" s="7">
        <v>1071763.78</v>
      </c>
      <c r="I687" s="7">
        <v>1176412.8</v>
      </c>
      <c r="J687" s="7">
        <f t="shared" si="52"/>
        <v>104649.02000000002</v>
      </c>
      <c r="K687" s="8">
        <f t="shared" si="54"/>
        <v>9.7641870300935171E-2</v>
      </c>
    </row>
    <row r="688" spans="1:11" x14ac:dyDescent="0.3">
      <c r="A688" s="5" t="s">
        <v>43</v>
      </c>
      <c r="B688" s="6">
        <v>40250</v>
      </c>
      <c r="C688" s="5">
        <f t="shared" si="53"/>
        <v>11</v>
      </c>
      <c r="D688" s="5">
        <f t="shared" si="50"/>
        <v>3</v>
      </c>
      <c r="E688" s="5">
        <f t="shared" si="51"/>
        <v>2010</v>
      </c>
      <c r="F688" s="5" t="s">
        <v>30</v>
      </c>
      <c r="G688" s="5" t="s">
        <v>10</v>
      </c>
      <c r="H688" s="7">
        <v>158534.76</v>
      </c>
      <c r="I688" s="7">
        <v>178424.31</v>
      </c>
      <c r="J688" s="7">
        <f t="shared" si="52"/>
        <v>19889.549999999988</v>
      </c>
      <c r="K688" s="8">
        <f t="shared" si="54"/>
        <v>0.1254586060495502</v>
      </c>
    </row>
    <row r="689" spans="1:11" x14ac:dyDescent="0.3">
      <c r="A689" s="5" t="s">
        <v>43</v>
      </c>
      <c r="B689" s="6">
        <v>40250</v>
      </c>
      <c r="C689" s="5">
        <f t="shared" si="53"/>
        <v>11</v>
      </c>
      <c r="D689" s="5">
        <f t="shared" si="50"/>
        <v>3</v>
      </c>
      <c r="E689" s="5">
        <f t="shared" si="51"/>
        <v>2010</v>
      </c>
      <c r="F689" s="5" t="s">
        <v>9</v>
      </c>
      <c r="G689" s="5" t="s">
        <v>9</v>
      </c>
      <c r="H689" s="7">
        <v>998986.46</v>
      </c>
      <c r="I689" s="7">
        <v>1187780.92</v>
      </c>
      <c r="J689" s="7">
        <f t="shared" si="52"/>
        <v>188794.45999999996</v>
      </c>
      <c r="K689" s="8">
        <f t="shared" si="54"/>
        <v>0.18898600487538136</v>
      </c>
    </row>
    <row r="690" spans="1:11" x14ac:dyDescent="0.3">
      <c r="A690" s="5" t="s">
        <v>43</v>
      </c>
      <c r="B690" s="6">
        <v>40250</v>
      </c>
      <c r="C690" s="5">
        <f t="shared" si="53"/>
        <v>11</v>
      </c>
      <c r="D690" s="5">
        <f t="shared" si="50"/>
        <v>3</v>
      </c>
      <c r="E690" s="5">
        <f t="shared" si="51"/>
        <v>2010</v>
      </c>
      <c r="F690" s="5" t="s">
        <v>31</v>
      </c>
      <c r="G690" s="5" t="s">
        <v>7</v>
      </c>
      <c r="H690" s="7">
        <v>13517.37</v>
      </c>
      <c r="I690" s="7">
        <v>29289.13</v>
      </c>
      <c r="J690" s="7">
        <f t="shared" si="52"/>
        <v>15771.76</v>
      </c>
      <c r="K690" s="8">
        <f t="shared" si="54"/>
        <v>1.1667772651040846</v>
      </c>
    </row>
    <row r="691" spans="1:11" x14ac:dyDescent="0.3">
      <c r="A691" s="5" t="s">
        <v>43</v>
      </c>
      <c r="B691" s="6">
        <v>40250</v>
      </c>
      <c r="C691" s="5">
        <f t="shared" si="53"/>
        <v>11</v>
      </c>
      <c r="D691" s="5">
        <f t="shared" si="50"/>
        <v>3</v>
      </c>
      <c r="E691" s="5">
        <f t="shared" si="51"/>
        <v>2010</v>
      </c>
      <c r="F691" s="5" t="s">
        <v>33</v>
      </c>
      <c r="G691" s="5" t="s">
        <v>7</v>
      </c>
      <c r="H691" s="7">
        <v>242866.09</v>
      </c>
      <c r="I691" s="7">
        <v>482886.91</v>
      </c>
      <c r="J691" s="7">
        <f t="shared" si="52"/>
        <v>240020.81999999998</v>
      </c>
      <c r="K691" s="8">
        <f t="shared" si="54"/>
        <v>0.98828461396154554</v>
      </c>
    </row>
    <row r="692" spans="1:11" x14ac:dyDescent="0.3">
      <c r="A692" s="5" t="s">
        <v>43</v>
      </c>
      <c r="B692" s="6">
        <v>40250</v>
      </c>
      <c r="C692" s="5">
        <f t="shared" si="53"/>
        <v>11</v>
      </c>
      <c r="D692" s="5">
        <f t="shared" si="50"/>
        <v>3</v>
      </c>
      <c r="E692" s="5">
        <f t="shared" si="51"/>
        <v>2010</v>
      </c>
      <c r="F692" s="5" t="s">
        <v>34</v>
      </c>
      <c r="G692" s="5" t="s">
        <v>7</v>
      </c>
      <c r="H692" s="7">
        <v>95</v>
      </c>
      <c r="I692" s="7">
        <v>294.58999999999997</v>
      </c>
      <c r="J692" s="7">
        <f t="shared" si="52"/>
        <v>199.58999999999997</v>
      </c>
      <c r="K692" s="8">
        <f t="shared" si="54"/>
        <v>2.1009473684210525</v>
      </c>
    </row>
    <row r="693" spans="1:11" x14ac:dyDescent="0.3">
      <c r="A693" s="5" t="s">
        <v>43</v>
      </c>
      <c r="B693" s="6">
        <v>40250</v>
      </c>
      <c r="C693" s="5">
        <f t="shared" si="53"/>
        <v>11</v>
      </c>
      <c r="D693" s="5">
        <f t="shared" si="50"/>
        <v>3</v>
      </c>
      <c r="E693" s="5">
        <f t="shared" si="51"/>
        <v>2010</v>
      </c>
      <c r="F693" s="5" t="s">
        <v>35</v>
      </c>
      <c r="G693" s="5" t="s">
        <v>11</v>
      </c>
      <c r="H693" s="7">
        <v>1538.48</v>
      </c>
      <c r="I693" s="7">
        <v>1999.87</v>
      </c>
      <c r="J693" s="7">
        <f t="shared" si="52"/>
        <v>461.38999999999987</v>
      </c>
      <c r="K693" s="8">
        <f t="shared" si="54"/>
        <v>0.29989990120118548</v>
      </c>
    </row>
    <row r="694" spans="1:11" x14ac:dyDescent="0.3">
      <c r="A694" s="5" t="s">
        <v>43</v>
      </c>
      <c r="B694" s="6">
        <v>40250</v>
      </c>
      <c r="C694" s="5">
        <f t="shared" si="53"/>
        <v>11</v>
      </c>
      <c r="D694" s="5">
        <f t="shared" si="50"/>
        <v>3</v>
      </c>
      <c r="E694" s="5">
        <f t="shared" si="51"/>
        <v>2010</v>
      </c>
      <c r="F694" s="5" t="s">
        <v>36</v>
      </c>
      <c r="G694" s="5" t="s">
        <v>11</v>
      </c>
      <c r="H694" s="7">
        <v>255071.76</v>
      </c>
      <c r="I694" s="7">
        <v>276147.78000000003</v>
      </c>
      <c r="J694" s="7">
        <f t="shared" si="52"/>
        <v>21076.020000000019</v>
      </c>
      <c r="K694" s="8">
        <f t="shared" si="54"/>
        <v>8.2627806386720418E-2</v>
      </c>
    </row>
    <row r="695" spans="1:11" x14ac:dyDescent="0.3">
      <c r="A695" s="5" t="s">
        <v>43</v>
      </c>
      <c r="B695" s="6">
        <v>40250</v>
      </c>
      <c r="C695" s="5">
        <f t="shared" si="53"/>
        <v>11</v>
      </c>
      <c r="D695" s="5">
        <f t="shared" si="50"/>
        <v>3</v>
      </c>
      <c r="E695" s="5">
        <f t="shared" si="51"/>
        <v>2010</v>
      </c>
      <c r="F695" s="5" t="s">
        <v>37</v>
      </c>
      <c r="G695" s="5" t="s">
        <v>11</v>
      </c>
      <c r="H695" s="7">
        <v>589520.53</v>
      </c>
      <c r="I695" s="7">
        <v>630584.25</v>
      </c>
      <c r="J695" s="7">
        <f t="shared" si="52"/>
        <v>41063.719999999972</v>
      </c>
      <c r="K695" s="8">
        <f t="shared" si="54"/>
        <v>6.9656132246997349E-2</v>
      </c>
    </row>
    <row r="696" spans="1:11" x14ac:dyDescent="0.3">
      <c r="A696" s="5" t="s">
        <v>43</v>
      </c>
      <c r="B696" s="6">
        <v>40250</v>
      </c>
      <c r="C696" s="5">
        <f t="shared" si="53"/>
        <v>11</v>
      </c>
      <c r="D696" s="5">
        <f t="shared" si="50"/>
        <v>3</v>
      </c>
      <c r="E696" s="5">
        <f t="shared" si="51"/>
        <v>2010</v>
      </c>
      <c r="F696" s="5" t="s">
        <v>38</v>
      </c>
      <c r="G696" s="5" t="s">
        <v>11</v>
      </c>
      <c r="H696" s="7">
        <v>552149.46</v>
      </c>
      <c r="I696" s="7">
        <v>575713.79</v>
      </c>
      <c r="J696" s="7">
        <f t="shared" si="52"/>
        <v>23564.330000000075</v>
      </c>
      <c r="K696" s="8">
        <f t="shared" si="54"/>
        <v>4.2677448240192206E-2</v>
      </c>
    </row>
    <row r="697" spans="1:11" x14ac:dyDescent="0.3">
      <c r="A697" s="5" t="s">
        <v>43</v>
      </c>
      <c r="B697" s="6">
        <v>40251</v>
      </c>
      <c r="C697" s="5">
        <f t="shared" si="53"/>
        <v>12</v>
      </c>
      <c r="D697" s="5">
        <f t="shared" si="50"/>
        <v>3</v>
      </c>
      <c r="E697" s="5">
        <f t="shared" si="51"/>
        <v>2010</v>
      </c>
      <c r="F697" s="5" t="s">
        <v>14</v>
      </c>
      <c r="G697" s="5" t="s">
        <v>6</v>
      </c>
      <c r="H697" s="7">
        <v>3230.97</v>
      </c>
      <c r="I697" s="7">
        <v>3729.38</v>
      </c>
      <c r="J697" s="7">
        <f t="shared" si="52"/>
        <v>498.41000000000031</v>
      </c>
      <c r="K697" s="8">
        <f t="shared" si="54"/>
        <v>0.15426017573669837</v>
      </c>
    </row>
    <row r="698" spans="1:11" x14ac:dyDescent="0.3">
      <c r="A698" s="5" t="s">
        <v>43</v>
      </c>
      <c r="B698" s="6">
        <v>40251</v>
      </c>
      <c r="C698" s="5">
        <f t="shared" si="53"/>
        <v>12</v>
      </c>
      <c r="D698" s="5">
        <f t="shared" si="50"/>
        <v>3</v>
      </c>
      <c r="E698" s="5">
        <f t="shared" si="51"/>
        <v>2010</v>
      </c>
      <c r="F698" s="5" t="s">
        <v>15</v>
      </c>
      <c r="G698" s="5" t="s">
        <v>6</v>
      </c>
      <c r="H698" s="7">
        <v>254135.24</v>
      </c>
      <c r="I698" s="7">
        <v>361499.32</v>
      </c>
      <c r="J698" s="7">
        <f t="shared" si="52"/>
        <v>107364.08000000002</v>
      </c>
      <c r="K698" s="8">
        <f t="shared" si="54"/>
        <v>0.42246828893151545</v>
      </c>
    </row>
    <row r="699" spans="1:11" x14ac:dyDescent="0.3">
      <c r="A699" s="5" t="s">
        <v>43</v>
      </c>
      <c r="B699" s="6">
        <v>40251</v>
      </c>
      <c r="C699" s="5">
        <f t="shared" si="53"/>
        <v>12</v>
      </c>
      <c r="D699" s="5">
        <f t="shared" si="50"/>
        <v>3</v>
      </c>
      <c r="E699" s="5">
        <f t="shared" si="51"/>
        <v>2010</v>
      </c>
      <c r="F699" s="5" t="s">
        <v>16</v>
      </c>
      <c r="G699" s="5" t="s">
        <v>6</v>
      </c>
      <c r="H699" s="7">
        <v>48618.66</v>
      </c>
      <c r="I699" s="7">
        <v>53945.9</v>
      </c>
      <c r="J699" s="7">
        <f t="shared" si="52"/>
        <v>5327.239999999998</v>
      </c>
      <c r="K699" s="8">
        <f t="shared" si="54"/>
        <v>0.10957192156262632</v>
      </c>
    </row>
    <row r="700" spans="1:11" x14ac:dyDescent="0.3">
      <c r="A700" s="5" t="s">
        <v>43</v>
      </c>
      <c r="B700" s="6">
        <v>40251</v>
      </c>
      <c r="C700" s="5">
        <f t="shared" si="53"/>
        <v>12</v>
      </c>
      <c r="D700" s="5">
        <f t="shared" si="50"/>
        <v>3</v>
      </c>
      <c r="E700" s="5">
        <f t="shared" si="51"/>
        <v>2010</v>
      </c>
      <c r="F700" s="5" t="s">
        <v>17</v>
      </c>
      <c r="G700" s="5" t="s">
        <v>6</v>
      </c>
      <c r="H700" s="7">
        <v>1565</v>
      </c>
      <c r="I700" s="7">
        <v>1706.94</v>
      </c>
      <c r="J700" s="7">
        <f t="shared" si="52"/>
        <v>141.94000000000005</v>
      </c>
      <c r="K700" s="8">
        <f t="shared" si="54"/>
        <v>9.0696485623003226E-2</v>
      </c>
    </row>
    <row r="701" spans="1:11" x14ac:dyDescent="0.3">
      <c r="A701" s="5" t="s">
        <v>43</v>
      </c>
      <c r="B701" s="6">
        <v>40251</v>
      </c>
      <c r="C701" s="5">
        <f t="shared" si="53"/>
        <v>12</v>
      </c>
      <c r="D701" s="5">
        <f t="shared" si="50"/>
        <v>3</v>
      </c>
      <c r="E701" s="5">
        <f t="shared" si="51"/>
        <v>2010</v>
      </c>
      <c r="F701" s="5" t="s">
        <v>19</v>
      </c>
      <c r="G701" s="5" t="s">
        <v>5</v>
      </c>
      <c r="H701" s="7">
        <v>134827.4</v>
      </c>
      <c r="I701" s="7">
        <v>150644.01999999999</v>
      </c>
      <c r="J701" s="7">
        <f t="shared" si="52"/>
        <v>15816.619999999995</v>
      </c>
      <c r="K701" s="8">
        <f t="shared" si="54"/>
        <v>0.117310131323455</v>
      </c>
    </row>
    <row r="702" spans="1:11" x14ac:dyDescent="0.3">
      <c r="A702" s="5" t="s">
        <v>43</v>
      </c>
      <c r="B702" s="6">
        <v>40251</v>
      </c>
      <c r="C702" s="5">
        <f t="shared" si="53"/>
        <v>12</v>
      </c>
      <c r="D702" s="5">
        <f t="shared" si="50"/>
        <v>3</v>
      </c>
      <c r="E702" s="5">
        <f t="shared" si="51"/>
        <v>2010</v>
      </c>
      <c r="F702" s="5" t="s">
        <v>5</v>
      </c>
      <c r="G702" s="5" t="s">
        <v>5</v>
      </c>
      <c r="H702" s="7">
        <v>780338.4</v>
      </c>
      <c r="I702" s="7">
        <v>836915.95</v>
      </c>
      <c r="J702" s="7">
        <f t="shared" si="52"/>
        <v>56577.54999999993</v>
      </c>
      <c r="K702" s="8">
        <f t="shared" si="54"/>
        <v>7.2503864989855588E-2</v>
      </c>
    </row>
    <row r="703" spans="1:11" x14ac:dyDescent="0.3">
      <c r="A703" s="5" t="s">
        <v>43</v>
      </c>
      <c r="B703" s="6">
        <v>40251</v>
      </c>
      <c r="C703" s="5">
        <f t="shared" si="53"/>
        <v>12</v>
      </c>
      <c r="D703" s="5">
        <f t="shared" si="50"/>
        <v>3</v>
      </c>
      <c r="E703" s="5">
        <f t="shared" si="51"/>
        <v>2010</v>
      </c>
      <c r="F703" s="5" t="s">
        <v>20</v>
      </c>
      <c r="G703" s="5" t="s">
        <v>5</v>
      </c>
      <c r="H703" s="7">
        <v>131223.51</v>
      </c>
      <c r="I703" s="7">
        <v>142085.99</v>
      </c>
      <c r="J703" s="7">
        <f t="shared" si="52"/>
        <v>10862.479999999981</v>
      </c>
      <c r="K703" s="8">
        <f t="shared" si="54"/>
        <v>8.2778459439165897E-2</v>
      </c>
    </row>
    <row r="704" spans="1:11" x14ac:dyDescent="0.3">
      <c r="A704" s="5" t="s">
        <v>43</v>
      </c>
      <c r="B704" s="6">
        <v>40251</v>
      </c>
      <c r="C704" s="5">
        <f t="shared" si="53"/>
        <v>12</v>
      </c>
      <c r="D704" s="5">
        <f t="shared" si="50"/>
        <v>3</v>
      </c>
      <c r="E704" s="5">
        <f t="shared" si="51"/>
        <v>2010</v>
      </c>
      <c r="F704" s="5" t="s">
        <v>21</v>
      </c>
      <c r="G704" s="5" t="s">
        <v>5</v>
      </c>
      <c r="H704" s="7">
        <v>328199.15999999997</v>
      </c>
      <c r="I704" s="7">
        <v>348645.64</v>
      </c>
      <c r="J704" s="7">
        <f t="shared" si="52"/>
        <v>20446.48000000004</v>
      </c>
      <c r="K704" s="8">
        <f t="shared" si="54"/>
        <v>6.2299001618407679E-2</v>
      </c>
    </row>
    <row r="705" spans="1:11" x14ac:dyDescent="0.3">
      <c r="A705" s="5" t="s">
        <v>43</v>
      </c>
      <c r="B705" s="6">
        <v>40251</v>
      </c>
      <c r="C705" s="5">
        <f t="shared" si="53"/>
        <v>12</v>
      </c>
      <c r="D705" s="5">
        <f t="shared" si="50"/>
        <v>3</v>
      </c>
      <c r="E705" s="5">
        <f t="shared" si="51"/>
        <v>2010</v>
      </c>
      <c r="F705" s="5" t="s">
        <v>22</v>
      </c>
      <c r="G705" s="5" t="s">
        <v>8</v>
      </c>
      <c r="H705" s="7">
        <v>465034.93</v>
      </c>
      <c r="I705" s="7">
        <v>502544.42</v>
      </c>
      <c r="J705" s="7">
        <f t="shared" si="52"/>
        <v>37509.489999999991</v>
      </c>
      <c r="K705" s="8">
        <f t="shared" si="54"/>
        <v>8.0659510888784189E-2</v>
      </c>
    </row>
    <row r="706" spans="1:11" x14ac:dyDescent="0.3">
      <c r="A706" s="5" t="s">
        <v>43</v>
      </c>
      <c r="B706" s="6">
        <v>40251</v>
      </c>
      <c r="C706" s="5">
        <f t="shared" si="53"/>
        <v>12</v>
      </c>
      <c r="D706" s="5">
        <f t="shared" ref="D706:D769" si="55">MONTH(B706)</f>
        <v>3</v>
      </c>
      <c r="E706" s="5">
        <f t="shared" ref="E706:E769" si="56">YEAR(B706)</f>
        <v>2010</v>
      </c>
      <c r="F706" s="5" t="s">
        <v>23</v>
      </c>
      <c r="G706" s="5" t="s">
        <v>8</v>
      </c>
      <c r="H706" s="7">
        <v>215121.2</v>
      </c>
      <c r="I706" s="7">
        <v>225950.85</v>
      </c>
      <c r="J706" s="7">
        <f t="shared" ref="J706:J769" si="57">I706-H706</f>
        <v>10829.649999999994</v>
      </c>
      <c r="K706" s="8">
        <f t="shared" si="54"/>
        <v>5.0342086228600404E-2</v>
      </c>
    </row>
    <row r="707" spans="1:11" x14ac:dyDescent="0.3">
      <c r="A707" s="5" t="s">
        <v>43</v>
      </c>
      <c r="B707" s="6">
        <v>40251</v>
      </c>
      <c r="C707" s="5">
        <f t="shared" ref="C707:C770" si="58">WEEKNUM(B707,1)</f>
        <v>12</v>
      </c>
      <c r="D707" s="5">
        <f t="shared" si="55"/>
        <v>3</v>
      </c>
      <c r="E707" s="5">
        <f t="shared" si="56"/>
        <v>2010</v>
      </c>
      <c r="F707" s="5" t="s">
        <v>24</v>
      </c>
      <c r="G707" s="5" t="s">
        <v>8</v>
      </c>
      <c r="H707" s="7">
        <v>175689</v>
      </c>
      <c r="I707" s="7">
        <v>184518.6</v>
      </c>
      <c r="J707" s="7">
        <f t="shared" si="57"/>
        <v>8829.6000000000058</v>
      </c>
      <c r="K707" s="8">
        <f t="shared" ref="K707:K770" si="59">(I707-H707)/H707</f>
        <v>5.0256988200741114E-2</v>
      </c>
    </row>
    <row r="708" spans="1:11" x14ac:dyDescent="0.3">
      <c r="A708" s="5" t="s">
        <v>43</v>
      </c>
      <c r="B708" s="6">
        <v>40251</v>
      </c>
      <c r="C708" s="5">
        <f t="shared" si="58"/>
        <v>12</v>
      </c>
      <c r="D708" s="5">
        <f t="shared" si="55"/>
        <v>3</v>
      </c>
      <c r="E708" s="5">
        <f t="shared" si="56"/>
        <v>2010</v>
      </c>
      <c r="F708" s="5" t="s">
        <v>25</v>
      </c>
      <c r="G708" s="5" t="s">
        <v>8</v>
      </c>
      <c r="H708" s="7">
        <v>16963.2</v>
      </c>
      <c r="I708" s="7">
        <v>17463.580000000002</v>
      </c>
      <c r="J708" s="7">
        <f t="shared" si="57"/>
        <v>500.38000000000102</v>
      </c>
      <c r="K708" s="8">
        <f t="shared" si="59"/>
        <v>2.9497972080739541E-2</v>
      </c>
    </row>
    <row r="709" spans="1:11" x14ac:dyDescent="0.3">
      <c r="A709" s="5" t="s">
        <v>43</v>
      </c>
      <c r="B709" s="6">
        <v>40251</v>
      </c>
      <c r="C709" s="5">
        <f t="shared" si="58"/>
        <v>12</v>
      </c>
      <c r="D709" s="5">
        <f t="shared" si="55"/>
        <v>3</v>
      </c>
      <c r="E709" s="5">
        <f t="shared" si="56"/>
        <v>2010</v>
      </c>
      <c r="F709" s="5" t="s">
        <v>26</v>
      </c>
      <c r="G709" s="5" t="s">
        <v>10</v>
      </c>
      <c r="H709" s="7">
        <v>18822</v>
      </c>
      <c r="I709" s="7">
        <v>21103.599999999999</v>
      </c>
      <c r="J709" s="7">
        <f t="shared" si="57"/>
        <v>2281.5999999999985</v>
      </c>
      <c r="K709" s="8">
        <f t="shared" si="59"/>
        <v>0.12121984911274034</v>
      </c>
    </row>
    <row r="710" spans="1:11" x14ac:dyDescent="0.3">
      <c r="A710" s="5" t="s">
        <v>43</v>
      </c>
      <c r="B710" s="6">
        <v>40251</v>
      </c>
      <c r="C710" s="5">
        <f t="shared" si="58"/>
        <v>12</v>
      </c>
      <c r="D710" s="5">
        <f t="shared" si="55"/>
        <v>3</v>
      </c>
      <c r="E710" s="5">
        <f t="shared" si="56"/>
        <v>2010</v>
      </c>
      <c r="F710" s="5" t="s">
        <v>27</v>
      </c>
      <c r="G710" s="5" t="s">
        <v>10</v>
      </c>
      <c r="H710" s="7">
        <v>147236</v>
      </c>
      <c r="I710" s="7">
        <v>163692.12</v>
      </c>
      <c r="J710" s="7">
        <f t="shared" si="57"/>
        <v>16456.119999999995</v>
      </c>
      <c r="K710" s="8">
        <f t="shared" si="59"/>
        <v>0.11176695916759485</v>
      </c>
    </row>
    <row r="711" spans="1:11" x14ac:dyDescent="0.3">
      <c r="A711" s="5" t="s">
        <v>43</v>
      </c>
      <c r="B711" s="6">
        <v>40251</v>
      </c>
      <c r="C711" s="5">
        <f t="shared" si="58"/>
        <v>12</v>
      </c>
      <c r="D711" s="5">
        <f t="shared" si="55"/>
        <v>3</v>
      </c>
      <c r="E711" s="5">
        <f t="shared" si="56"/>
        <v>2010</v>
      </c>
      <c r="F711" s="5" t="s">
        <v>28</v>
      </c>
      <c r="G711" s="5" t="s">
        <v>10</v>
      </c>
      <c r="H711" s="7">
        <v>100061.02</v>
      </c>
      <c r="I711" s="7">
        <v>110758.2</v>
      </c>
      <c r="J711" s="7">
        <f t="shared" si="57"/>
        <v>10697.179999999993</v>
      </c>
      <c r="K711" s="8">
        <f t="shared" si="59"/>
        <v>0.10690656561366246</v>
      </c>
    </row>
    <row r="712" spans="1:11" x14ac:dyDescent="0.3">
      <c r="A712" s="5" t="s">
        <v>43</v>
      </c>
      <c r="B712" s="6">
        <v>40251</v>
      </c>
      <c r="C712" s="5">
        <f t="shared" si="58"/>
        <v>12</v>
      </c>
      <c r="D712" s="5">
        <f t="shared" si="55"/>
        <v>3</v>
      </c>
      <c r="E712" s="5">
        <f t="shared" si="56"/>
        <v>2010</v>
      </c>
      <c r="F712" s="5" t="s">
        <v>29</v>
      </c>
      <c r="G712" s="5" t="s">
        <v>10</v>
      </c>
      <c r="H712" s="7">
        <v>845040.91</v>
      </c>
      <c r="I712" s="7">
        <v>926994.26</v>
      </c>
      <c r="J712" s="7">
        <f t="shared" si="57"/>
        <v>81953.349999999977</v>
      </c>
      <c r="K712" s="8">
        <f t="shared" si="59"/>
        <v>9.6981517735040754E-2</v>
      </c>
    </row>
    <row r="713" spans="1:11" x14ac:dyDescent="0.3">
      <c r="A713" s="5" t="s">
        <v>43</v>
      </c>
      <c r="B713" s="6">
        <v>40251</v>
      </c>
      <c r="C713" s="5">
        <f t="shared" si="58"/>
        <v>12</v>
      </c>
      <c r="D713" s="5">
        <f t="shared" si="55"/>
        <v>3</v>
      </c>
      <c r="E713" s="5">
        <f t="shared" si="56"/>
        <v>2010</v>
      </c>
      <c r="F713" s="5" t="s">
        <v>30</v>
      </c>
      <c r="G713" s="5" t="s">
        <v>10</v>
      </c>
      <c r="H713" s="7">
        <v>130232.82</v>
      </c>
      <c r="I713" s="7">
        <v>146638.60999999999</v>
      </c>
      <c r="J713" s="7">
        <f t="shared" si="57"/>
        <v>16405.789999999979</v>
      </c>
      <c r="K713" s="8">
        <f t="shared" si="59"/>
        <v>0.12597277706188023</v>
      </c>
    </row>
    <row r="714" spans="1:11" x14ac:dyDescent="0.3">
      <c r="A714" s="5" t="s">
        <v>43</v>
      </c>
      <c r="B714" s="6">
        <v>40251</v>
      </c>
      <c r="C714" s="5">
        <f t="shared" si="58"/>
        <v>12</v>
      </c>
      <c r="D714" s="5">
        <f t="shared" si="55"/>
        <v>3</v>
      </c>
      <c r="E714" s="5">
        <f t="shared" si="56"/>
        <v>2010</v>
      </c>
      <c r="F714" s="5" t="s">
        <v>9</v>
      </c>
      <c r="G714" s="5" t="s">
        <v>9</v>
      </c>
      <c r="H714" s="7">
        <v>798496.2</v>
      </c>
      <c r="I714" s="7">
        <v>935065.65</v>
      </c>
      <c r="J714" s="7">
        <f t="shared" si="57"/>
        <v>136569.45000000007</v>
      </c>
      <c r="K714" s="8">
        <f t="shared" si="59"/>
        <v>0.17103331236892558</v>
      </c>
    </row>
    <row r="715" spans="1:11" x14ac:dyDescent="0.3">
      <c r="A715" s="5" t="s">
        <v>43</v>
      </c>
      <c r="B715" s="6">
        <v>40251</v>
      </c>
      <c r="C715" s="5">
        <f t="shared" si="58"/>
        <v>12</v>
      </c>
      <c r="D715" s="5">
        <f t="shared" si="55"/>
        <v>3</v>
      </c>
      <c r="E715" s="5">
        <f t="shared" si="56"/>
        <v>2010</v>
      </c>
      <c r="F715" s="5" t="s">
        <v>31</v>
      </c>
      <c r="G715" s="5" t="s">
        <v>7</v>
      </c>
      <c r="H715" s="7">
        <v>10412.68</v>
      </c>
      <c r="I715" s="7">
        <v>23139.75</v>
      </c>
      <c r="J715" s="7">
        <f t="shared" si="57"/>
        <v>12727.07</v>
      </c>
      <c r="K715" s="8">
        <f t="shared" si="59"/>
        <v>1.2222665058371138</v>
      </c>
    </row>
    <row r="716" spans="1:11" x14ac:dyDescent="0.3">
      <c r="A716" s="5" t="s">
        <v>43</v>
      </c>
      <c r="B716" s="6">
        <v>40251</v>
      </c>
      <c r="C716" s="5">
        <f t="shared" si="58"/>
        <v>12</v>
      </c>
      <c r="D716" s="5">
        <f t="shared" si="55"/>
        <v>3</v>
      </c>
      <c r="E716" s="5">
        <f t="shared" si="56"/>
        <v>2010</v>
      </c>
      <c r="F716" s="5" t="s">
        <v>32</v>
      </c>
      <c r="G716" s="5" t="s">
        <v>7</v>
      </c>
      <c r="H716" s="7">
        <v>235.23</v>
      </c>
      <c r="I716" s="7">
        <v>261.36</v>
      </c>
      <c r="J716" s="7">
        <f t="shared" si="57"/>
        <v>26.130000000000024</v>
      </c>
      <c r="K716" s="8">
        <f t="shared" si="59"/>
        <v>0.11108277005484005</v>
      </c>
    </row>
    <row r="717" spans="1:11" x14ac:dyDescent="0.3">
      <c r="A717" s="5" t="s">
        <v>43</v>
      </c>
      <c r="B717" s="6">
        <v>40251</v>
      </c>
      <c r="C717" s="5">
        <f t="shared" si="58"/>
        <v>12</v>
      </c>
      <c r="D717" s="5">
        <f t="shared" si="55"/>
        <v>3</v>
      </c>
      <c r="E717" s="5">
        <f t="shared" si="56"/>
        <v>2010</v>
      </c>
      <c r="F717" s="5" t="s">
        <v>33</v>
      </c>
      <c r="G717" s="5" t="s">
        <v>7</v>
      </c>
      <c r="H717" s="7">
        <v>198200.06</v>
      </c>
      <c r="I717" s="7">
        <v>387134.15</v>
      </c>
      <c r="J717" s="7">
        <f t="shared" si="57"/>
        <v>188934.09000000003</v>
      </c>
      <c r="K717" s="8">
        <f t="shared" si="59"/>
        <v>0.95324940870350916</v>
      </c>
    </row>
    <row r="718" spans="1:11" x14ac:dyDescent="0.3">
      <c r="A718" s="5" t="s">
        <v>43</v>
      </c>
      <c r="B718" s="6">
        <v>40251</v>
      </c>
      <c r="C718" s="5">
        <f t="shared" si="58"/>
        <v>12</v>
      </c>
      <c r="D718" s="5">
        <f t="shared" si="55"/>
        <v>3</v>
      </c>
      <c r="E718" s="5">
        <f t="shared" si="56"/>
        <v>2010</v>
      </c>
      <c r="F718" s="5" t="s">
        <v>34</v>
      </c>
      <c r="G718" s="5" t="s">
        <v>7</v>
      </c>
      <c r="H718" s="7">
        <v>76</v>
      </c>
      <c r="I718" s="7">
        <v>235.96</v>
      </c>
      <c r="J718" s="7">
        <f t="shared" si="57"/>
        <v>159.96</v>
      </c>
      <c r="K718" s="8">
        <f t="shared" si="59"/>
        <v>2.1047368421052632</v>
      </c>
    </row>
    <row r="719" spans="1:11" x14ac:dyDescent="0.3">
      <c r="A719" s="5" t="s">
        <v>43</v>
      </c>
      <c r="B719" s="6">
        <v>40251</v>
      </c>
      <c r="C719" s="5">
        <f t="shared" si="58"/>
        <v>12</v>
      </c>
      <c r="D719" s="5">
        <f t="shared" si="55"/>
        <v>3</v>
      </c>
      <c r="E719" s="5">
        <f t="shared" si="56"/>
        <v>2010</v>
      </c>
      <c r="F719" s="5" t="s">
        <v>35</v>
      </c>
      <c r="G719" s="5" t="s">
        <v>11</v>
      </c>
      <c r="H719" s="7">
        <v>2743.84</v>
      </c>
      <c r="I719" s="7">
        <v>3488.87</v>
      </c>
      <c r="J719" s="7">
        <f t="shared" si="57"/>
        <v>745.02999999999975</v>
      </c>
      <c r="K719" s="8">
        <f t="shared" si="59"/>
        <v>0.27152822322001274</v>
      </c>
    </row>
    <row r="720" spans="1:11" x14ac:dyDescent="0.3">
      <c r="A720" s="5" t="s">
        <v>43</v>
      </c>
      <c r="B720" s="6">
        <v>40251</v>
      </c>
      <c r="C720" s="5">
        <f t="shared" si="58"/>
        <v>12</v>
      </c>
      <c r="D720" s="5">
        <f t="shared" si="55"/>
        <v>3</v>
      </c>
      <c r="E720" s="5">
        <f t="shared" si="56"/>
        <v>2010</v>
      </c>
      <c r="F720" s="5" t="s">
        <v>36</v>
      </c>
      <c r="G720" s="5" t="s">
        <v>11</v>
      </c>
      <c r="H720" s="7">
        <v>243861.44</v>
      </c>
      <c r="I720" s="7">
        <v>263037.09999999998</v>
      </c>
      <c r="J720" s="7">
        <f t="shared" si="57"/>
        <v>19175.659999999974</v>
      </c>
      <c r="K720" s="8">
        <f t="shared" si="59"/>
        <v>7.8633423964034554E-2</v>
      </c>
    </row>
    <row r="721" spans="1:11" x14ac:dyDescent="0.3">
      <c r="A721" s="5" t="s">
        <v>43</v>
      </c>
      <c r="B721" s="6">
        <v>40251</v>
      </c>
      <c r="C721" s="5">
        <f t="shared" si="58"/>
        <v>12</v>
      </c>
      <c r="D721" s="5">
        <f t="shared" si="55"/>
        <v>3</v>
      </c>
      <c r="E721" s="5">
        <f t="shared" si="56"/>
        <v>2010</v>
      </c>
      <c r="F721" s="5" t="s">
        <v>37</v>
      </c>
      <c r="G721" s="5" t="s">
        <v>11</v>
      </c>
      <c r="H721" s="7">
        <v>503900.07</v>
      </c>
      <c r="I721" s="7">
        <v>535098.28</v>
      </c>
      <c r="J721" s="7">
        <f t="shared" si="57"/>
        <v>31198.210000000021</v>
      </c>
      <c r="K721" s="8">
        <f t="shared" si="59"/>
        <v>6.1913486140218278E-2</v>
      </c>
    </row>
    <row r="722" spans="1:11" x14ac:dyDescent="0.3">
      <c r="A722" s="5" t="s">
        <v>43</v>
      </c>
      <c r="B722" s="6">
        <v>40251</v>
      </c>
      <c r="C722" s="5">
        <f t="shared" si="58"/>
        <v>12</v>
      </c>
      <c r="D722" s="5">
        <f t="shared" si="55"/>
        <v>3</v>
      </c>
      <c r="E722" s="5">
        <f t="shared" si="56"/>
        <v>2010</v>
      </c>
      <c r="F722" s="5" t="s">
        <v>38</v>
      </c>
      <c r="G722" s="5" t="s">
        <v>11</v>
      </c>
      <c r="H722" s="7">
        <v>540760.86</v>
      </c>
      <c r="I722" s="7">
        <v>557622.01</v>
      </c>
      <c r="J722" s="7">
        <f t="shared" si="57"/>
        <v>16861.150000000023</v>
      </c>
      <c r="K722" s="8">
        <f t="shared" si="59"/>
        <v>3.1180418641985338E-2</v>
      </c>
    </row>
    <row r="723" spans="1:11" x14ac:dyDescent="0.3">
      <c r="A723" s="5" t="s">
        <v>43</v>
      </c>
      <c r="B723" s="6">
        <v>40252</v>
      </c>
      <c r="C723" s="5">
        <f t="shared" si="58"/>
        <v>12</v>
      </c>
      <c r="D723" s="5">
        <f t="shared" si="55"/>
        <v>3</v>
      </c>
      <c r="E723" s="5">
        <f t="shared" si="56"/>
        <v>2010</v>
      </c>
      <c r="F723" s="5" t="s">
        <v>14</v>
      </c>
      <c r="G723" s="5" t="s">
        <v>6</v>
      </c>
      <c r="H723" s="7">
        <v>8339.94</v>
      </c>
      <c r="I723" s="7">
        <v>10304.459999999999</v>
      </c>
      <c r="J723" s="7">
        <f t="shared" si="57"/>
        <v>1964.5199999999986</v>
      </c>
      <c r="K723" s="8">
        <f t="shared" si="59"/>
        <v>0.23555565147950686</v>
      </c>
    </row>
    <row r="724" spans="1:11" x14ac:dyDescent="0.3">
      <c r="A724" s="5" t="s">
        <v>43</v>
      </c>
      <c r="B724" s="6">
        <v>40252</v>
      </c>
      <c r="C724" s="5">
        <f t="shared" si="58"/>
        <v>12</v>
      </c>
      <c r="D724" s="5">
        <f t="shared" si="55"/>
        <v>3</v>
      </c>
      <c r="E724" s="5">
        <f t="shared" si="56"/>
        <v>2010</v>
      </c>
      <c r="F724" s="5" t="s">
        <v>15</v>
      </c>
      <c r="G724" s="5" t="s">
        <v>6</v>
      </c>
      <c r="H724" s="7">
        <v>181816.12</v>
      </c>
      <c r="I724" s="7">
        <v>291707.92</v>
      </c>
      <c r="J724" s="7">
        <f t="shared" si="57"/>
        <v>109891.79999999999</v>
      </c>
      <c r="K724" s="8">
        <f t="shared" si="59"/>
        <v>0.60441175402929059</v>
      </c>
    </row>
    <row r="725" spans="1:11" x14ac:dyDescent="0.3">
      <c r="A725" s="5" t="s">
        <v>43</v>
      </c>
      <c r="B725" s="6">
        <v>40252</v>
      </c>
      <c r="C725" s="5">
        <f t="shared" si="58"/>
        <v>12</v>
      </c>
      <c r="D725" s="5">
        <f t="shared" si="55"/>
        <v>3</v>
      </c>
      <c r="E725" s="5">
        <f t="shared" si="56"/>
        <v>2010</v>
      </c>
      <c r="F725" s="5" t="s">
        <v>16</v>
      </c>
      <c r="G725" s="5" t="s">
        <v>6</v>
      </c>
      <c r="H725" s="7">
        <v>31647.07</v>
      </c>
      <c r="I725" s="7">
        <v>35202.49</v>
      </c>
      <c r="J725" s="7">
        <f t="shared" si="57"/>
        <v>3555.4199999999983</v>
      </c>
      <c r="K725" s="8">
        <f t="shared" si="59"/>
        <v>0.11234594545403408</v>
      </c>
    </row>
    <row r="726" spans="1:11" x14ac:dyDescent="0.3">
      <c r="A726" s="5" t="s">
        <v>43</v>
      </c>
      <c r="B726" s="6">
        <v>40252</v>
      </c>
      <c r="C726" s="5">
        <f t="shared" si="58"/>
        <v>12</v>
      </c>
      <c r="D726" s="5">
        <f t="shared" si="55"/>
        <v>3</v>
      </c>
      <c r="E726" s="5">
        <f t="shared" si="56"/>
        <v>2010</v>
      </c>
      <c r="F726" s="5" t="s">
        <v>19</v>
      </c>
      <c r="G726" s="5" t="s">
        <v>5</v>
      </c>
      <c r="H726" s="7">
        <v>121051.87</v>
      </c>
      <c r="I726" s="7">
        <v>132689.07999999999</v>
      </c>
      <c r="J726" s="7">
        <f t="shared" si="57"/>
        <v>11637.209999999992</v>
      </c>
      <c r="K726" s="8">
        <f t="shared" si="59"/>
        <v>9.6134078721790847E-2</v>
      </c>
    </row>
    <row r="727" spans="1:11" x14ac:dyDescent="0.3">
      <c r="A727" s="5" t="s">
        <v>43</v>
      </c>
      <c r="B727" s="6">
        <v>40252</v>
      </c>
      <c r="C727" s="5">
        <f t="shared" si="58"/>
        <v>12</v>
      </c>
      <c r="D727" s="5">
        <f t="shared" si="55"/>
        <v>3</v>
      </c>
      <c r="E727" s="5">
        <f t="shared" si="56"/>
        <v>2010</v>
      </c>
      <c r="F727" s="5" t="s">
        <v>5</v>
      </c>
      <c r="G727" s="5" t="s">
        <v>5</v>
      </c>
      <c r="H727" s="7">
        <v>660629.15</v>
      </c>
      <c r="I727" s="7">
        <v>708118.38</v>
      </c>
      <c r="J727" s="7">
        <f t="shared" si="57"/>
        <v>47489.229999999981</v>
      </c>
      <c r="K727" s="8">
        <f t="shared" si="59"/>
        <v>7.188485400621511E-2</v>
      </c>
    </row>
    <row r="728" spans="1:11" x14ac:dyDescent="0.3">
      <c r="A728" s="5" t="s">
        <v>43</v>
      </c>
      <c r="B728" s="6">
        <v>40252</v>
      </c>
      <c r="C728" s="5">
        <f t="shared" si="58"/>
        <v>12</v>
      </c>
      <c r="D728" s="5">
        <f t="shared" si="55"/>
        <v>3</v>
      </c>
      <c r="E728" s="5">
        <f t="shared" si="56"/>
        <v>2010</v>
      </c>
      <c r="F728" s="5" t="s">
        <v>20</v>
      </c>
      <c r="G728" s="5" t="s">
        <v>5</v>
      </c>
      <c r="H728" s="7">
        <v>89927.58</v>
      </c>
      <c r="I728" s="7">
        <v>98781.26</v>
      </c>
      <c r="J728" s="7">
        <f t="shared" si="57"/>
        <v>8853.679999999993</v>
      </c>
      <c r="K728" s="8">
        <f t="shared" si="59"/>
        <v>9.8453444427171202E-2</v>
      </c>
    </row>
    <row r="729" spans="1:11" x14ac:dyDescent="0.3">
      <c r="A729" s="5" t="s">
        <v>43</v>
      </c>
      <c r="B729" s="6">
        <v>40252</v>
      </c>
      <c r="C729" s="5">
        <f t="shared" si="58"/>
        <v>12</v>
      </c>
      <c r="D729" s="5">
        <f t="shared" si="55"/>
        <v>3</v>
      </c>
      <c r="E729" s="5">
        <f t="shared" si="56"/>
        <v>2010</v>
      </c>
      <c r="F729" s="5" t="s">
        <v>21</v>
      </c>
      <c r="G729" s="5" t="s">
        <v>5</v>
      </c>
      <c r="H729" s="7">
        <v>240167.76</v>
      </c>
      <c r="I729" s="7">
        <v>255056.05</v>
      </c>
      <c r="J729" s="7">
        <f t="shared" si="57"/>
        <v>14888.289999999979</v>
      </c>
      <c r="K729" s="8">
        <f t="shared" si="59"/>
        <v>6.1991209811008682E-2</v>
      </c>
    </row>
    <row r="730" spans="1:11" x14ac:dyDescent="0.3">
      <c r="A730" s="5" t="s">
        <v>43</v>
      </c>
      <c r="B730" s="6">
        <v>40252</v>
      </c>
      <c r="C730" s="5">
        <f t="shared" si="58"/>
        <v>12</v>
      </c>
      <c r="D730" s="5">
        <f t="shared" si="55"/>
        <v>3</v>
      </c>
      <c r="E730" s="5">
        <f t="shared" si="56"/>
        <v>2010</v>
      </c>
      <c r="F730" s="5" t="s">
        <v>22</v>
      </c>
      <c r="G730" s="5" t="s">
        <v>8</v>
      </c>
      <c r="H730" s="7">
        <v>423272.41</v>
      </c>
      <c r="I730" s="7">
        <v>456587.53</v>
      </c>
      <c r="J730" s="7">
        <f t="shared" si="57"/>
        <v>33315.120000000054</v>
      </c>
      <c r="K730" s="8">
        <f t="shared" si="59"/>
        <v>7.8708461059392124E-2</v>
      </c>
    </row>
    <row r="731" spans="1:11" x14ac:dyDescent="0.3">
      <c r="A731" s="5" t="s">
        <v>43</v>
      </c>
      <c r="B731" s="6">
        <v>40252</v>
      </c>
      <c r="C731" s="5">
        <f t="shared" si="58"/>
        <v>12</v>
      </c>
      <c r="D731" s="5">
        <f t="shared" si="55"/>
        <v>3</v>
      </c>
      <c r="E731" s="5">
        <f t="shared" si="56"/>
        <v>2010</v>
      </c>
      <c r="F731" s="5" t="s">
        <v>23</v>
      </c>
      <c r="G731" s="5" t="s">
        <v>8</v>
      </c>
      <c r="H731" s="7">
        <v>198058</v>
      </c>
      <c r="I731" s="7">
        <v>206150.6</v>
      </c>
      <c r="J731" s="7">
        <f t="shared" si="57"/>
        <v>8092.6000000000058</v>
      </c>
      <c r="K731" s="8">
        <f t="shared" si="59"/>
        <v>4.0859748154581009E-2</v>
      </c>
    </row>
    <row r="732" spans="1:11" x14ac:dyDescent="0.3">
      <c r="A732" s="5" t="s">
        <v>43</v>
      </c>
      <c r="B732" s="6">
        <v>40252</v>
      </c>
      <c r="C732" s="5">
        <f t="shared" si="58"/>
        <v>12</v>
      </c>
      <c r="D732" s="5">
        <f t="shared" si="55"/>
        <v>3</v>
      </c>
      <c r="E732" s="5">
        <f t="shared" si="56"/>
        <v>2010</v>
      </c>
      <c r="F732" s="5" t="s">
        <v>24</v>
      </c>
      <c r="G732" s="5" t="s">
        <v>8</v>
      </c>
      <c r="H732" s="7">
        <v>176642</v>
      </c>
      <c r="I732" s="7">
        <v>185212.35</v>
      </c>
      <c r="J732" s="7">
        <f t="shared" si="57"/>
        <v>8570.3500000000058</v>
      </c>
      <c r="K732" s="8">
        <f t="shared" si="59"/>
        <v>4.8518189332095459E-2</v>
      </c>
    </row>
    <row r="733" spans="1:11" x14ac:dyDescent="0.3">
      <c r="A733" s="5" t="s">
        <v>43</v>
      </c>
      <c r="B733" s="6">
        <v>40252</v>
      </c>
      <c r="C733" s="5">
        <f t="shared" si="58"/>
        <v>12</v>
      </c>
      <c r="D733" s="5">
        <f t="shared" si="55"/>
        <v>3</v>
      </c>
      <c r="E733" s="5">
        <f t="shared" si="56"/>
        <v>2010</v>
      </c>
      <c r="F733" s="5" t="s">
        <v>25</v>
      </c>
      <c r="G733" s="5" t="s">
        <v>8</v>
      </c>
      <c r="H733" s="7">
        <v>6385.2</v>
      </c>
      <c r="I733" s="7">
        <v>7121.42</v>
      </c>
      <c r="J733" s="7">
        <f t="shared" si="57"/>
        <v>736.22000000000025</v>
      </c>
      <c r="K733" s="8">
        <f t="shared" si="59"/>
        <v>0.11530100858234672</v>
      </c>
    </row>
    <row r="734" spans="1:11" x14ac:dyDescent="0.3">
      <c r="A734" s="5" t="s">
        <v>43</v>
      </c>
      <c r="B734" s="6">
        <v>40252</v>
      </c>
      <c r="C734" s="5">
        <f t="shared" si="58"/>
        <v>12</v>
      </c>
      <c r="D734" s="5">
        <f t="shared" si="55"/>
        <v>3</v>
      </c>
      <c r="E734" s="5">
        <f t="shared" si="56"/>
        <v>2010</v>
      </c>
      <c r="F734" s="5" t="s">
        <v>26</v>
      </c>
      <c r="G734" s="5" t="s">
        <v>10</v>
      </c>
      <c r="H734" s="7">
        <v>7623</v>
      </c>
      <c r="I734" s="7">
        <v>8340.56</v>
      </c>
      <c r="J734" s="7">
        <f t="shared" si="57"/>
        <v>717.55999999999949</v>
      </c>
      <c r="K734" s="8">
        <f t="shared" si="59"/>
        <v>9.4130919585464976E-2</v>
      </c>
    </row>
    <row r="735" spans="1:11" x14ac:dyDescent="0.3">
      <c r="A735" s="5" t="s">
        <v>43</v>
      </c>
      <c r="B735" s="6">
        <v>40252</v>
      </c>
      <c r="C735" s="5">
        <f t="shared" si="58"/>
        <v>12</v>
      </c>
      <c r="D735" s="5">
        <f t="shared" si="55"/>
        <v>3</v>
      </c>
      <c r="E735" s="5">
        <f t="shared" si="56"/>
        <v>2010</v>
      </c>
      <c r="F735" s="5" t="s">
        <v>27</v>
      </c>
      <c r="G735" s="5" t="s">
        <v>10</v>
      </c>
      <c r="H735" s="7">
        <v>92796.75</v>
      </c>
      <c r="I735" s="7">
        <v>103094.04</v>
      </c>
      <c r="J735" s="7">
        <f t="shared" si="57"/>
        <v>10297.289999999994</v>
      </c>
      <c r="K735" s="8">
        <f t="shared" si="59"/>
        <v>0.11096606292785031</v>
      </c>
    </row>
    <row r="736" spans="1:11" x14ac:dyDescent="0.3">
      <c r="A736" s="5" t="s">
        <v>43</v>
      </c>
      <c r="B736" s="6">
        <v>40252</v>
      </c>
      <c r="C736" s="5">
        <f t="shared" si="58"/>
        <v>12</v>
      </c>
      <c r="D736" s="5">
        <f t="shared" si="55"/>
        <v>3</v>
      </c>
      <c r="E736" s="5">
        <f t="shared" si="56"/>
        <v>2010</v>
      </c>
      <c r="F736" s="5" t="s">
        <v>28</v>
      </c>
      <c r="G736" s="5" t="s">
        <v>10</v>
      </c>
      <c r="H736" s="7">
        <v>130679.63</v>
      </c>
      <c r="I736" s="7">
        <v>140210.20000000001</v>
      </c>
      <c r="J736" s="7">
        <f t="shared" si="57"/>
        <v>9530.570000000007</v>
      </c>
      <c r="K736" s="8">
        <f t="shared" si="59"/>
        <v>7.293080030912244E-2</v>
      </c>
    </row>
    <row r="737" spans="1:11" x14ac:dyDescent="0.3">
      <c r="A737" s="5" t="s">
        <v>43</v>
      </c>
      <c r="B737" s="6">
        <v>40252</v>
      </c>
      <c r="C737" s="5">
        <f t="shared" si="58"/>
        <v>12</v>
      </c>
      <c r="D737" s="5">
        <f t="shared" si="55"/>
        <v>3</v>
      </c>
      <c r="E737" s="5">
        <f t="shared" si="56"/>
        <v>2010</v>
      </c>
      <c r="F737" s="5" t="s">
        <v>29</v>
      </c>
      <c r="G737" s="5" t="s">
        <v>10</v>
      </c>
      <c r="H737" s="7">
        <v>723546.31</v>
      </c>
      <c r="I737" s="7">
        <v>789999.95</v>
      </c>
      <c r="J737" s="7">
        <f t="shared" si="57"/>
        <v>66453.639999999898</v>
      </c>
      <c r="K737" s="8">
        <f t="shared" si="59"/>
        <v>9.1844349258031449E-2</v>
      </c>
    </row>
    <row r="738" spans="1:11" x14ac:dyDescent="0.3">
      <c r="A738" s="5" t="s">
        <v>43</v>
      </c>
      <c r="B738" s="6">
        <v>40252</v>
      </c>
      <c r="C738" s="5">
        <f t="shared" si="58"/>
        <v>12</v>
      </c>
      <c r="D738" s="5">
        <f t="shared" si="55"/>
        <v>3</v>
      </c>
      <c r="E738" s="5">
        <f t="shared" si="56"/>
        <v>2010</v>
      </c>
      <c r="F738" s="5" t="s">
        <v>30</v>
      </c>
      <c r="G738" s="5" t="s">
        <v>10</v>
      </c>
      <c r="H738" s="7">
        <v>86314.44</v>
      </c>
      <c r="I738" s="7">
        <v>97716.2</v>
      </c>
      <c r="J738" s="7">
        <f t="shared" si="57"/>
        <v>11401.759999999995</v>
      </c>
      <c r="K738" s="8">
        <f t="shared" si="59"/>
        <v>0.13209562617796042</v>
      </c>
    </row>
    <row r="739" spans="1:11" x14ac:dyDescent="0.3">
      <c r="A739" s="5" t="s">
        <v>43</v>
      </c>
      <c r="B739" s="6">
        <v>40252</v>
      </c>
      <c r="C739" s="5">
        <f t="shared" si="58"/>
        <v>12</v>
      </c>
      <c r="D739" s="5">
        <f t="shared" si="55"/>
        <v>3</v>
      </c>
      <c r="E739" s="5">
        <f t="shared" si="56"/>
        <v>2010</v>
      </c>
      <c r="F739" s="5" t="s">
        <v>9</v>
      </c>
      <c r="G739" s="5" t="s">
        <v>9</v>
      </c>
      <c r="H739" s="7">
        <v>624240.79</v>
      </c>
      <c r="I739" s="7">
        <v>723375.37</v>
      </c>
      <c r="J739" s="7">
        <f t="shared" si="57"/>
        <v>99134.579999999958</v>
      </c>
      <c r="K739" s="8">
        <f t="shared" si="59"/>
        <v>0.15880823808389699</v>
      </c>
    </row>
    <row r="740" spans="1:11" x14ac:dyDescent="0.3">
      <c r="A740" s="5" t="s">
        <v>43</v>
      </c>
      <c r="B740" s="6">
        <v>40252</v>
      </c>
      <c r="C740" s="5">
        <f t="shared" si="58"/>
        <v>12</v>
      </c>
      <c r="D740" s="5">
        <f t="shared" si="55"/>
        <v>3</v>
      </c>
      <c r="E740" s="5">
        <f t="shared" si="56"/>
        <v>2010</v>
      </c>
      <c r="F740" s="5" t="s">
        <v>31</v>
      </c>
      <c r="G740" s="5" t="s">
        <v>7</v>
      </c>
      <c r="H740" s="7">
        <v>9765.4699999999993</v>
      </c>
      <c r="I740" s="7">
        <v>21014.31</v>
      </c>
      <c r="J740" s="7">
        <f t="shared" si="57"/>
        <v>11248.840000000002</v>
      </c>
      <c r="K740" s="8">
        <f t="shared" si="59"/>
        <v>1.1518994989488476</v>
      </c>
    </row>
    <row r="741" spans="1:11" x14ac:dyDescent="0.3">
      <c r="A741" s="5" t="s">
        <v>43</v>
      </c>
      <c r="B741" s="6">
        <v>40252</v>
      </c>
      <c r="C741" s="5">
        <f t="shared" si="58"/>
        <v>12</v>
      </c>
      <c r="D741" s="5">
        <f t="shared" si="55"/>
        <v>3</v>
      </c>
      <c r="E741" s="5">
        <f t="shared" si="56"/>
        <v>2010</v>
      </c>
      <c r="F741" s="5" t="s">
        <v>33</v>
      </c>
      <c r="G741" s="5" t="s">
        <v>7</v>
      </c>
      <c r="H741" s="7">
        <v>186802.1</v>
      </c>
      <c r="I741" s="7">
        <v>365961.54</v>
      </c>
      <c r="J741" s="7">
        <f t="shared" si="57"/>
        <v>179159.43999999997</v>
      </c>
      <c r="K741" s="8">
        <f t="shared" si="59"/>
        <v>0.95908686251385811</v>
      </c>
    </row>
    <row r="742" spans="1:11" x14ac:dyDescent="0.3">
      <c r="A742" s="5" t="s">
        <v>43</v>
      </c>
      <c r="B742" s="6">
        <v>40252</v>
      </c>
      <c r="C742" s="5">
        <f t="shared" si="58"/>
        <v>12</v>
      </c>
      <c r="D742" s="5">
        <f t="shared" si="55"/>
        <v>3</v>
      </c>
      <c r="E742" s="5">
        <f t="shared" si="56"/>
        <v>2010</v>
      </c>
      <c r="F742" s="5" t="s">
        <v>35</v>
      </c>
      <c r="G742" s="5" t="s">
        <v>11</v>
      </c>
      <c r="H742" s="7">
        <v>1683.32</v>
      </c>
      <c r="I742" s="7">
        <v>2109.34</v>
      </c>
      <c r="J742" s="7">
        <f t="shared" si="57"/>
        <v>426.02000000000021</v>
      </c>
      <c r="K742" s="8">
        <f t="shared" si="59"/>
        <v>0.25308319273816043</v>
      </c>
    </row>
    <row r="743" spans="1:11" x14ac:dyDescent="0.3">
      <c r="A743" s="5" t="s">
        <v>43</v>
      </c>
      <c r="B743" s="6">
        <v>40252</v>
      </c>
      <c r="C743" s="5">
        <f t="shared" si="58"/>
        <v>12</v>
      </c>
      <c r="D743" s="5">
        <f t="shared" si="55"/>
        <v>3</v>
      </c>
      <c r="E743" s="5">
        <f t="shared" si="56"/>
        <v>2010</v>
      </c>
      <c r="F743" s="5" t="s">
        <v>36</v>
      </c>
      <c r="G743" s="5" t="s">
        <v>11</v>
      </c>
      <c r="H743" s="7">
        <v>187559.46</v>
      </c>
      <c r="I743" s="7">
        <v>200968.54</v>
      </c>
      <c r="J743" s="7">
        <f t="shared" si="57"/>
        <v>13409.080000000016</v>
      </c>
      <c r="K743" s="8">
        <f t="shared" si="59"/>
        <v>7.1492421656577695E-2</v>
      </c>
    </row>
    <row r="744" spans="1:11" x14ac:dyDescent="0.3">
      <c r="A744" s="5" t="s">
        <v>43</v>
      </c>
      <c r="B744" s="6">
        <v>40252</v>
      </c>
      <c r="C744" s="5">
        <f t="shared" si="58"/>
        <v>12</v>
      </c>
      <c r="D744" s="5">
        <f t="shared" si="55"/>
        <v>3</v>
      </c>
      <c r="E744" s="5">
        <f t="shared" si="56"/>
        <v>2010</v>
      </c>
      <c r="F744" s="5" t="s">
        <v>37</v>
      </c>
      <c r="G744" s="5" t="s">
        <v>11</v>
      </c>
      <c r="H744" s="7">
        <v>328581.21000000002</v>
      </c>
      <c r="I744" s="7">
        <v>353827.3</v>
      </c>
      <c r="J744" s="7">
        <f t="shared" si="57"/>
        <v>25246.089999999967</v>
      </c>
      <c r="K744" s="8">
        <f t="shared" si="59"/>
        <v>7.6833638782935781E-2</v>
      </c>
    </row>
    <row r="745" spans="1:11" x14ac:dyDescent="0.3">
      <c r="A745" s="5" t="s">
        <v>43</v>
      </c>
      <c r="B745" s="6">
        <v>40252</v>
      </c>
      <c r="C745" s="5">
        <f t="shared" si="58"/>
        <v>12</v>
      </c>
      <c r="D745" s="5">
        <f t="shared" si="55"/>
        <v>3</v>
      </c>
      <c r="E745" s="5">
        <f t="shared" si="56"/>
        <v>2010</v>
      </c>
      <c r="F745" s="5" t="s">
        <v>38</v>
      </c>
      <c r="G745" s="5" t="s">
        <v>11</v>
      </c>
      <c r="H745" s="7">
        <v>355305.48</v>
      </c>
      <c r="I745" s="7">
        <v>369304.89</v>
      </c>
      <c r="J745" s="7">
        <f t="shared" si="57"/>
        <v>13999.410000000033</v>
      </c>
      <c r="K745" s="8">
        <f t="shared" si="59"/>
        <v>3.9401052863018135E-2</v>
      </c>
    </row>
    <row r="746" spans="1:11" x14ac:dyDescent="0.3">
      <c r="A746" s="5" t="s">
        <v>43</v>
      </c>
      <c r="B746" s="6">
        <v>40253</v>
      </c>
      <c r="C746" s="5">
        <f t="shared" si="58"/>
        <v>12</v>
      </c>
      <c r="D746" s="5">
        <f t="shared" si="55"/>
        <v>3</v>
      </c>
      <c r="E746" s="5">
        <f t="shared" si="56"/>
        <v>2010</v>
      </c>
      <c r="F746" s="5" t="s">
        <v>14</v>
      </c>
      <c r="G746" s="5" t="s">
        <v>6</v>
      </c>
      <c r="H746" s="7">
        <v>7776.95</v>
      </c>
      <c r="I746" s="7">
        <v>9753.59</v>
      </c>
      <c r="J746" s="7">
        <f t="shared" si="57"/>
        <v>1976.6400000000003</v>
      </c>
      <c r="K746" s="8">
        <f t="shared" si="59"/>
        <v>0.25416647914670926</v>
      </c>
    </row>
    <row r="747" spans="1:11" x14ac:dyDescent="0.3">
      <c r="A747" s="5" t="s">
        <v>43</v>
      </c>
      <c r="B747" s="6">
        <v>40253</v>
      </c>
      <c r="C747" s="5">
        <f t="shared" si="58"/>
        <v>12</v>
      </c>
      <c r="D747" s="5">
        <f t="shared" si="55"/>
        <v>3</v>
      </c>
      <c r="E747" s="5">
        <f t="shared" si="56"/>
        <v>2010</v>
      </c>
      <c r="F747" s="5" t="s">
        <v>15</v>
      </c>
      <c r="G747" s="5" t="s">
        <v>6</v>
      </c>
      <c r="H747" s="7">
        <v>182816.12</v>
      </c>
      <c r="I747" s="7">
        <v>269508.95</v>
      </c>
      <c r="J747" s="7">
        <f t="shared" si="57"/>
        <v>86692.830000000016</v>
      </c>
      <c r="K747" s="8">
        <f t="shared" si="59"/>
        <v>0.47420779961854576</v>
      </c>
    </row>
    <row r="748" spans="1:11" x14ac:dyDescent="0.3">
      <c r="A748" s="5" t="s">
        <v>43</v>
      </c>
      <c r="B748" s="6">
        <v>40253</v>
      </c>
      <c r="C748" s="5">
        <f t="shared" si="58"/>
        <v>12</v>
      </c>
      <c r="D748" s="5">
        <f t="shared" si="55"/>
        <v>3</v>
      </c>
      <c r="E748" s="5">
        <f t="shared" si="56"/>
        <v>2010</v>
      </c>
      <c r="F748" s="5" t="s">
        <v>16</v>
      </c>
      <c r="G748" s="5" t="s">
        <v>6</v>
      </c>
      <c r="H748" s="7">
        <v>35029.629999999997</v>
      </c>
      <c r="I748" s="7">
        <v>38189.67</v>
      </c>
      <c r="J748" s="7">
        <f t="shared" si="57"/>
        <v>3160.0400000000009</v>
      </c>
      <c r="K748" s="8">
        <f t="shared" si="59"/>
        <v>9.0210487521563923E-2</v>
      </c>
    </row>
    <row r="749" spans="1:11" x14ac:dyDescent="0.3">
      <c r="A749" s="5" t="s">
        <v>43</v>
      </c>
      <c r="B749" s="6">
        <v>40253</v>
      </c>
      <c r="C749" s="5">
        <f t="shared" si="58"/>
        <v>12</v>
      </c>
      <c r="D749" s="5">
        <f t="shared" si="55"/>
        <v>3</v>
      </c>
      <c r="E749" s="5">
        <f t="shared" si="56"/>
        <v>2010</v>
      </c>
      <c r="F749" s="5" t="s">
        <v>17</v>
      </c>
      <c r="G749" s="5" t="s">
        <v>6</v>
      </c>
      <c r="H749" s="7">
        <v>1172</v>
      </c>
      <c r="I749" s="7">
        <v>1347.92</v>
      </c>
      <c r="J749" s="7">
        <f t="shared" si="57"/>
        <v>175.92000000000007</v>
      </c>
      <c r="K749" s="8">
        <f t="shared" si="59"/>
        <v>0.15010238907849835</v>
      </c>
    </row>
    <row r="750" spans="1:11" x14ac:dyDescent="0.3">
      <c r="A750" s="5" t="s">
        <v>43</v>
      </c>
      <c r="B750" s="6">
        <v>40253</v>
      </c>
      <c r="C750" s="5">
        <f t="shared" si="58"/>
        <v>12</v>
      </c>
      <c r="D750" s="5">
        <f t="shared" si="55"/>
        <v>3</v>
      </c>
      <c r="E750" s="5">
        <f t="shared" si="56"/>
        <v>2010</v>
      </c>
      <c r="F750" s="5" t="s">
        <v>18</v>
      </c>
      <c r="G750" s="5" t="s">
        <v>6</v>
      </c>
      <c r="H750" s="7">
        <v>1760</v>
      </c>
      <c r="I750" s="7">
        <v>2024</v>
      </c>
      <c r="J750" s="7">
        <f t="shared" si="57"/>
        <v>264</v>
      </c>
      <c r="K750" s="8">
        <f t="shared" si="59"/>
        <v>0.15</v>
      </c>
    </row>
    <row r="751" spans="1:11" x14ac:dyDescent="0.3">
      <c r="A751" s="5" t="s">
        <v>43</v>
      </c>
      <c r="B751" s="6">
        <v>40253</v>
      </c>
      <c r="C751" s="5">
        <f t="shared" si="58"/>
        <v>12</v>
      </c>
      <c r="D751" s="5">
        <f t="shared" si="55"/>
        <v>3</v>
      </c>
      <c r="E751" s="5">
        <f t="shared" si="56"/>
        <v>2010</v>
      </c>
      <c r="F751" s="5" t="s">
        <v>19</v>
      </c>
      <c r="G751" s="5" t="s">
        <v>5</v>
      </c>
      <c r="H751" s="7">
        <v>140602.1</v>
      </c>
      <c r="I751" s="7">
        <v>152898.06</v>
      </c>
      <c r="J751" s="7">
        <f t="shared" si="57"/>
        <v>12295.959999999992</v>
      </c>
      <c r="K751" s="8">
        <f t="shared" si="59"/>
        <v>8.7452178879262765E-2</v>
      </c>
    </row>
    <row r="752" spans="1:11" x14ac:dyDescent="0.3">
      <c r="A752" s="5" t="s">
        <v>43</v>
      </c>
      <c r="B752" s="6">
        <v>40253</v>
      </c>
      <c r="C752" s="5">
        <f t="shared" si="58"/>
        <v>12</v>
      </c>
      <c r="D752" s="5">
        <f t="shared" si="55"/>
        <v>3</v>
      </c>
      <c r="E752" s="5">
        <f t="shared" si="56"/>
        <v>2010</v>
      </c>
      <c r="F752" s="5" t="s">
        <v>5</v>
      </c>
      <c r="G752" s="5" t="s">
        <v>5</v>
      </c>
      <c r="H752" s="7">
        <v>605040.81000000006</v>
      </c>
      <c r="I752" s="7">
        <v>665182.38</v>
      </c>
      <c r="J752" s="7">
        <f t="shared" si="57"/>
        <v>60141.569999999949</v>
      </c>
      <c r="K752" s="8">
        <f t="shared" si="59"/>
        <v>9.9400848679942672E-2</v>
      </c>
    </row>
    <row r="753" spans="1:11" x14ac:dyDescent="0.3">
      <c r="A753" s="5" t="s">
        <v>43</v>
      </c>
      <c r="B753" s="6">
        <v>40253</v>
      </c>
      <c r="C753" s="5">
        <f t="shared" si="58"/>
        <v>12</v>
      </c>
      <c r="D753" s="5">
        <f t="shared" si="55"/>
        <v>3</v>
      </c>
      <c r="E753" s="5">
        <f t="shared" si="56"/>
        <v>2010</v>
      </c>
      <c r="F753" s="5" t="s">
        <v>20</v>
      </c>
      <c r="G753" s="5" t="s">
        <v>5</v>
      </c>
      <c r="H753" s="7">
        <v>116087.26</v>
      </c>
      <c r="I753" s="7">
        <v>127466.7</v>
      </c>
      <c r="J753" s="7">
        <f t="shared" si="57"/>
        <v>11379.440000000002</v>
      </c>
      <c r="K753" s="8">
        <f t="shared" si="59"/>
        <v>9.8024882316974343E-2</v>
      </c>
    </row>
    <row r="754" spans="1:11" x14ac:dyDescent="0.3">
      <c r="A754" s="5" t="s">
        <v>43</v>
      </c>
      <c r="B754" s="6">
        <v>40253</v>
      </c>
      <c r="C754" s="5">
        <f t="shared" si="58"/>
        <v>12</v>
      </c>
      <c r="D754" s="5">
        <f t="shared" si="55"/>
        <v>3</v>
      </c>
      <c r="E754" s="5">
        <f t="shared" si="56"/>
        <v>2010</v>
      </c>
      <c r="F754" s="5" t="s">
        <v>21</v>
      </c>
      <c r="G754" s="5" t="s">
        <v>5</v>
      </c>
      <c r="H754" s="7">
        <v>237633.49</v>
      </c>
      <c r="I754" s="7">
        <v>255567.43</v>
      </c>
      <c r="J754" s="7">
        <f t="shared" si="57"/>
        <v>17933.940000000002</v>
      </c>
      <c r="K754" s="8">
        <f t="shared" si="59"/>
        <v>7.5468908023023196E-2</v>
      </c>
    </row>
    <row r="755" spans="1:11" x14ac:dyDescent="0.3">
      <c r="A755" s="5" t="s">
        <v>43</v>
      </c>
      <c r="B755" s="6">
        <v>40253</v>
      </c>
      <c r="C755" s="5">
        <f t="shared" si="58"/>
        <v>12</v>
      </c>
      <c r="D755" s="5">
        <f t="shared" si="55"/>
        <v>3</v>
      </c>
      <c r="E755" s="5">
        <f t="shared" si="56"/>
        <v>2010</v>
      </c>
      <c r="F755" s="5" t="s">
        <v>22</v>
      </c>
      <c r="G755" s="5" t="s">
        <v>8</v>
      </c>
      <c r="H755" s="7">
        <v>405379.43</v>
      </c>
      <c r="I755" s="7">
        <v>432631.35</v>
      </c>
      <c r="J755" s="7">
        <f t="shared" si="57"/>
        <v>27251.919999999984</v>
      </c>
      <c r="K755" s="8">
        <f t="shared" si="59"/>
        <v>6.7225709997174712E-2</v>
      </c>
    </row>
    <row r="756" spans="1:11" x14ac:dyDescent="0.3">
      <c r="A756" s="5" t="s">
        <v>43</v>
      </c>
      <c r="B756" s="6">
        <v>40253</v>
      </c>
      <c r="C756" s="5">
        <f t="shared" si="58"/>
        <v>12</v>
      </c>
      <c r="D756" s="5">
        <f t="shared" si="55"/>
        <v>3</v>
      </c>
      <c r="E756" s="5">
        <f t="shared" si="56"/>
        <v>2010</v>
      </c>
      <c r="F756" s="5" t="s">
        <v>23</v>
      </c>
      <c r="G756" s="5" t="s">
        <v>8</v>
      </c>
      <c r="H756" s="7">
        <v>181940.6</v>
      </c>
      <c r="I756" s="7">
        <v>190450.59</v>
      </c>
      <c r="J756" s="7">
        <f t="shared" si="57"/>
        <v>8509.9899999999907</v>
      </c>
      <c r="K756" s="8">
        <f t="shared" si="59"/>
        <v>4.6773452434475817E-2</v>
      </c>
    </row>
    <row r="757" spans="1:11" x14ac:dyDescent="0.3">
      <c r="A757" s="5" t="s">
        <v>43</v>
      </c>
      <c r="B757" s="6">
        <v>40253</v>
      </c>
      <c r="C757" s="5">
        <f t="shared" si="58"/>
        <v>12</v>
      </c>
      <c r="D757" s="5">
        <f t="shared" si="55"/>
        <v>3</v>
      </c>
      <c r="E757" s="5">
        <f t="shared" si="56"/>
        <v>2010</v>
      </c>
      <c r="F757" s="5" t="s">
        <v>24</v>
      </c>
      <c r="G757" s="5" t="s">
        <v>8</v>
      </c>
      <c r="H757" s="7">
        <v>131989</v>
      </c>
      <c r="I757" s="7">
        <v>138490.29999999999</v>
      </c>
      <c r="J757" s="7">
        <f t="shared" si="57"/>
        <v>6501.2999999999884</v>
      </c>
      <c r="K757" s="8">
        <f t="shared" si="59"/>
        <v>4.925637742539142E-2</v>
      </c>
    </row>
    <row r="758" spans="1:11" x14ac:dyDescent="0.3">
      <c r="A758" s="5" t="s">
        <v>43</v>
      </c>
      <c r="B758" s="6">
        <v>40253</v>
      </c>
      <c r="C758" s="5">
        <f t="shared" si="58"/>
        <v>12</v>
      </c>
      <c r="D758" s="5">
        <f t="shared" si="55"/>
        <v>3</v>
      </c>
      <c r="E758" s="5">
        <f t="shared" si="56"/>
        <v>2010</v>
      </c>
      <c r="F758" s="5" t="s">
        <v>25</v>
      </c>
      <c r="G758" s="5" t="s">
        <v>8</v>
      </c>
      <c r="H758" s="7">
        <v>14018.6</v>
      </c>
      <c r="I758" s="7">
        <v>14543.69</v>
      </c>
      <c r="J758" s="7">
        <f t="shared" si="57"/>
        <v>525.09000000000015</v>
      </c>
      <c r="K758" s="8">
        <f t="shared" si="59"/>
        <v>3.7456664716876156E-2</v>
      </c>
    </row>
    <row r="759" spans="1:11" x14ac:dyDescent="0.3">
      <c r="A759" s="5" t="s">
        <v>43</v>
      </c>
      <c r="B759" s="6">
        <v>40253</v>
      </c>
      <c r="C759" s="5">
        <f t="shared" si="58"/>
        <v>12</v>
      </c>
      <c r="D759" s="5">
        <f t="shared" si="55"/>
        <v>3</v>
      </c>
      <c r="E759" s="5">
        <f t="shared" si="56"/>
        <v>2010</v>
      </c>
      <c r="F759" s="5" t="s">
        <v>26</v>
      </c>
      <c r="G759" s="5" t="s">
        <v>10</v>
      </c>
      <c r="H759" s="7">
        <v>15276.75</v>
      </c>
      <c r="I759" s="7">
        <v>16954.28</v>
      </c>
      <c r="J759" s="7">
        <f t="shared" si="57"/>
        <v>1677.5299999999988</v>
      </c>
      <c r="K759" s="8">
        <f t="shared" si="59"/>
        <v>0.10980935081087266</v>
      </c>
    </row>
    <row r="760" spans="1:11" x14ac:dyDescent="0.3">
      <c r="A760" s="5" t="s">
        <v>43</v>
      </c>
      <c r="B760" s="6">
        <v>40253</v>
      </c>
      <c r="C760" s="5">
        <f t="shared" si="58"/>
        <v>12</v>
      </c>
      <c r="D760" s="5">
        <f t="shared" si="55"/>
        <v>3</v>
      </c>
      <c r="E760" s="5">
        <f t="shared" si="56"/>
        <v>2010</v>
      </c>
      <c r="F760" s="5" t="s">
        <v>27</v>
      </c>
      <c r="G760" s="5" t="s">
        <v>10</v>
      </c>
      <c r="H760" s="7">
        <v>69613.899999999994</v>
      </c>
      <c r="I760" s="7">
        <v>77472.479999999996</v>
      </c>
      <c r="J760" s="7">
        <f t="shared" si="57"/>
        <v>7858.5800000000017</v>
      </c>
      <c r="K760" s="8">
        <f t="shared" si="59"/>
        <v>0.11288808700561243</v>
      </c>
    </row>
    <row r="761" spans="1:11" x14ac:dyDescent="0.3">
      <c r="A761" s="5" t="s">
        <v>43</v>
      </c>
      <c r="B761" s="6">
        <v>40253</v>
      </c>
      <c r="C761" s="5">
        <f t="shared" si="58"/>
        <v>12</v>
      </c>
      <c r="D761" s="5">
        <f t="shared" si="55"/>
        <v>3</v>
      </c>
      <c r="E761" s="5">
        <f t="shared" si="56"/>
        <v>2010</v>
      </c>
      <c r="F761" s="5" t="s">
        <v>28</v>
      </c>
      <c r="G761" s="5" t="s">
        <v>10</v>
      </c>
      <c r="H761" s="7">
        <v>285502.03000000003</v>
      </c>
      <c r="I761" s="7">
        <v>294167.55</v>
      </c>
      <c r="J761" s="7">
        <f t="shared" si="57"/>
        <v>8665.5199999999604</v>
      </c>
      <c r="K761" s="8">
        <f t="shared" si="59"/>
        <v>3.0351868251164309E-2</v>
      </c>
    </row>
    <row r="762" spans="1:11" x14ac:dyDescent="0.3">
      <c r="A762" s="5" t="s">
        <v>43</v>
      </c>
      <c r="B762" s="6">
        <v>40253</v>
      </c>
      <c r="C762" s="5">
        <f t="shared" si="58"/>
        <v>12</v>
      </c>
      <c r="D762" s="5">
        <f t="shared" si="55"/>
        <v>3</v>
      </c>
      <c r="E762" s="5">
        <f t="shared" si="56"/>
        <v>2010</v>
      </c>
      <c r="F762" s="5" t="s">
        <v>29</v>
      </c>
      <c r="G762" s="5" t="s">
        <v>10</v>
      </c>
      <c r="H762" s="7">
        <v>637217.5</v>
      </c>
      <c r="I762" s="7">
        <v>699900.56</v>
      </c>
      <c r="J762" s="7">
        <f t="shared" si="57"/>
        <v>62683.060000000056</v>
      </c>
      <c r="K762" s="8">
        <f t="shared" si="59"/>
        <v>9.8369960021499808E-2</v>
      </c>
    </row>
    <row r="763" spans="1:11" x14ac:dyDescent="0.3">
      <c r="A763" s="5" t="s">
        <v>43</v>
      </c>
      <c r="B763" s="6">
        <v>40253</v>
      </c>
      <c r="C763" s="5">
        <f t="shared" si="58"/>
        <v>12</v>
      </c>
      <c r="D763" s="5">
        <f t="shared" si="55"/>
        <v>3</v>
      </c>
      <c r="E763" s="5">
        <f t="shared" si="56"/>
        <v>2010</v>
      </c>
      <c r="F763" s="5" t="s">
        <v>30</v>
      </c>
      <c r="G763" s="5" t="s">
        <v>10</v>
      </c>
      <c r="H763" s="7">
        <v>101427.12</v>
      </c>
      <c r="I763" s="7">
        <v>114928.25</v>
      </c>
      <c r="J763" s="7">
        <f t="shared" si="57"/>
        <v>13501.130000000005</v>
      </c>
      <c r="K763" s="8">
        <f t="shared" si="59"/>
        <v>0.1331116372031465</v>
      </c>
    </row>
    <row r="764" spans="1:11" x14ac:dyDescent="0.3">
      <c r="A764" s="5" t="s">
        <v>43</v>
      </c>
      <c r="B764" s="6">
        <v>40253</v>
      </c>
      <c r="C764" s="5">
        <f t="shared" si="58"/>
        <v>12</v>
      </c>
      <c r="D764" s="5">
        <f t="shared" si="55"/>
        <v>3</v>
      </c>
      <c r="E764" s="5">
        <f t="shared" si="56"/>
        <v>2010</v>
      </c>
      <c r="F764" s="5" t="s">
        <v>9</v>
      </c>
      <c r="G764" s="5" t="s">
        <v>9</v>
      </c>
      <c r="H764" s="7">
        <v>735441.24</v>
      </c>
      <c r="I764" s="7">
        <v>875740.98</v>
      </c>
      <c r="J764" s="7">
        <f t="shared" si="57"/>
        <v>140299.74</v>
      </c>
      <c r="K764" s="8">
        <f t="shared" si="59"/>
        <v>0.19076947602231281</v>
      </c>
    </row>
    <row r="765" spans="1:11" x14ac:dyDescent="0.3">
      <c r="A765" s="5" t="s">
        <v>43</v>
      </c>
      <c r="B765" s="6">
        <v>40253</v>
      </c>
      <c r="C765" s="5">
        <f t="shared" si="58"/>
        <v>12</v>
      </c>
      <c r="D765" s="5">
        <f t="shared" si="55"/>
        <v>3</v>
      </c>
      <c r="E765" s="5">
        <f t="shared" si="56"/>
        <v>2010</v>
      </c>
      <c r="F765" s="5" t="s">
        <v>31</v>
      </c>
      <c r="G765" s="5" t="s">
        <v>7</v>
      </c>
      <c r="H765" s="7">
        <v>6746.67</v>
      </c>
      <c r="I765" s="7">
        <v>15114.1</v>
      </c>
      <c r="J765" s="7">
        <f t="shared" si="57"/>
        <v>8367.43</v>
      </c>
      <c r="K765" s="8">
        <f t="shared" si="59"/>
        <v>1.2402311066051845</v>
      </c>
    </row>
    <row r="766" spans="1:11" x14ac:dyDescent="0.3">
      <c r="A766" s="5" t="s">
        <v>43</v>
      </c>
      <c r="B766" s="6">
        <v>40253</v>
      </c>
      <c r="C766" s="5">
        <f t="shared" si="58"/>
        <v>12</v>
      </c>
      <c r="D766" s="5">
        <f t="shared" si="55"/>
        <v>3</v>
      </c>
      <c r="E766" s="5">
        <f t="shared" si="56"/>
        <v>2010</v>
      </c>
      <c r="F766" s="5" t="s">
        <v>33</v>
      </c>
      <c r="G766" s="5" t="s">
        <v>7</v>
      </c>
      <c r="H766" s="7">
        <v>179221.25</v>
      </c>
      <c r="I766" s="7">
        <v>340248.1</v>
      </c>
      <c r="J766" s="7">
        <f t="shared" si="57"/>
        <v>161026.84999999998</v>
      </c>
      <c r="K766" s="8">
        <f t="shared" si="59"/>
        <v>0.89848078841097234</v>
      </c>
    </row>
    <row r="767" spans="1:11" x14ac:dyDescent="0.3">
      <c r="A767" s="5" t="s">
        <v>43</v>
      </c>
      <c r="B767" s="6">
        <v>40253</v>
      </c>
      <c r="C767" s="5">
        <f t="shared" si="58"/>
        <v>12</v>
      </c>
      <c r="D767" s="5">
        <f t="shared" si="55"/>
        <v>3</v>
      </c>
      <c r="E767" s="5">
        <f t="shared" si="56"/>
        <v>2010</v>
      </c>
      <c r="F767" s="5" t="s">
        <v>34</v>
      </c>
      <c r="G767" s="5" t="s">
        <v>7</v>
      </c>
      <c r="H767" s="7">
        <v>76</v>
      </c>
      <c r="I767" s="7">
        <v>236</v>
      </c>
      <c r="J767" s="7">
        <f t="shared" si="57"/>
        <v>160</v>
      </c>
      <c r="K767" s="8">
        <f t="shared" si="59"/>
        <v>2.1052631578947367</v>
      </c>
    </row>
    <row r="768" spans="1:11" x14ac:dyDescent="0.3">
      <c r="A768" s="5" t="s">
        <v>43</v>
      </c>
      <c r="B768" s="6">
        <v>40253</v>
      </c>
      <c r="C768" s="5">
        <f t="shared" si="58"/>
        <v>12</v>
      </c>
      <c r="D768" s="5">
        <f t="shared" si="55"/>
        <v>3</v>
      </c>
      <c r="E768" s="5">
        <f t="shared" si="56"/>
        <v>2010</v>
      </c>
      <c r="F768" s="5" t="s">
        <v>35</v>
      </c>
      <c r="G768" s="5" t="s">
        <v>11</v>
      </c>
      <c r="H768" s="7">
        <v>2981.44</v>
      </c>
      <c r="I768" s="7">
        <v>3877.39</v>
      </c>
      <c r="J768" s="7">
        <f t="shared" si="57"/>
        <v>895.94999999999982</v>
      </c>
      <c r="K768" s="8">
        <f t="shared" si="59"/>
        <v>0.30050914994096806</v>
      </c>
    </row>
    <row r="769" spans="1:11" x14ac:dyDescent="0.3">
      <c r="A769" s="5" t="s">
        <v>43</v>
      </c>
      <c r="B769" s="6">
        <v>40253</v>
      </c>
      <c r="C769" s="5">
        <f t="shared" si="58"/>
        <v>12</v>
      </c>
      <c r="D769" s="5">
        <f t="shared" si="55"/>
        <v>3</v>
      </c>
      <c r="E769" s="5">
        <f t="shared" si="56"/>
        <v>2010</v>
      </c>
      <c r="F769" s="5" t="s">
        <v>36</v>
      </c>
      <c r="G769" s="5" t="s">
        <v>11</v>
      </c>
      <c r="H769" s="7">
        <v>166699.57</v>
      </c>
      <c r="I769" s="7">
        <v>181716.64</v>
      </c>
      <c r="J769" s="7">
        <f t="shared" si="57"/>
        <v>15017.070000000007</v>
      </c>
      <c r="K769" s="8">
        <f t="shared" si="59"/>
        <v>9.0084635491261347E-2</v>
      </c>
    </row>
    <row r="770" spans="1:11" x14ac:dyDescent="0.3">
      <c r="A770" s="5" t="s">
        <v>43</v>
      </c>
      <c r="B770" s="6">
        <v>40253</v>
      </c>
      <c r="C770" s="5">
        <f t="shared" si="58"/>
        <v>12</v>
      </c>
      <c r="D770" s="5">
        <f t="shared" ref="D770:D833" si="60">MONTH(B770)</f>
        <v>3</v>
      </c>
      <c r="E770" s="5">
        <f t="shared" ref="E770:E833" si="61">YEAR(B770)</f>
        <v>2010</v>
      </c>
      <c r="F770" s="5" t="s">
        <v>37</v>
      </c>
      <c r="G770" s="5" t="s">
        <v>11</v>
      </c>
      <c r="H770" s="7">
        <v>328356.65000000002</v>
      </c>
      <c r="I770" s="7">
        <v>356628.02</v>
      </c>
      <c r="J770" s="7">
        <f t="shared" ref="J770:J833" si="62">I770-H770</f>
        <v>28271.369999999995</v>
      </c>
      <c r="K770" s="8">
        <f t="shared" si="59"/>
        <v>8.609958105005637E-2</v>
      </c>
    </row>
    <row r="771" spans="1:11" x14ac:dyDescent="0.3">
      <c r="A771" s="5" t="s">
        <v>43</v>
      </c>
      <c r="B771" s="6">
        <v>40253</v>
      </c>
      <c r="C771" s="5">
        <f t="shared" ref="C771:C834" si="63">WEEKNUM(B771,1)</f>
        <v>12</v>
      </c>
      <c r="D771" s="5">
        <f t="shared" si="60"/>
        <v>3</v>
      </c>
      <c r="E771" s="5">
        <f t="shared" si="61"/>
        <v>2010</v>
      </c>
      <c r="F771" s="5" t="s">
        <v>38</v>
      </c>
      <c r="G771" s="5" t="s">
        <v>11</v>
      </c>
      <c r="H771" s="7">
        <v>370060.04</v>
      </c>
      <c r="I771" s="7">
        <v>385119.16</v>
      </c>
      <c r="J771" s="7">
        <f t="shared" si="62"/>
        <v>15059.119999999995</v>
      </c>
      <c r="K771" s="8">
        <f t="shared" ref="K771:K834" si="64">(I771-H771)/H771</f>
        <v>4.0693720943228553E-2</v>
      </c>
    </row>
    <row r="772" spans="1:11" x14ac:dyDescent="0.3">
      <c r="A772" s="5" t="s">
        <v>43</v>
      </c>
      <c r="B772" s="6">
        <v>40254</v>
      </c>
      <c r="C772" s="5">
        <f t="shared" si="63"/>
        <v>12</v>
      </c>
      <c r="D772" s="5">
        <f t="shared" si="60"/>
        <v>3</v>
      </c>
      <c r="E772" s="5">
        <f t="shared" si="61"/>
        <v>2010</v>
      </c>
      <c r="F772" s="5" t="s">
        <v>14</v>
      </c>
      <c r="G772" s="5" t="s">
        <v>6</v>
      </c>
      <c r="H772" s="7">
        <v>9018</v>
      </c>
      <c r="I772" s="7">
        <v>10656.05</v>
      </c>
      <c r="J772" s="7">
        <f t="shared" si="62"/>
        <v>1638.0499999999993</v>
      </c>
      <c r="K772" s="8">
        <f t="shared" si="64"/>
        <v>0.18164227101352842</v>
      </c>
    </row>
    <row r="773" spans="1:11" x14ac:dyDescent="0.3">
      <c r="A773" s="5" t="s">
        <v>43</v>
      </c>
      <c r="B773" s="6">
        <v>40254</v>
      </c>
      <c r="C773" s="5">
        <f t="shared" si="63"/>
        <v>12</v>
      </c>
      <c r="D773" s="5">
        <f t="shared" si="60"/>
        <v>3</v>
      </c>
      <c r="E773" s="5">
        <f t="shared" si="61"/>
        <v>2010</v>
      </c>
      <c r="F773" s="5" t="s">
        <v>15</v>
      </c>
      <c r="G773" s="5" t="s">
        <v>6</v>
      </c>
      <c r="H773" s="7">
        <v>204419.07</v>
      </c>
      <c r="I773" s="7">
        <v>277735.96000000002</v>
      </c>
      <c r="J773" s="7">
        <f t="shared" si="62"/>
        <v>73316.890000000014</v>
      </c>
      <c r="K773" s="8">
        <f t="shared" si="64"/>
        <v>0.35865973756753716</v>
      </c>
    </row>
    <row r="774" spans="1:11" x14ac:dyDescent="0.3">
      <c r="A774" s="5" t="s">
        <v>43</v>
      </c>
      <c r="B774" s="6">
        <v>40254</v>
      </c>
      <c r="C774" s="5">
        <f t="shared" si="63"/>
        <v>12</v>
      </c>
      <c r="D774" s="5">
        <f t="shared" si="60"/>
        <v>3</v>
      </c>
      <c r="E774" s="5">
        <f t="shared" si="61"/>
        <v>2010</v>
      </c>
      <c r="F774" s="5" t="s">
        <v>16</v>
      </c>
      <c r="G774" s="5" t="s">
        <v>6</v>
      </c>
      <c r="H774" s="7">
        <v>13861.62</v>
      </c>
      <c r="I774" s="7">
        <v>15243.2</v>
      </c>
      <c r="J774" s="7">
        <f t="shared" si="62"/>
        <v>1381.58</v>
      </c>
      <c r="K774" s="8">
        <f t="shared" si="64"/>
        <v>9.9669447005472658E-2</v>
      </c>
    </row>
    <row r="775" spans="1:11" x14ac:dyDescent="0.3">
      <c r="A775" s="5" t="s">
        <v>43</v>
      </c>
      <c r="B775" s="6">
        <v>40254</v>
      </c>
      <c r="C775" s="5">
        <f t="shared" si="63"/>
        <v>12</v>
      </c>
      <c r="D775" s="5">
        <f t="shared" si="60"/>
        <v>3</v>
      </c>
      <c r="E775" s="5">
        <f t="shared" si="61"/>
        <v>2010</v>
      </c>
      <c r="F775" s="5" t="s">
        <v>17</v>
      </c>
      <c r="G775" s="5" t="s">
        <v>6</v>
      </c>
      <c r="H775" s="7">
        <v>1474</v>
      </c>
      <c r="I775" s="7">
        <v>1601.78</v>
      </c>
      <c r="J775" s="7">
        <f t="shared" si="62"/>
        <v>127.77999999999997</v>
      </c>
      <c r="K775" s="8">
        <f t="shared" si="64"/>
        <v>8.6689280868385329E-2</v>
      </c>
    </row>
    <row r="776" spans="1:11" x14ac:dyDescent="0.3">
      <c r="A776" s="5" t="s">
        <v>43</v>
      </c>
      <c r="B776" s="6">
        <v>40254</v>
      </c>
      <c r="C776" s="5">
        <f t="shared" si="63"/>
        <v>12</v>
      </c>
      <c r="D776" s="5">
        <f t="shared" si="60"/>
        <v>3</v>
      </c>
      <c r="E776" s="5">
        <f t="shared" si="61"/>
        <v>2010</v>
      </c>
      <c r="F776" s="5" t="s">
        <v>19</v>
      </c>
      <c r="G776" s="5" t="s">
        <v>5</v>
      </c>
      <c r="H776" s="7">
        <v>125345.52</v>
      </c>
      <c r="I776" s="7">
        <v>133949.54</v>
      </c>
      <c r="J776" s="7">
        <f t="shared" si="62"/>
        <v>8604.0200000000041</v>
      </c>
      <c r="K776" s="8">
        <f t="shared" si="64"/>
        <v>6.864242136456096E-2</v>
      </c>
    </row>
    <row r="777" spans="1:11" x14ac:dyDescent="0.3">
      <c r="A777" s="5" t="s">
        <v>43</v>
      </c>
      <c r="B777" s="6">
        <v>40254</v>
      </c>
      <c r="C777" s="5">
        <f t="shared" si="63"/>
        <v>12</v>
      </c>
      <c r="D777" s="5">
        <f t="shared" si="60"/>
        <v>3</v>
      </c>
      <c r="E777" s="5">
        <f t="shared" si="61"/>
        <v>2010</v>
      </c>
      <c r="F777" s="5" t="s">
        <v>5</v>
      </c>
      <c r="G777" s="5" t="s">
        <v>5</v>
      </c>
      <c r="H777" s="7">
        <v>526219.31000000006</v>
      </c>
      <c r="I777" s="7">
        <v>560428.35</v>
      </c>
      <c r="J777" s="7">
        <f t="shared" si="62"/>
        <v>34209.039999999921</v>
      </c>
      <c r="K777" s="8">
        <f t="shared" si="64"/>
        <v>6.5009092881825103E-2</v>
      </c>
    </row>
    <row r="778" spans="1:11" x14ac:dyDescent="0.3">
      <c r="A778" s="5" t="s">
        <v>43</v>
      </c>
      <c r="B778" s="6">
        <v>40254</v>
      </c>
      <c r="C778" s="5">
        <f t="shared" si="63"/>
        <v>12</v>
      </c>
      <c r="D778" s="5">
        <f t="shared" si="60"/>
        <v>3</v>
      </c>
      <c r="E778" s="5">
        <f t="shared" si="61"/>
        <v>2010</v>
      </c>
      <c r="F778" s="5" t="s">
        <v>20</v>
      </c>
      <c r="G778" s="5" t="s">
        <v>5</v>
      </c>
      <c r="H778" s="7">
        <v>80017.919999999998</v>
      </c>
      <c r="I778" s="7">
        <v>87737.02</v>
      </c>
      <c r="J778" s="7">
        <f t="shared" si="62"/>
        <v>7719.1000000000058</v>
      </c>
      <c r="K778" s="8">
        <f t="shared" si="64"/>
        <v>9.6467141360335365E-2</v>
      </c>
    </row>
    <row r="779" spans="1:11" x14ac:dyDescent="0.3">
      <c r="A779" s="5" t="s">
        <v>43</v>
      </c>
      <c r="B779" s="6">
        <v>40254</v>
      </c>
      <c r="C779" s="5">
        <f t="shared" si="63"/>
        <v>12</v>
      </c>
      <c r="D779" s="5">
        <f t="shared" si="60"/>
        <v>3</v>
      </c>
      <c r="E779" s="5">
        <f t="shared" si="61"/>
        <v>2010</v>
      </c>
      <c r="F779" s="5" t="s">
        <v>21</v>
      </c>
      <c r="G779" s="5" t="s">
        <v>5</v>
      </c>
      <c r="H779" s="7">
        <v>176765.7</v>
      </c>
      <c r="I779" s="7">
        <v>193693.86</v>
      </c>
      <c r="J779" s="7">
        <f t="shared" si="62"/>
        <v>16928.159999999974</v>
      </c>
      <c r="K779" s="8">
        <f t="shared" si="64"/>
        <v>9.5766090367078976E-2</v>
      </c>
    </row>
    <row r="780" spans="1:11" x14ac:dyDescent="0.3">
      <c r="A780" s="5" t="s">
        <v>43</v>
      </c>
      <c r="B780" s="6">
        <v>40254</v>
      </c>
      <c r="C780" s="5">
        <f t="shared" si="63"/>
        <v>12</v>
      </c>
      <c r="D780" s="5">
        <f t="shared" si="60"/>
        <v>3</v>
      </c>
      <c r="E780" s="5">
        <f t="shared" si="61"/>
        <v>2010</v>
      </c>
      <c r="F780" s="5" t="s">
        <v>22</v>
      </c>
      <c r="G780" s="5" t="s">
        <v>8</v>
      </c>
      <c r="H780" s="7">
        <v>634489.43000000005</v>
      </c>
      <c r="I780" s="7">
        <v>669489.09</v>
      </c>
      <c r="J780" s="7">
        <f t="shared" si="62"/>
        <v>34999.659999999916</v>
      </c>
      <c r="K780" s="8">
        <f t="shared" si="64"/>
        <v>5.51619275990144E-2</v>
      </c>
    </row>
    <row r="781" spans="1:11" x14ac:dyDescent="0.3">
      <c r="A781" s="5" t="s">
        <v>43</v>
      </c>
      <c r="B781" s="6">
        <v>40254</v>
      </c>
      <c r="C781" s="5">
        <f t="shared" si="63"/>
        <v>12</v>
      </c>
      <c r="D781" s="5">
        <f t="shared" si="60"/>
        <v>3</v>
      </c>
      <c r="E781" s="5">
        <f t="shared" si="61"/>
        <v>2010</v>
      </c>
      <c r="F781" s="5" t="s">
        <v>23</v>
      </c>
      <c r="G781" s="5" t="s">
        <v>8</v>
      </c>
      <c r="H781" s="7">
        <v>284257.8</v>
      </c>
      <c r="I781" s="7">
        <v>294955.94</v>
      </c>
      <c r="J781" s="7">
        <f t="shared" si="62"/>
        <v>10698.140000000014</v>
      </c>
      <c r="K781" s="8">
        <f t="shared" si="64"/>
        <v>3.7635343691536392E-2</v>
      </c>
    </row>
    <row r="782" spans="1:11" x14ac:dyDescent="0.3">
      <c r="A782" s="5" t="s">
        <v>43</v>
      </c>
      <c r="B782" s="6">
        <v>40254</v>
      </c>
      <c r="C782" s="5">
        <f t="shared" si="63"/>
        <v>12</v>
      </c>
      <c r="D782" s="5">
        <f t="shared" si="60"/>
        <v>3</v>
      </c>
      <c r="E782" s="5">
        <f t="shared" si="61"/>
        <v>2010</v>
      </c>
      <c r="F782" s="5" t="s">
        <v>24</v>
      </c>
      <c r="G782" s="5" t="s">
        <v>8</v>
      </c>
      <c r="H782" s="7">
        <v>138783.99</v>
      </c>
      <c r="I782" s="7">
        <v>147254.73000000001</v>
      </c>
      <c r="J782" s="7">
        <f t="shared" si="62"/>
        <v>8470.7400000000198</v>
      </c>
      <c r="K782" s="8">
        <f t="shared" si="64"/>
        <v>6.1035426348529251E-2</v>
      </c>
    </row>
    <row r="783" spans="1:11" x14ac:dyDescent="0.3">
      <c r="A783" s="5" t="s">
        <v>43</v>
      </c>
      <c r="B783" s="6">
        <v>40254</v>
      </c>
      <c r="C783" s="5">
        <f t="shared" si="63"/>
        <v>12</v>
      </c>
      <c r="D783" s="5">
        <f t="shared" si="60"/>
        <v>3</v>
      </c>
      <c r="E783" s="5">
        <f t="shared" si="61"/>
        <v>2010</v>
      </c>
      <c r="F783" s="5" t="s">
        <v>25</v>
      </c>
      <c r="G783" s="5" t="s">
        <v>8</v>
      </c>
      <c r="H783" s="7">
        <v>13294.8</v>
      </c>
      <c r="I783" s="7">
        <v>13714.69</v>
      </c>
      <c r="J783" s="7">
        <f t="shared" si="62"/>
        <v>419.89000000000124</v>
      </c>
      <c r="K783" s="8">
        <f t="shared" si="64"/>
        <v>3.1583024942082712E-2</v>
      </c>
    </row>
    <row r="784" spans="1:11" x14ac:dyDescent="0.3">
      <c r="A784" s="5" t="s">
        <v>43</v>
      </c>
      <c r="B784" s="6">
        <v>40254</v>
      </c>
      <c r="C784" s="5">
        <f t="shared" si="63"/>
        <v>12</v>
      </c>
      <c r="D784" s="5">
        <f t="shared" si="60"/>
        <v>3</v>
      </c>
      <c r="E784" s="5">
        <f t="shared" si="61"/>
        <v>2010</v>
      </c>
      <c r="F784" s="5" t="s">
        <v>26</v>
      </c>
      <c r="G784" s="5" t="s">
        <v>10</v>
      </c>
      <c r="H784" s="7">
        <v>8174</v>
      </c>
      <c r="I784" s="7">
        <v>9229</v>
      </c>
      <c r="J784" s="7">
        <f t="shared" si="62"/>
        <v>1055</v>
      </c>
      <c r="K784" s="8">
        <f t="shared" si="64"/>
        <v>0.12906777587472473</v>
      </c>
    </row>
    <row r="785" spans="1:11" x14ac:dyDescent="0.3">
      <c r="A785" s="5" t="s">
        <v>43</v>
      </c>
      <c r="B785" s="6">
        <v>40254</v>
      </c>
      <c r="C785" s="5">
        <f t="shared" si="63"/>
        <v>12</v>
      </c>
      <c r="D785" s="5">
        <f t="shared" si="60"/>
        <v>3</v>
      </c>
      <c r="E785" s="5">
        <f t="shared" si="61"/>
        <v>2010</v>
      </c>
      <c r="F785" s="5" t="s">
        <v>27</v>
      </c>
      <c r="G785" s="5" t="s">
        <v>10</v>
      </c>
      <c r="H785" s="7">
        <v>99492.46</v>
      </c>
      <c r="I785" s="7">
        <v>112459.97</v>
      </c>
      <c r="J785" s="7">
        <f t="shared" si="62"/>
        <v>12967.509999999995</v>
      </c>
      <c r="K785" s="8">
        <f t="shared" si="64"/>
        <v>0.13033661043258951</v>
      </c>
    </row>
    <row r="786" spans="1:11" x14ac:dyDescent="0.3">
      <c r="A786" s="5" t="s">
        <v>43</v>
      </c>
      <c r="B786" s="6">
        <v>40254</v>
      </c>
      <c r="C786" s="5">
        <f t="shared" si="63"/>
        <v>12</v>
      </c>
      <c r="D786" s="5">
        <f t="shared" si="60"/>
        <v>3</v>
      </c>
      <c r="E786" s="5">
        <f t="shared" si="61"/>
        <v>2010</v>
      </c>
      <c r="F786" s="5" t="s">
        <v>28</v>
      </c>
      <c r="G786" s="5" t="s">
        <v>10</v>
      </c>
      <c r="H786" s="7">
        <v>65948.17</v>
      </c>
      <c r="I786" s="7">
        <v>52130.73</v>
      </c>
      <c r="J786" s="7">
        <f t="shared" si="62"/>
        <v>-13817.439999999995</v>
      </c>
      <c r="K786" s="8">
        <f t="shared" si="64"/>
        <v>-0.20951968796101539</v>
      </c>
    </row>
    <row r="787" spans="1:11" x14ac:dyDescent="0.3">
      <c r="A787" s="5" t="s">
        <v>43</v>
      </c>
      <c r="B787" s="6">
        <v>40254</v>
      </c>
      <c r="C787" s="5">
        <f t="shared" si="63"/>
        <v>12</v>
      </c>
      <c r="D787" s="5">
        <f t="shared" si="60"/>
        <v>3</v>
      </c>
      <c r="E787" s="5">
        <f t="shared" si="61"/>
        <v>2010</v>
      </c>
      <c r="F787" s="5" t="s">
        <v>29</v>
      </c>
      <c r="G787" s="5" t="s">
        <v>10</v>
      </c>
      <c r="H787" s="7">
        <v>680529.84</v>
      </c>
      <c r="I787" s="7">
        <v>746325.45</v>
      </c>
      <c r="J787" s="7">
        <f t="shared" si="62"/>
        <v>65795.609999999986</v>
      </c>
      <c r="K787" s="8">
        <f t="shared" si="64"/>
        <v>9.6682916946007821E-2</v>
      </c>
    </row>
    <row r="788" spans="1:11" x14ac:dyDescent="0.3">
      <c r="A788" s="5" t="s">
        <v>43</v>
      </c>
      <c r="B788" s="6">
        <v>40254</v>
      </c>
      <c r="C788" s="5">
        <f t="shared" si="63"/>
        <v>12</v>
      </c>
      <c r="D788" s="5">
        <f t="shared" si="60"/>
        <v>3</v>
      </c>
      <c r="E788" s="5">
        <f t="shared" si="61"/>
        <v>2010</v>
      </c>
      <c r="F788" s="5" t="s">
        <v>30</v>
      </c>
      <c r="G788" s="5" t="s">
        <v>10</v>
      </c>
      <c r="H788" s="7">
        <v>77593.039999999994</v>
      </c>
      <c r="I788" s="7">
        <v>87300.45</v>
      </c>
      <c r="J788" s="7">
        <f t="shared" si="62"/>
        <v>9707.4100000000035</v>
      </c>
      <c r="K788" s="8">
        <f t="shared" si="64"/>
        <v>0.12510671060187878</v>
      </c>
    </row>
    <row r="789" spans="1:11" x14ac:dyDescent="0.3">
      <c r="A789" s="5" t="s">
        <v>43</v>
      </c>
      <c r="B789" s="6">
        <v>40254</v>
      </c>
      <c r="C789" s="5">
        <f t="shared" si="63"/>
        <v>12</v>
      </c>
      <c r="D789" s="5">
        <f t="shared" si="60"/>
        <v>3</v>
      </c>
      <c r="E789" s="5">
        <f t="shared" si="61"/>
        <v>2010</v>
      </c>
      <c r="F789" s="5" t="s">
        <v>9</v>
      </c>
      <c r="G789" s="5" t="s">
        <v>9</v>
      </c>
      <c r="H789" s="7">
        <v>574180.68000000005</v>
      </c>
      <c r="I789" s="7">
        <v>686008.06</v>
      </c>
      <c r="J789" s="7">
        <f t="shared" si="62"/>
        <v>111827.38</v>
      </c>
      <c r="K789" s="8">
        <f t="shared" si="64"/>
        <v>0.19475991424859504</v>
      </c>
    </row>
    <row r="790" spans="1:11" x14ac:dyDescent="0.3">
      <c r="A790" s="5" t="s">
        <v>43</v>
      </c>
      <c r="B790" s="6">
        <v>40254</v>
      </c>
      <c r="C790" s="5">
        <f t="shared" si="63"/>
        <v>12</v>
      </c>
      <c r="D790" s="5">
        <f t="shared" si="60"/>
        <v>3</v>
      </c>
      <c r="E790" s="5">
        <f t="shared" si="61"/>
        <v>2010</v>
      </c>
      <c r="F790" s="5" t="s">
        <v>31</v>
      </c>
      <c r="G790" s="5" t="s">
        <v>7</v>
      </c>
      <c r="H790" s="7">
        <v>5388.66</v>
      </c>
      <c r="I790" s="7">
        <v>11633.71</v>
      </c>
      <c r="J790" s="7">
        <f t="shared" si="62"/>
        <v>6245.0499999999993</v>
      </c>
      <c r="K790" s="8">
        <f t="shared" si="64"/>
        <v>1.1589244821532625</v>
      </c>
    </row>
    <row r="791" spans="1:11" x14ac:dyDescent="0.3">
      <c r="A791" s="5" t="s">
        <v>43</v>
      </c>
      <c r="B791" s="6">
        <v>40254</v>
      </c>
      <c r="C791" s="5">
        <f t="shared" si="63"/>
        <v>12</v>
      </c>
      <c r="D791" s="5">
        <f t="shared" si="60"/>
        <v>3</v>
      </c>
      <c r="E791" s="5">
        <f t="shared" si="61"/>
        <v>2010</v>
      </c>
      <c r="F791" s="5" t="s">
        <v>33</v>
      </c>
      <c r="G791" s="5" t="s">
        <v>7</v>
      </c>
      <c r="H791" s="7">
        <v>174536.27</v>
      </c>
      <c r="I791" s="7">
        <v>333589.18</v>
      </c>
      <c r="J791" s="7">
        <f t="shared" si="62"/>
        <v>159052.91</v>
      </c>
      <c r="K791" s="8">
        <f t="shared" si="64"/>
        <v>0.91128858202366769</v>
      </c>
    </row>
    <row r="792" spans="1:11" x14ac:dyDescent="0.3">
      <c r="A792" s="5" t="s">
        <v>43</v>
      </c>
      <c r="B792" s="6">
        <v>40254</v>
      </c>
      <c r="C792" s="5">
        <f t="shared" si="63"/>
        <v>12</v>
      </c>
      <c r="D792" s="5">
        <f t="shared" si="60"/>
        <v>3</v>
      </c>
      <c r="E792" s="5">
        <f t="shared" si="61"/>
        <v>2010</v>
      </c>
      <c r="F792" s="5" t="s">
        <v>36</v>
      </c>
      <c r="G792" s="5" t="s">
        <v>11</v>
      </c>
      <c r="H792" s="7">
        <v>115187.56</v>
      </c>
      <c r="I792" s="7">
        <v>125211.4</v>
      </c>
      <c r="J792" s="7">
        <f t="shared" si="62"/>
        <v>10023.839999999997</v>
      </c>
      <c r="K792" s="8">
        <f t="shared" si="64"/>
        <v>8.7021897156255384E-2</v>
      </c>
    </row>
    <row r="793" spans="1:11" x14ac:dyDescent="0.3">
      <c r="A793" s="5" t="s">
        <v>43</v>
      </c>
      <c r="B793" s="6">
        <v>40254</v>
      </c>
      <c r="C793" s="5">
        <f t="shared" si="63"/>
        <v>12</v>
      </c>
      <c r="D793" s="5">
        <f t="shared" si="60"/>
        <v>3</v>
      </c>
      <c r="E793" s="5">
        <f t="shared" si="61"/>
        <v>2010</v>
      </c>
      <c r="F793" s="5" t="s">
        <v>37</v>
      </c>
      <c r="G793" s="5" t="s">
        <v>11</v>
      </c>
      <c r="H793" s="7">
        <v>311518.67</v>
      </c>
      <c r="I793" s="7">
        <v>333731.69</v>
      </c>
      <c r="J793" s="7">
        <f t="shared" si="62"/>
        <v>22213.020000000019</v>
      </c>
      <c r="K793" s="8">
        <f t="shared" si="64"/>
        <v>7.1305581781021407E-2</v>
      </c>
    </row>
    <row r="794" spans="1:11" x14ac:dyDescent="0.3">
      <c r="A794" s="5" t="s">
        <v>43</v>
      </c>
      <c r="B794" s="6">
        <v>40254</v>
      </c>
      <c r="C794" s="5">
        <f t="shared" si="63"/>
        <v>12</v>
      </c>
      <c r="D794" s="5">
        <f t="shared" si="60"/>
        <v>3</v>
      </c>
      <c r="E794" s="5">
        <f t="shared" si="61"/>
        <v>2010</v>
      </c>
      <c r="F794" s="5" t="s">
        <v>38</v>
      </c>
      <c r="G794" s="5" t="s">
        <v>11</v>
      </c>
      <c r="H794" s="7">
        <v>366831.33</v>
      </c>
      <c r="I794" s="7">
        <v>378017.19</v>
      </c>
      <c r="J794" s="7">
        <f t="shared" si="62"/>
        <v>11185.859999999986</v>
      </c>
      <c r="K794" s="8">
        <f t="shared" si="64"/>
        <v>3.0493196968753966E-2</v>
      </c>
    </row>
    <row r="795" spans="1:11" x14ac:dyDescent="0.3">
      <c r="A795" s="5" t="s">
        <v>43</v>
      </c>
      <c r="B795" s="6">
        <v>40255</v>
      </c>
      <c r="C795" s="5">
        <f t="shared" si="63"/>
        <v>12</v>
      </c>
      <c r="D795" s="5">
        <f t="shared" si="60"/>
        <v>3</v>
      </c>
      <c r="E795" s="5">
        <f t="shared" si="61"/>
        <v>2010</v>
      </c>
      <c r="F795" s="5" t="s">
        <v>14</v>
      </c>
      <c r="G795" s="5" t="s">
        <v>6</v>
      </c>
      <c r="H795" s="7">
        <v>16160.98</v>
      </c>
      <c r="I795" s="7">
        <v>18945.18</v>
      </c>
      <c r="J795" s="7">
        <f t="shared" si="62"/>
        <v>2784.2000000000007</v>
      </c>
      <c r="K795" s="8">
        <f t="shared" si="64"/>
        <v>0.17227915633829141</v>
      </c>
    </row>
    <row r="796" spans="1:11" x14ac:dyDescent="0.3">
      <c r="A796" s="5" t="s">
        <v>43</v>
      </c>
      <c r="B796" s="6">
        <v>40255</v>
      </c>
      <c r="C796" s="5">
        <f t="shared" si="63"/>
        <v>12</v>
      </c>
      <c r="D796" s="5">
        <f t="shared" si="60"/>
        <v>3</v>
      </c>
      <c r="E796" s="5">
        <f t="shared" si="61"/>
        <v>2010</v>
      </c>
      <c r="F796" s="5" t="s">
        <v>15</v>
      </c>
      <c r="G796" s="5" t="s">
        <v>6</v>
      </c>
      <c r="H796" s="7">
        <v>336826.45</v>
      </c>
      <c r="I796" s="7">
        <v>425418.75</v>
      </c>
      <c r="J796" s="7">
        <f t="shared" si="62"/>
        <v>88592.299999999988</v>
      </c>
      <c r="K796" s="8">
        <f t="shared" si="64"/>
        <v>0.26302061491904805</v>
      </c>
    </row>
    <row r="797" spans="1:11" x14ac:dyDescent="0.3">
      <c r="A797" s="5" t="s">
        <v>43</v>
      </c>
      <c r="B797" s="6">
        <v>40255</v>
      </c>
      <c r="C797" s="5">
        <f t="shared" si="63"/>
        <v>12</v>
      </c>
      <c r="D797" s="5">
        <f t="shared" si="60"/>
        <v>3</v>
      </c>
      <c r="E797" s="5">
        <f t="shared" si="61"/>
        <v>2010</v>
      </c>
      <c r="F797" s="5" t="s">
        <v>16</v>
      </c>
      <c r="G797" s="5" t="s">
        <v>6</v>
      </c>
      <c r="H797" s="7">
        <v>58657.96</v>
      </c>
      <c r="I797" s="7">
        <v>65980.800000000003</v>
      </c>
      <c r="J797" s="7">
        <f t="shared" si="62"/>
        <v>7322.8400000000038</v>
      </c>
      <c r="K797" s="8">
        <f t="shared" si="64"/>
        <v>0.12483966370463623</v>
      </c>
    </row>
    <row r="798" spans="1:11" x14ac:dyDescent="0.3">
      <c r="A798" s="5" t="s">
        <v>43</v>
      </c>
      <c r="B798" s="6">
        <v>40255</v>
      </c>
      <c r="C798" s="5">
        <f t="shared" si="63"/>
        <v>12</v>
      </c>
      <c r="D798" s="5">
        <f t="shared" si="60"/>
        <v>3</v>
      </c>
      <c r="E798" s="5">
        <f t="shared" si="61"/>
        <v>2010</v>
      </c>
      <c r="F798" s="5" t="s">
        <v>17</v>
      </c>
      <c r="G798" s="5" t="s">
        <v>6</v>
      </c>
      <c r="H798" s="7">
        <v>382</v>
      </c>
      <c r="I798" s="7">
        <v>438.96</v>
      </c>
      <c r="J798" s="7">
        <f t="shared" si="62"/>
        <v>56.95999999999998</v>
      </c>
      <c r="K798" s="8">
        <f t="shared" si="64"/>
        <v>0.149109947643979</v>
      </c>
    </row>
    <row r="799" spans="1:11" x14ac:dyDescent="0.3">
      <c r="A799" s="5" t="s">
        <v>43</v>
      </c>
      <c r="B799" s="6">
        <v>40255</v>
      </c>
      <c r="C799" s="5">
        <f t="shared" si="63"/>
        <v>12</v>
      </c>
      <c r="D799" s="5">
        <f t="shared" si="60"/>
        <v>3</v>
      </c>
      <c r="E799" s="5">
        <f t="shared" si="61"/>
        <v>2010</v>
      </c>
      <c r="F799" s="5" t="s">
        <v>19</v>
      </c>
      <c r="G799" s="5" t="s">
        <v>5</v>
      </c>
      <c r="H799" s="7">
        <v>139306.16</v>
      </c>
      <c r="I799" s="7">
        <v>150180.56</v>
      </c>
      <c r="J799" s="7">
        <f t="shared" si="62"/>
        <v>10874.399999999994</v>
      </c>
      <c r="K799" s="8">
        <f t="shared" si="64"/>
        <v>7.806115680742326E-2</v>
      </c>
    </row>
    <row r="800" spans="1:11" x14ac:dyDescent="0.3">
      <c r="A800" s="5" t="s">
        <v>43</v>
      </c>
      <c r="B800" s="6">
        <v>40255</v>
      </c>
      <c r="C800" s="5">
        <f t="shared" si="63"/>
        <v>12</v>
      </c>
      <c r="D800" s="5">
        <f t="shared" si="60"/>
        <v>3</v>
      </c>
      <c r="E800" s="5">
        <f t="shared" si="61"/>
        <v>2010</v>
      </c>
      <c r="F800" s="5" t="s">
        <v>5</v>
      </c>
      <c r="G800" s="5" t="s">
        <v>5</v>
      </c>
      <c r="H800" s="7">
        <v>773002.78</v>
      </c>
      <c r="I800" s="7">
        <v>818967.34</v>
      </c>
      <c r="J800" s="7">
        <f t="shared" si="62"/>
        <v>45964.559999999939</v>
      </c>
      <c r="K800" s="8">
        <f t="shared" si="64"/>
        <v>5.9462347599836492E-2</v>
      </c>
    </row>
    <row r="801" spans="1:11" x14ac:dyDescent="0.3">
      <c r="A801" s="5" t="s">
        <v>43</v>
      </c>
      <c r="B801" s="6">
        <v>40255</v>
      </c>
      <c r="C801" s="5">
        <f t="shared" si="63"/>
        <v>12</v>
      </c>
      <c r="D801" s="5">
        <f t="shared" si="60"/>
        <v>3</v>
      </c>
      <c r="E801" s="5">
        <f t="shared" si="61"/>
        <v>2010</v>
      </c>
      <c r="F801" s="5" t="s">
        <v>20</v>
      </c>
      <c r="G801" s="5" t="s">
        <v>5</v>
      </c>
      <c r="H801" s="7">
        <v>201750.88</v>
      </c>
      <c r="I801" s="7">
        <v>197744.23</v>
      </c>
      <c r="J801" s="7">
        <f t="shared" si="62"/>
        <v>-4006.6499999999942</v>
      </c>
      <c r="K801" s="8">
        <f t="shared" si="64"/>
        <v>-1.9859392930528949E-2</v>
      </c>
    </row>
    <row r="802" spans="1:11" x14ac:dyDescent="0.3">
      <c r="A802" s="5" t="s">
        <v>43</v>
      </c>
      <c r="B802" s="6">
        <v>40255</v>
      </c>
      <c r="C802" s="5">
        <f t="shared" si="63"/>
        <v>12</v>
      </c>
      <c r="D802" s="5">
        <f t="shared" si="60"/>
        <v>3</v>
      </c>
      <c r="E802" s="5">
        <f t="shared" si="61"/>
        <v>2010</v>
      </c>
      <c r="F802" s="5" t="s">
        <v>21</v>
      </c>
      <c r="G802" s="5" t="s">
        <v>5</v>
      </c>
      <c r="H802" s="7">
        <v>206779.93</v>
      </c>
      <c r="I802" s="7">
        <v>224412.23</v>
      </c>
      <c r="J802" s="7">
        <f t="shared" si="62"/>
        <v>17632.300000000017</v>
      </c>
      <c r="K802" s="8">
        <f t="shared" si="64"/>
        <v>8.5270848094396876E-2</v>
      </c>
    </row>
    <row r="803" spans="1:11" x14ac:dyDescent="0.3">
      <c r="A803" s="5" t="s">
        <v>43</v>
      </c>
      <c r="B803" s="6">
        <v>40255</v>
      </c>
      <c r="C803" s="5">
        <f t="shared" si="63"/>
        <v>12</v>
      </c>
      <c r="D803" s="5">
        <f t="shared" si="60"/>
        <v>3</v>
      </c>
      <c r="E803" s="5">
        <f t="shared" si="61"/>
        <v>2010</v>
      </c>
      <c r="F803" s="5" t="s">
        <v>22</v>
      </c>
      <c r="G803" s="5" t="s">
        <v>8</v>
      </c>
      <c r="H803" s="7">
        <v>368433.47</v>
      </c>
      <c r="I803" s="7">
        <v>395144.05</v>
      </c>
      <c r="J803" s="7">
        <f t="shared" si="62"/>
        <v>26710.580000000016</v>
      </c>
      <c r="K803" s="8">
        <f t="shared" si="64"/>
        <v>7.2497702231016134E-2</v>
      </c>
    </row>
    <row r="804" spans="1:11" x14ac:dyDescent="0.3">
      <c r="A804" s="5" t="s">
        <v>43</v>
      </c>
      <c r="B804" s="6">
        <v>40255</v>
      </c>
      <c r="C804" s="5">
        <f t="shared" si="63"/>
        <v>12</v>
      </c>
      <c r="D804" s="5">
        <f t="shared" si="60"/>
        <v>3</v>
      </c>
      <c r="E804" s="5">
        <f t="shared" si="61"/>
        <v>2010</v>
      </c>
      <c r="F804" s="5" t="s">
        <v>23</v>
      </c>
      <c r="G804" s="5" t="s">
        <v>8</v>
      </c>
      <c r="H804" s="7">
        <v>302111.90000000002</v>
      </c>
      <c r="I804" s="7">
        <v>316004.90999999997</v>
      </c>
      <c r="J804" s="7">
        <f t="shared" si="62"/>
        <v>13893.009999999951</v>
      </c>
      <c r="K804" s="8">
        <f t="shared" si="64"/>
        <v>4.5986305074377905E-2</v>
      </c>
    </row>
    <row r="805" spans="1:11" x14ac:dyDescent="0.3">
      <c r="A805" s="5" t="s">
        <v>43</v>
      </c>
      <c r="B805" s="6">
        <v>40255</v>
      </c>
      <c r="C805" s="5">
        <f t="shared" si="63"/>
        <v>12</v>
      </c>
      <c r="D805" s="5">
        <f t="shared" si="60"/>
        <v>3</v>
      </c>
      <c r="E805" s="5">
        <f t="shared" si="61"/>
        <v>2010</v>
      </c>
      <c r="F805" s="5" t="s">
        <v>24</v>
      </c>
      <c r="G805" s="5" t="s">
        <v>8</v>
      </c>
      <c r="H805" s="7">
        <v>153286</v>
      </c>
      <c r="I805" s="7">
        <v>162832.91</v>
      </c>
      <c r="J805" s="7">
        <f t="shared" si="62"/>
        <v>9546.9100000000035</v>
      </c>
      <c r="K805" s="8">
        <f t="shared" si="64"/>
        <v>6.2281682606369813E-2</v>
      </c>
    </row>
    <row r="806" spans="1:11" x14ac:dyDescent="0.3">
      <c r="A806" s="5" t="s">
        <v>43</v>
      </c>
      <c r="B806" s="6">
        <v>40255</v>
      </c>
      <c r="C806" s="5">
        <f t="shared" si="63"/>
        <v>12</v>
      </c>
      <c r="D806" s="5">
        <f t="shared" si="60"/>
        <v>3</v>
      </c>
      <c r="E806" s="5">
        <f t="shared" si="61"/>
        <v>2010</v>
      </c>
      <c r="F806" s="5" t="s">
        <v>25</v>
      </c>
      <c r="G806" s="5" t="s">
        <v>8</v>
      </c>
      <c r="H806" s="7">
        <v>9482.2000000000007</v>
      </c>
      <c r="I806" s="7">
        <v>9951.6299999999992</v>
      </c>
      <c r="J806" s="7">
        <f t="shared" si="62"/>
        <v>469.42999999999847</v>
      </c>
      <c r="K806" s="8">
        <f t="shared" si="64"/>
        <v>4.9506443652316809E-2</v>
      </c>
    </row>
    <row r="807" spans="1:11" x14ac:dyDescent="0.3">
      <c r="A807" s="5" t="s">
        <v>43</v>
      </c>
      <c r="B807" s="6">
        <v>40255</v>
      </c>
      <c r="C807" s="5">
        <f t="shared" si="63"/>
        <v>12</v>
      </c>
      <c r="D807" s="5">
        <f t="shared" si="60"/>
        <v>3</v>
      </c>
      <c r="E807" s="5">
        <f t="shared" si="61"/>
        <v>2010</v>
      </c>
      <c r="F807" s="5" t="s">
        <v>26</v>
      </c>
      <c r="G807" s="5" t="s">
        <v>10</v>
      </c>
      <c r="H807" s="7">
        <v>8514</v>
      </c>
      <c r="I807" s="7">
        <v>9681.84</v>
      </c>
      <c r="J807" s="7">
        <f t="shared" si="62"/>
        <v>1167.8400000000001</v>
      </c>
      <c r="K807" s="8">
        <f t="shared" si="64"/>
        <v>0.13716701902748415</v>
      </c>
    </row>
    <row r="808" spans="1:11" x14ac:dyDescent="0.3">
      <c r="A808" s="5" t="s">
        <v>43</v>
      </c>
      <c r="B808" s="6">
        <v>40255</v>
      </c>
      <c r="C808" s="5">
        <f t="shared" si="63"/>
        <v>12</v>
      </c>
      <c r="D808" s="5">
        <f t="shared" si="60"/>
        <v>3</v>
      </c>
      <c r="E808" s="5">
        <f t="shared" si="61"/>
        <v>2010</v>
      </c>
      <c r="F808" s="5" t="s">
        <v>27</v>
      </c>
      <c r="G808" s="5" t="s">
        <v>10</v>
      </c>
      <c r="H808" s="7">
        <v>217789.48</v>
      </c>
      <c r="I808" s="7">
        <v>245100.27</v>
      </c>
      <c r="J808" s="7">
        <f t="shared" si="62"/>
        <v>27310.789999999979</v>
      </c>
      <c r="K808" s="8">
        <f t="shared" si="64"/>
        <v>0.12539995044756055</v>
      </c>
    </row>
    <row r="809" spans="1:11" x14ac:dyDescent="0.3">
      <c r="A809" s="5" t="s">
        <v>43</v>
      </c>
      <c r="B809" s="6">
        <v>40255</v>
      </c>
      <c r="C809" s="5">
        <f t="shared" si="63"/>
        <v>12</v>
      </c>
      <c r="D809" s="5">
        <f t="shared" si="60"/>
        <v>3</v>
      </c>
      <c r="E809" s="5">
        <f t="shared" si="61"/>
        <v>2010</v>
      </c>
      <c r="F809" s="5" t="s">
        <v>28</v>
      </c>
      <c r="G809" s="5" t="s">
        <v>10</v>
      </c>
      <c r="H809" s="7">
        <v>74185.08</v>
      </c>
      <c r="I809" s="7">
        <v>86843.59</v>
      </c>
      <c r="J809" s="7">
        <f t="shared" si="62"/>
        <v>12658.509999999995</v>
      </c>
      <c r="K809" s="8">
        <f t="shared" si="64"/>
        <v>0.17063417603647518</v>
      </c>
    </row>
    <row r="810" spans="1:11" x14ac:dyDescent="0.3">
      <c r="A810" s="5" t="s">
        <v>43</v>
      </c>
      <c r="B810" s="6">
        <v>40255</v>
      </c>
      <c r="C810" s="5">
        <f t="shared" si="63"/>
        <v>12</v>
      </c>
      <c r="D810" s="5">
        <f t="shared" si="60"/>
        <v>3</v>
      </c>
      <c r="E810" s="5">
        <f t="shared" si="61"/>
        <v>2010</v>
      </c>
      <c r="F810" s="5" t="s">
        <v>29</v>
      </c>
      <c r="G810" s="5" t="s">
        <v>10</v>
      </c>
      <c r="H810" s="7">
        <v>755801.69</v>
      </c>
      <c r="I810" s="7">
        <v>824734</v>
      </c>
      <c r="J810" s="7">
        <f t="shared" si="62"/>
        <v>68932.310000000056</v>
      </c>
      <c r="K810" s="8">
        <f t="shared" si="64"/>
        <v>9.1204228453101319E-2</v>
      </c>
    </row>
    <row r="811" spans="1:11" x14ac:dyDescent="0.3">
      <c r="A811" s="5" t="s">
        <v>43</v>
      </c>
      <c r="B811" s="6">
        <v>40255</v>
      </c>
      <c r="C811" s="5">
        <f t="shared" si="63"/>
        <v>12</v>
      </c>
      <c r="D811" s="5">
        <f t="shared" si="60"/>
        <v>3</v>
      </c>
      <c r="E811" s="5">
        <f t="shared" si="61"/>
        <v>2010</v>
      </c>
      <c r="F811" s="5" t="s">
        <v>30</v>
      </c>
      <c r="G811" s="5" t="s">
        <v>10</v>
      </c>
      <c r="H811" s="7">
        <v>119998.32</v>
      </c>
      <c r="I811" s="7">
        <v>135084.59</v>
      </c>
      <c r="J811" s="7">
        <f t="shared" si="62"/>
        <v>15086.26999999999</v>
      </c>
      <c r="K811" s="8">
        <f t="shared" si="64"/>
        <v>0.12572067675614115</v>
      </c>
    </row>
    <row r="812" spans="1:11" x14ac:dyDescent="0.3">
      <c r="A812" s="5" t="s">
        <v>43</v>
      </c>
      <c r="B812" s="6">
        <v>40255</v>
      </c>
      <c r="C812" s="5">
        <f t="shared" si="63"/>
        <v>12</v>
      </c>
      <c r="D812" s="5">
        <f t="shared" si="60"/>
        <v>3</v>
      </c>
      <c r="E812" s="5">
        <f t="shared" si="61"/>
        <v>2010</v>
      </c>
      <c r="F812" s="5" t="s">
        <v>9</v>
      </c>
      <c r="G812" s="5" t="s">
        <v>9</v>
      </c>
      <c r="H812" s="7">
        <v>716673.97</v>
      </c>
      <c r="I812" s="7">
        <v>844219.61</v>
      </c>
      <c r="J812" s="7">
        <f t="shared" si="62"/>
        <v>127545.64000000001</v>
      </c>
      <c r="K812" s="8">
        <f t="shared" si="64"/>
        <v>0.17796884683840272</v>
      </c>
    </row>
    <row r="813" spans="1:11" x14ac:dyDescent="0.3">
      <c r="A813" s="5" t="s">
        <v>43</v>
      </c>
      <c r="B813" s="6">
        <v>40255</v>
      </c>
      <c r="C813" s="5">
        <f t="shared" si="63"/>
        <v>12</v>
      </c>
      <c r="D813" s="5">
        <f t="shared" si="60"/>
        <v>3</v>
      </c>
      <c r="E813" s="5">
        <f t="shared" si="61"/>
        <v>2010</v>
      </c>
      <c r="F813" s="5" t="s">
        <v>31</v>
      </c>
      <c r="G813" s="5" t="s">
        <v>7</v>
      </c>
      <c r="H813" s="7">
        <v>8011.52</v>
      </c>
      <c r="I813" s="7">
        <v>17623.52</v>
      </c>
      <c r="J813" s="7">
        <f t="shared" si="62"/>
        <v>9612</v>
      </c>
      <c r="K813" s="8">
        <f t="shared" si="64"/>
        <v>1.1997723278478989</v>
      </c>
    </row>
    <row r="814" spans="1:11" x14ac:dyDescent="0.3">
      <c r="A814" s="5" t="s">
        <v>43</v>
      </c>
      <c r="B814" s="6">
        <v>40255</v>
      </c>
      <c r="C814" s="5">
        <f t="shared" si="63"/>
        <v>12</v>
      </c>
      <c r="D814" s="5">
        <f t="shared" si="60"/>
        <v>3</v>
      </c>
      <c r="E814" s="5">
        <f t="shared" si="61"/>
        <v>2010</v>
      </c>
      <c r="F814" s="5" t="s">
        <v>33</v>
      </c>
      <c r="G814" s="5" t="s">
        <v>7</v>
      </c>
      <c r="H814" s="7">
        <v>209839.09</v>
      </c>
      <c r="I814" s="7">
        <v>403615.15</v>
      </c>
      <c r="J814" s="7">
        <f t="shared" si="62"/>
        <v>193776.06000000003</v>
      </c>
      <c r="K814" s="8">
        <f t="shared" si="64"/>
        <v>0.92345072598246603</v>
      </c>
    </row>
    <row r="815" spans="1:11" x14ac:dyDescent="0.3">
      <c r="A815" s="5" t="s">
        <v>43</v>
      </c>
      <c r="B815" s="6">
        <v>40255</v>
      </c>
      <c r="C815" s="5">
        <f t="shared" si="63"/>
        <v>12</v>
      </c>
      <c r="D815" s="5">
        <f t="shared" si="60"/>
        <v>3</v>
      </c>
      <c r="E815" s="5">
        <f t="shared" si="61"/>
        <v>2010</v>
      </c>
      <c r="F815" s="5" t="s">
        <v>34</v>
      </c>
      <c r="G815" s="5" t="s">
        <v>7</v>
      </c>
      <c r="H815" s="7">
        <v>38</v>
      </c>
      <c r="I815" s="7">
        <v>118</v>
      </c>
      <c r="J815" s="7">
        <f t="shared" si="62"/>
        <v>80</v>
      </c>
      <c r="K815" s="8">
        <f t="shared" si="64"/>
        <v>2.1052631578947367</v>
      </c>
    </row>
    <row r="816" spans="1:11" x14ac:dyDescent="0.3">
      <c r="A816" s="5" t="s">
        <v>43</v>
      </c>
      <c r="B816" s="6">
        <v>40255</v>
      </c>
      <c r="C816" s="5">
        <f t="shared" si="63"/>
        <v>12</v>
      </c>
      <c r="D816" s="5">
        <f t="shared" si="60"/>
        <v>3</v>
      </c>
      <c r="E816" s="5">
        <f t="shared" si="61"/>
        <v>2010</v>
      </c>
      <c r="F816" s="5" t="s">
        <v>35</v>
      </c>
      <c r="G816" s="5" t="s">
        <v>11</v>
      </c>
      <c r="H816" s="7">
        <v>3136.68</v>
      </c>
      <c r="I816" s="7">
        <v>4078.86</v>
      </c>
      <c r="J816" s="7">
        <f t="shared" si="62"/>
        <v>942.18000000000029</v>
      </c>
      <c r="K816" s="8">
        <f t="shared" si="64"/>
        <v>0.30037491870385258</v>
      </c>
    </row>
    <row r="817" spans="1:11" x14ac:dyDescent="0.3">
      <c r="A817" s="5" t="s">
        <v>43</v>
      </c>
      <c r="B817" s="6">
        <v>40255</v>
      </c>
      <c r="C817" s="5">
        <f t="shared" si="63"/>
        <v>12</v>
      </c>
      <c r="D817" s="5">
        <f t="shared" si="60"/>
        <v>3</v>
      </c>
      <c r="E817" s="5">
        <f t="shared" si="61"/>
        <v>2010</v>
      </c>
      <c r="F817" s="5" t="s">
        <v>36</v>
      </c>
      <c r="G817" s="5" t="s">
        <v>11</v>
      </c>
      <c r="H817" s="7">
        <v>181309.81</v>
      </c>
      <c r="I817" s="7">
        <v>196502.63</v>
      </c>
      <c r="J817" s="7">
        <f t="shared" si="62"/>
        <v>15192.820000000007</v>
      </c>
      <c r="K817" s="8">
        <f t="shared" si="64"/>
        <v>8.3794804042870083E-2</v>
      </c>
    </row>
    <row r="818" spans="1:11" x14ac:dyDescent="0.3">
      <c r="A818" s="5" t="s">
        <v>43</v>
      </c>
      <c r="B818" s="6">
        <v>40255</v>
      </c>
      <c r="C818" s="5">
        <f t="shared" si="63"/>
        <v>12</v>
      </c>
      <c r="D818" s="5">
        <f t="shared" si="60"/>
        <v>3</v>
      </c>
      <c r="E818" s="5">
        <f t="shared" si="61"/>
        <v>2010</v>
      </c>
      <c r="F818" s="5" t="s">
        <v>37</v>
      </c>
      <c r="G818" s="5" t="s">
        <v>11</v>
      </c>
      <c r="H818" s="7">
        <v>329720.7</v>
      </c>
      <c r="I818" s="7">
        <v>358128.12</v>
      </c>
      <c r="J818" s="7">
        <f t="shared" si="62"/>
        <v>28407.419999999984</v>
      </c>
      <c r="K818" s="8">
        <f t="shared" si="64"/>
        <v>8.6156010223197951E-2</v>
      </c>
    </row>
    <row r="819" spans="1:11" x14ac:dyDescent="0.3">
      <c r="A819" s="5" t="s">
        <v>43</v>
      </c>
      <c r="B819" s="6">
        <v>40255</v>
      </c>
      <c r="C819" s="5">
        <f t="shared" si="63"/>
        <v>12</v>
      </c>
      <c r="D819" s="5">
        <f t="shared" si="60"/>
        <v>3</v>
      </c>
      <c r="E819" s="5">
        <f t="shared" si="61"/>
        <v>2010</v>
      </c>
      <c r="F819" s="5" t="s">
        <v>38</v>
      </c>
      <c r="G819" s="5" t="s">
        <v>11</v>
      </c>
      <c r="H819" s="7">
        <v>308851.84000000003</v>
      </c>
      <c r="I819" s="7">
        <v>328842.14</v>
      </c>
      <c r="J819" s="7">
        <f t="shared" si="62"/>
        <v>19990.299999999988</v>
      </c>
      <c r="K819" s="8">
        <f t="shared" si="64"/>
        <v>6.4724561783410406E-2</v>
      </c>
    </row>
    <row r="820" spans="1:11" x14ac:dyDescent="0.3">
      <c r="A820" s="5" t="s">
        <v>43</v>
      </c>
      <c r="B820" s="6">
        <v>40256</v>
      </c>
      <c r="C820" s="5">
        <f t="shared" si="63"/>
        <v>12</v>
      </c>
      <c r="D820" s="5">
        <f t="shared" si="60"/>
        <v>3</v>
      </c>
      <c r="E820" s="5">
        <f t="shared" si="61"/>
        <v>2010</v>
      </c>
      <c r="F820" s="5" t="s">
        <v>14</v>
      </c>
      <c r="G820" s="5" t="s">
        <v>6</v>
      </c>
      <c r="H820" s="7">
        <v>8384.99</v>
      </c>
      <c r="I820" s="7">
        <v>9846.5</v>
      </c>
      <c r="J820" s="7">
        <f t="shared" si="62"/>
        <v>1461.5100000000002</v>
      </c>
      <c r="K820" s="8">
        <f t="shared" si="64"/>
        <v>0.17430074454471625</v>
      </c>
    </row>
    <row r="821" spans="1:11" x14ac:dyDescent="0.3">
      <c r="A821" s="5" t="s">
        <v>43</v>
      </c>
      <c r="B821" s="6">
        <v>40256</v>
      </c>
      <c r="C821" s="5">
        <f t="shared" si="63"/>
        <v>12</v>
      </c>
      <c r="D821" s="5">
        <f t="shared" si="60"/>
        <v>3</v>
      </c>
      <c r="E821" s="5">
        <f t="shared" si="61"/>
        <v>2010</v>
      </c>
      <c r="F821" s="5" t="s">
        <v>15</v>
      </c>
      <c r="G821" s="5" t="s">
        <v>6</v>
      </c>
      <c r="H821" s="7">
        <v>349582.44</v>
      </c>
      <c r="I821" s="7">
        <v>476129.85</v>
      </c>
      <c r="J821" s="7">
        <f t="shared" si="62"/>
        <v>126547.40999999997</v>
      </c>
      <c r="K821" s="8">
        <f t="shared" si="64"/>
        <v>0.36199590002289583</v>
      </c>
    </row>
    <row r="822" spans="1:11" x14ac:dyDescent="0.3">
      <c r="A822" s="5" t="s">
        <v>43</v>
      </c>
      <c r="B822" s="6">
        <v>40256</v>
      </c>
      <c r="C822" s="5">
        <f t="shared" si="63"/>
        <v>12</v>
      </c>
      <c r="D822" s="5">
        <f t="shared" si="60"/>
        <v>3</v>
      </c>
      <c r="E822" s="5">
        <f t="shared" si="61"/>
        <v>2010</v>
      </c>
      <c r="F822" s="5" t="s">
        <v>16</v>
      </c>
      <c r="G822" s="5" t="s">
        <v>6</v>
      </c>
      <c r="H822" s="7">
        <v>147729.26</v>
      </c>
      <c r="I822" s="7">
        <v>162248.32999999999</v>
      </c>
      <c r="J822" s="7">
        <f t="shared" si="62"/>
        <v>14519.069999999978</v>
      </c>
      <c r="K822" s="8">
        <f t="shared" si="64"/>
        <v>9.8281613270113019E-2</v>
      </c>
    </row>
    <row r="823" spans="1:11" x14ac:dyDescent="0.3">
      <c r="A823" s="5" t="s">
        <v>43</v>
      </c>
      <c r="B823" s="6">
        <v>40256</v>
      </c>
      <c r="C823" s="5">
        <f t="shared" si="63"/>
        <v>12</v>
      </c>
      <c r="D823" s="5">
        <f t="shared" si="60"/>
        <v>3</v>
      </c>
      <c r="E823" s="5">
        <f t="shared" si="61"/>
        <v>2010</v>
      </c>
      <c r="F823" s="5" t="s">
        <v>19</v>
      </c>
      <c r="G823" s="5" t="s">
        <v>5</v>
      </c>
      <c r="H823" s="7">
        <v>159343.32</v>
      </c>
      <c r="I823" s="7">
        <v>172652.04</v>
      </c>
      <c r="J823" s="7">
        <f t="shared" si="62"/>
        <v>13308.720000000001</v>
      </c>
      <c r="K823" s="8">
        <f t="shared" si="64"/>
        <v>8.3522296384937883E-2</v>
      </c>
    </row>
    <row r="824" spans="1:11" x14ac:dyDescent="0.3">
      <c r="A824" s="5" t="s">
        <v>43</v>
      </c>
      <c r="B824" s="6">
        <v>40256</v>
      </c>
      <c r="C824" s="5">
        <f t="shared" si="63"/>
        <v>12</v>
      </c>
      <c r="D824" s="5">
        <f t="shared" si="60"/>
        <v>3</v>
      </c>
      <c r="E824" s="5">
        <f t="shared" si="61"/>
        <v>2010</v>
      </c>
      <c r="F824" s="5" t="s">
        <v>5</v>
      </c>
      <c r="G824" s="5" t="s">
        <v>5</v>
      </c>
      <c r="H824" s="7">
        <v>749075.58</v>
      </c>
      <c r="I824" s="7">
        <v>803952.29</v>
      </c>
      <c r="J824" s="7">
        <f t="shared" si="62"/>
        <v>54876.710000000079</v>
      </c>
      <c r="K824" s="8">
        <f t="shared" si="64"/>
        <v>7.3259243079316624E-2</v>
      </c>
    </row>
    <row r="825" spans="1:11" x14ac:dyDescent="0.3">
      <c r="A825" s="5" t="s">
        <v>43</v>
      </c>
      <c r="B825" s="6">
        <v>40256</v>
      </c>
      <c r="C825" s="5">
        <f t="shared" si="63"/>
        <v>12</v>
      </c>
      <c r="D825" s="5">
        <f t="shared" si="60"/>
        <v>3</v>
      </c>
      <c r="E825" s="5">
        <f t="shared" si="61"/>
        <v>2010</v>
      </c>
      <c r="F825" s="5" t="s">
        <v>20</v>
      </c>
      <c r="G825" s="5" t="s">
        <v>5</v>
      </c>
      <c r="H825" s="7">
        <v>172293.81</v>
      </c>
      <c r="I825" s="7">
        <v>189630.23</v>
      </c>
      <c r="J825" s="7">
        <f t="shared" si="62"/>
        <v>17336.420000000013</v>
      </c>
      <c r="K825" s="8">
        <f t="shared" si="64"/>
        <v>0.10062125853505714</v>
      </c>
    </row>
    <row r="826" spans="1:11" x14ac:dyDescent="0.3">
      <c r="A826" s="5" t="s">
        <v>43</v>
      </c>
      <c r="B826" s="6">
        <v>40256</v>
      </c>
      <c r="C826" s="5">
        <f t="shared" si="63"/>
        <v>12</v>
      </c>
      <c r="D826" s="5">
        <f t="shared" si="60"/>
        <v>3</v>
      </c>
      <c r="E826" s="5">
        <f t="shared" si="61"/>
        <v>2010</v>
      </c>
      <c r="F826" s="5" t="s">
        <v>21</v>
      </c>
      <c r="G826" s="5" t="s">
        <v>5</v>
      </c>
      <c r="H826" s="7">
        <v>329216.82</v>
      </c>
      <c r="I826" s="7">
        <v>350884.88</v>
      </c>
      <c r="J826" s="7">
        <f t="shared" si="62"/>
        <v>21668.059999999998</v>
      </c>
      <c r="K826" s="8">
        <f t="shared" si="64"/>
        <v>6.5816989545066373E-2</v>
      </c>
    </row>
    <row r="827" spans="1:11" x14ac:dyDescent="0.3">
      <c r="A827" s="5" t="s">
        <v>43</v>
      </c>
      <c r="B827" s="6">
        <v>40256</v>
      </c>
      <c r="C827" s="5">
        <f t="shared" si="63"/>
        <v>12</v>
      </c>
      <c r="D827" s="5">
        <f t="shared" si="60"/>
        <v>3</v>
      </c>
      <c r="E827" s="5">
        <f t="shared" si="61"/>
        <v>2010</v>
      </c>
      <c r="F827" s="5" t="s">
        <v>22</v>
      </c>
      <c r="G827" s="5" t="s">
        <v>8</v>
      </c>
      <c r="H827" s="7">
        <v>822868.76</v>
      </c>
      <c r="I827" s="7">
        <v>882819.43</v>
      </c>
      <c r="J827" s="7">
        <f t="shared" si="62"/>
        <v>59950.670000000042</v>
      </c>
      <c r="K827" s="8">
        <f t="shared" si="64"/>
        <v>7.2855688433232105E-2</v>
      </c>
    </row>
    <row r="828" spans="1:11" x14ac:dyDescent="0.3">
      <c r="A828" s="5" t="s">
        <v>43</v>
      </c>
      <c r="B828" s="6">
        <v>40256</v>
      </c>
      <c r="C828" s="5">
        <f t="shared" si="63"/>
        <v>12</v>
      </c>
      <c r="D828" s="5">
        <f t="shared" si="60"/>
        <v>3</v>
      </c>
      <c r="E828" s="5">
        <f t="shared" si="61"/>
        <v>2010</v>
      </c>
      <c r="F828" s="5" t="s">
        <v>23</v>
      </c>
      <c r="G828" s="5" t="s">
        <v>8</v>
      </c>
      <c r="H828" s="7">
        <v>362080.56</v>
      </c>
      <c r="I828" s="7">
        <v>377134.08000000002</v>
      </c>
      <c r="J828" s="7">
        <f t="shared" si="62"/>
        <v>15053.520000000019</v>
      </c>
      <c r="K828" s="8">
        <f t="shared" si="64"/>
        <v>4.1575057219310582E-2</v>
      </c>
    </row>
    <row r="829" spans="1:11" x14ac:dyDescent="0.3">
      <c r="A829" s="5" t="s">
        <v>43</v>
      </c>
      <c r="B829" s="6">
        <v>40256</v>
      </c>
      <c r="C829" s="5">
        <f t="shared" si="63"/>
        <v>12</v>
      </c>
      <c r="D829" s="5">
        <f t="shared" si="60"/>
        <v>3</v>
      </c>
      <c r="E829" s="5">
        <f t="shared" si="61"/>
        <v>2010</v>
      </c>
      <c r="F829" s="5" t="s">
        <v>24</v>
      </c>
      <c r="G829" s="5" t="s">
        <v>8</v>
      </c>
      <c r="H829" s="7">
        <v>199781.99</v>
      </c>
      <c r="I829" s="7">
        <v>211134.39</v>
      </c>
      <c r="J829" s="7">
        <f t="shared" si="62"/>
        <v>11352.400000000023</v>
      </c>
      <c r="K829" s="8">
        <f t="shared" si="64"/>
        <v>5.68239409368183E-2</v>
      </c>
    </row>
    <row r="830" spans="1:11" x14ac:dyDescent="0.3">
      <c r="A830" s="5" t="s">
        <v>43</v>
      </c>
      <c r="B830" s="6">
        <v>40256</v>
      </c>
      <c r="C830" s="5">
        <f t="shared" si="63"/>
        <v>12</v>
      </c>
      <c r="D830" s="5">
        <f t="shared" si="60"/>
        <v>3</v>
      </c>
      <c r="E830" s="5">
        <f t="shared" si="61"/>
        <v>2010</v>
      </c>
      <c r="F830" s="5" t="s">
        <v>25</v>
      </c>
      <c r="G830" s="5" t="s">
        <v>8</v>
      </c>
      <c r="H830" s="7">
        <v>21075.4</v>
      </c>
      <c r="I830" s="7">
        <v>21705.4</v>
      </c>
      <c r="J830" s="7">
        <f t="shared" si="62"/>
        <v>630</v>
      </c>
      <c r="K830" s="8">
        <f t="shared" si="64"/>
        <v>2.9892671076231055E-2</v>
      </c>
    </row>
    <row r="831" spans="1:11" x14ac:dyDescent="0.3">
      <c r="A831" s="5" t="s">
        <v>43</v>
      </c>
      <c r="B831" s="6">
        <v>40256</v>
      </c>
      <c r="C831" s="5">
        <f t="shared" si="63"/>
        <v>12</v>
      </c>
      <c r="D831" s="5">
        <f t="shared" si="60"/>
        <v>3</v>
      </c>
      <c r="E831" s="5">
        <f t="shared" si="61"/>
        <v>2010</v>
      </c>
      <c r="F831" s="5" t="s">
        <v>26</v>
      </c>
      <c r="G831" s="5" t="s">
        <v>10</v>
      </c>
      <c r="H831" s="7">
        <v>14420</v>
      </c>
      <c r="I831" s="7">
        <v>15967.05</v>
      </c>
      <c r="J831" s="7">
        <f t="shared" si="62"/>
        <v>1547.0499999999993</v>
      </c>
      <c r="K831" s="8">
        <f t="shared" si="64"/>
        <v>0.10728502080443823</v>
      </c>
    </row>
    <row r="832" spans="1:11" x14ac:dyDescent="0.3">
      <c r="A832" s="5" t="s">
        <v>43</v>
      </c>
      <c r="B832" s="6">
        <v>40256</v>
      </c>
      <c r="C832" s="5">
        <f t="shared" si="63"/>
        <v>12</v>
      </c>
      <c r="D832" s="5">
        <f t="shared" si="60"/>
        <v>3</v>
      </c>
      <c r="E832" s="5">
        <f t="shared" si="61"/>
        <v>2010</v>
      </c>
      <c r="F832" s="5" t="s">
        <v>27</v>
      </c>
      <c r="G832" s="5" t="s">
        <v>10</v>
      </c>
      <c r="H832" s="7">
        <v>212982.92</v>
      </c>
      <c r="I832" s="7">
        <v>238805.28</v>
      </c>
      <c r="J832" s="7">
        <f t="shared" si="62"/>
        <v>25822.359999999986</v>
      </c>
      <c r="K832" s="8">
        <f t="shared" si="64"/>
        <v>0.12124145917428489</v>
      </c>
    </row>
    <row r="833" spans="1:11" x14ac:dyDescent="0.3">
      <c r="A833" s="5" t="s">
        <v>43</v>
      </c>
      <c r="B833" s="6">
        <v>40256</v>
      </c>
      <c r="C833" s="5">
        <f t="shared" si="63"/>
        <v>12</v>
      </c>
      <c r="D833" s="5">
        <f t="shared" si="60"/>
        <v>3</v>
      </c>
      <c r="E833" s="5">
        <f t="shared" si="61"/>
        <v>2010</v>
      </c>
      <c r="F833" s="5" t="s">
        <v>28</v>
      </c>
      <c r="G833" s="5" t="s">
        <v>10</v>
      </c>
      <c r="H833" s="7">
        <v>162608.87</v>
      </c>
      <c r="I833" s="7">
        <v>179608.73</v>
      </c>
      <c r="J833" s="7">
        <f t="shared" si="62"/>
        <v>16999.860000000015</v>
      </c>
      <c r="K833" s="8">
        <f t="shared" si="64"/>
        <v>0.10454448149107742</v>
      </c>
    </row>
    <row r="834" spans="1:11" x14ac:dyDescent="0.3">
      <c r="A834" s="5" t="s">
        <v>43</v>
      </c>
      <c r="B834" s="6">
        <v>40256</v>
      </c>
      <c r="C834" s="5">
        <f t="shared" si="63"/>
        <v>12</v>
      </c>
      <c r="D834" s="5">
        <f t="shared" ref="D834:D897" si="65">MONTH(B834)</f>
        <v>3</v>
      </c>
      <c r="E834" s="5">
        <f t="shared" ref="E834:E897" si="66">YEAR(B834)</f>
        <v>2010</v>
      </c>
      <c r="F834" s="5" t="s">
        <v>29</v>
      </c>
      <c r="G834" s="5" t="s">
        <v>10</v>
      </c>
      <c r="H834" s="7">
        <v>877474.87</v>
      </c>
      <c r="I834" s="7">
        <v>956866.08</v>
      </c>
      <c r="J834" s="7">
        <f t="shared" ref="J834:J897" si="67">I834-H834</f>
        <v>79391.209999999963</v>
      </c>
      <c r="K834" s="8">
        <f t="shared" si="64"/>
        <v>9.0476904483885637E-2</v>
      </c>
    </row>
    <row r="835" spans="1:11" x14ac:dyDescent="0.3">
      <c r="A835" s="5" t="s">
        <v>43</v>
      </c>
      <c r="B835" s="6">
        <v>40256</v>
      </c>
      <c r="C835" s="5">
        <f t="shared" ref="C835:C898" si="68">WEEKNUM(B835,1)</f>
        <v>12</v>
      </c>
      <c r="D835" s="5">
        <f t="shared" si="65"/>
        <v>3</v>
      </c>
      <c r="E835" s="5">
        <f t="shared" si="66"/>
        <v>2010</v>
      </c>
      <c r="F835" s="5" t="s">
        <v>30</v>
      </c>
      <c r="G835" s="5" t="s">
        <v>10</v>
      </c>
      <c r="H835" s="7">
        <v>123616.38</v>
      </c>
      <c r="I835" s="7">
        <v>139163.26</v>
      </c>
      <c r="J835" s="7">
        <f t="shared" si="67"/>
        <v>15546.880000000005</v>
      </c>
      <c r="K835" s="8">
        <f t="shared" ref="K835:K898" si="69">(I835-H835)/H835</f>
        <v>0.12576715157004278</v>
      </c>
    </row>
    <row r="836" spans="1:11" x14ac:dyDescent="0.3">
      <c r="A836" s="5" t="s">
        <v>43</v>
      </c>
      <c r="B836" s="6">
        <v>40256</v>
      </c>
      <c r="C836" s="5">
        <f t="shared" si="68"/>
        <v>12</v>
      </c>
      <c r="D836" s="5">
        <f t="shared" si="65"/>
        <v>3</v>
      </c>
      <c r="E836" s="5">
        <f t="shared" si="66"/>
        <v>2010</v>
      </c>
      <c r="F836" s="5" t="s">
        <v>9</v>
      </c>
      <c r="G836" s="5" t="s">
        <v>9</v>
      </c>
      <c r="H836" s="7">
        <v>825799.38</v>
      </c>
      <c r="I836" s="7">
        <v>986273.83</v>
      </c>
      <c r="J836" s="7">
        <f t="shared" si="67"/>
        <v>160474.44999999995</v>
      </c>
      <c r="K836" s="8">
        <f t="shared" si="69"/>
        <v>0.19432619336672299</v>
      </c>
    </row>
    <row r="837" spans="1:11" x14ac:dyDescent="0.3">
      <c r="A837" s="5" t="s">
        <v>43</v>
      </c>
      <c r="B837" s="6">
        <v>40256</v>
      </c>
      <c r="C837" s="5">
        <f t="shared" si="68"/>
        <v>12</v>
      </c>
      <c r="D837" s="5">
        <f t="shared" si="65"/>
        <v>3</v>
      </c>
      <c r="E837" s="5">
        <f t="shared" si="66"/>
        <v>2010</v>
      </c>
      <c r="F837" s="5" t="s">
        <v>31</v>
      </c>
      <c r="G837" s="5" t="s">
        <v>7</v>
      </c>
      <c r="H837" s="7">
        <v>15066.82</v>
      </c>
      <c r="I837" s="7">
        <v>32241.93</v>
      </c>
      <c r="J837" s="7">
        <f t="shared" si="67"/>
        <v>17175.11</v>
      </c>
      <c r="K837" s="8">
        <f t="shared" si="69"/>
        <v>1.1399293281528551</v>
      </c>
    </row>
    <row r="838" spans="1:11" x14ac:dyDescent="0.3">
      <c r="A838" s="5" t="s">
        <v>43</v>
      </c>
      <c r="B838" s="6">
        <v>40256</v>
      </c>
      <c r="C838" s="5">
        <f t="shared" si="68"/>
        <v>12</v>
      </c>
      <c r="D838" s="5">
        <f t="shared" si="65"/>
        <v>3</v>
      </c>
      <c r="E838" s="5">
        <f t="shared" si="66"/>
        <v>2010</v>
      </c>
      <c r="F838" s="5" t="s">
        <v>33</v>
      </c>
      <c r="G838" s="5" t="s">
        <v>7</v>
      </c>
      <c r="H838" s="7">
        <v>222802.88</v>
      </c>
      <c r="I838" s="7">
        <v>430792.9</v>
      </c>
      <c r="J838" s="7">
        <f t="shared" si="67"/>
        <v>207990.02000000002</v>
      </c>
      <c r="K838" s="8">
        <f t="shared" si="69"/>
        <v>0.93351585042347751</v>
      </c>
    </row>
    <row r="839" spans="1:11" x14ac:dyDescent="0.3">
      <c r="A839" s="5" t="s">
        <v>43</v>
      </c>
      <c r="B839" s="6">
        <v>40256</v>
      </c>
      <c r="C839" s="5">
        <f t="shared" si="68"/>
        <v>12</v>
      </c>
      <c r="D839" s="5">
        <f t="shared" si="65"/>
        <v>3</v>
      </c>
      <c r="E839" s="5">
        <f t="shared" si="66"/>
        <v>2010</v>
      </c>
      <c r="F839" s="5" t="s">
        <v>34</v>
      </c>
      <c r="G839" s="5" t="s">
        <v>7</v>
      </c>
      <c r="H839" s="7">
        <v>57</v>
      </c>
      <c r="I839" s="7">
        <v>176.94</v>
      </c>
      <c r="J839" s="7">
        <f t="shared" si="67"/>
        <v>119.94</v>
      </c>
      <c r="K839" s="8">
        <f t="shared" si="69"/>
        <v>2.1042105263157893</v>
      </c>
    </row>
    <row r="840" spans="1:11" x14ac:dyDescent="0.3">
      <c r="A840" s="5" t="s">
        <v>43</v>
      </c>
      <c r="B840" s="6">
        <v>40256</v>
      </c>
      <c r="C840" s="5">
        <f t="shared" si="68"/>
        <v>12</v>
      </c>
      <c r="D840" s="5">
        <f t="shared" si="65"/>
        <v>3</v>
      </c>
      <c r="E840" s="5">
        <f t="shared" si="66"/>
        <v>2010</v>
      </c>
      <c r="F840" s="5" t="s">
        <v>35</v>
      </c>
      <c r="G840" s="5" t="s">
        <v>11</v>
      </c>
      <c r="H840" s="7">
        <v>4268.32</v>
      </c>
      <c r="I840" s="7">
        <v>5471.99</v>
      </c>
      <c r="J840" s="7">
        <f t="shared" si="67"/>
        <v>1203.67</v>
      </c>
      <c r="K840" s="8">
        <f t="shared" si="69"/>
        <v>0.28200088090864794</v>
      </c>
    </row>
    <row r="841" spans="1:11" x14ac:dyDescent="0.3">
      <c r="A841" s="5" t="s">
        <v>43</v>
      </c>
      <c r="B841" s="6">
        <v>40256</v>
      </c>
      <c r="C841" s="5">
        <f t="shared" si="68"/>
        <v>12</v>
      </c>
      <c r="D841" s="5">
        <f t="shared" si="65"/>
        <v>3</v>
      </c>
      <c r="E841" s="5">
        <f t="shared" si="66"/>
        <v>2010</v>
      </c>
      <c r="F841" s="5" t="s">
        <v>36</v>
      </c>
      <c r="G841" s="5" t="s">
        <v>11</v>
      </c>
      <c r="H841" s="7">
        <v>228893.54</v>
      </c>
      <c r="I841" s="7">
        <v>248922.95</v>
      </c>
      <c r="J841" s="7">
        <f t="shared" si="67"/>
        <v>20029.410000000003</v>
      </c>
      <c r="K841" s="8">
        <f t="shared" si="69"/>
        <v>8.7505352925207072E-2</v>
      </c>
    </row>
    <row r="842" spans="1:11" x14ac:dyDescent="0.3">
      <c r="A842" s="5" t="s">
        <v>43</v>
      </c>
      <c r="B842" s="6">
        <v>40256</v>
      </c>
      <c r="C842" s="5">
        <f t="shared" si="68"/>
        <v>12</v>
      </c>
      <c r="D842" s="5">
        <f t="shared" si="65"/>
        <v>3</v>
      </c>
      <c r="E842" s="5">
        <f t="shared" si="66"/>
        <v>2010</v>
      </c>
      <c r="F842" s="5" t="s">
        <v>37</v>
      </c>
      <c r="G842" s="5" t="s">
        <v>11</v>
      </c>
      <c r="H842" s="7">
        <v>423845.98</v>
      </c>
      <c r="I842" s="7">
        <v>445815.89</v>
      </c>
      <c r="J842" s="7">
        <f t="shared" si="67"/>
        <v>21969.910000000033</v>
      </c>
      <c r="K842" s="8">
        <f t="shared" si="69"/>
        <v>5.1834654654504528E-2</v>
      </c>
    </row>
    <row r="843" spans="1:11" x14ac:dyDescent="0.3">
      <c r="A843" s="5" t="s">
        <v>43</v>
      </c>
      <c r="B843" s="6">
        <v>40256</v>
      </c>
      <c r="C843" s="5">
        <f t="shared" si="68"/>
        <v>12</v>
      </c>
      <c r="D843" s="5">
        <f t="shared" si="65"/>
        <v>3</v>
      </c>
      <c r="E843" s="5">
        <f t="shared" si="66"/>
        <v>2010</v>
      </c>
      <c r="F843" s="5" t="s">
        <v>38</v>
      </c>
      <c r="G843" s="5" t="s">
        <v>11</v>
      </c>
      <c r="H843" s="7">
        <v>479050.18</v>
      </c>
      <c r="I843" s="7">
        <v>501620.25</v>
      </c>
      <c r="J843" s="7">
        <f t="shared" si="67"/>
        <v>22570.070000000007</v>
      </c>
      <c r="K843" s="8">
        <f t="shared" si="69"/>
        <v>4.7114208369569983E-2</v>
      </c>
    </row>
    <row r="844" spans="1:11" x14ac:dyDescent="0.3">
      <c r="A844" s="5" t="s">
        <v>43</v>
      </c>
      <c r="B844" s="6">
        <v>40257</v>
      </c>
      <c r="C844" s="5">
        <f t="shared" si="68"/>
        <v>12</v>
      </c>
      <c r="D844" s="5">
        <f t="shared" si="65"/>
        <v>3</v>
      </c>
      <c r="E844" s="5">
        <f t="shared" si="66"/>
        <v>2010</v>
      </c>
      <c r="F844" s="5" t="s">
        <v>14</v>
      </c>
      <c r="G844" s="5" t="s">
        <v>6</v>
      </c>
      <c r="H844" s="7">
        <v>14994.98</v>
      </c>
      <c r="I844" s="7">
        <v>17810.599999999999</v>
      </c>
      <c r="J844" s="7">
        <f t="shared" si="67"/>
        <v>2815.619999999999</v>
      </c>
      <c r="K844" s="8">
        <f t="shared" si="69"/>
        <v>0.18777084064133456</v>
      </c>
    </row>
    <row r="845" spans="1:11" x14ac:dyDescent="0.3">
      <c r="A845" s="5" t="s">
        <v>43</v>
      </c>
      <c r="B845" s="6">
        <v>40257</v>
      </c>
      <c r="C845" s="5">
        <f t="shared" si="68"/>
        <v>12</v>
      </c>
      <c r="D845" s="5">
        <f t="shared" si="65"/>
        <v>3</v>
      </c>
      <c r="E845" s="5">
        <f t="shared" si="66"/>
        <v>2010</v>
      </c>
      <c r="F845" s="5" t="s">
        <v>15</v>
      </c>
      <c r="G845" s="5" t="s">
        <v>6</v>
      </c>
      <c r="H845" s="7">
        <v>605994.75</v>
      </c>
      <c r="I845" s="7">
        <v>749366.33</v>
      </c>
      <c r="J845" s="7">
        <f t="shared" si="67"/>
        <v>143371.57999999996</v>
      </c>
      <c r="K845" s="8">
        <f t="shared" si="69"/>
        <v>0.23658881533214596</v>
      </c>
    </row>
    <row r="846" spans="1:11" x14ac:dyDescent="0.3">
      <c r="A846" s="5" t="s">
        <v>43</v>
      </c>
      <c r="B846" s="6">
        <v>40257</v>
      </c>
      <c r="C846" s="5">
        <f t="shared" si="68"/>
        <v>12</v>
      </c>
      <c r="D846" s="5">
        <f t="shared" si="65"/>
        <v>3</v>
      </c>
      <c r="E846" s="5">
        <f t="shared" si="66"/>
        <v>2010</v>
      </c>
      <c r="F846" s="5" t="s">
        <v>16</v>
      </c>
      <c r="G846" s="5" t="s">
        <v>6</v>
      </c>
      <c r="H846" s="7">
        <v>262526.49</v>
      </c>
      <c r="I846" s="7">
        <v>292658.71999999997</v>
      </c>
      <c r="J846" s="7">
        <f t="shared" si="67"/>
        <v>30132.229999999981</v>
      </c>
      <c r="K846" s="8">
        <f t="shared" si="69"/>
        <v>0.11477786489279608</v>
      </c>
    </row>
    <row r="847" spans="1:11" x14ac:dyDescent="0.3">
      <c r="A847" s="5" t="s">
        <v>43</v>
      </c>
      <c r="B847" s="6">
        <v>40257</v>
      </c>
      <c r="C847" s="5">
        <f t="shared" si="68"/>
        <v>12</v>
      </c>
      <c r="D847" s="5">
        <f t="shared" si="65"/>
        <v>3</v>
      </c>
      <c r="E847" s="5">
        <f t="shared" si="66"/>
        <v>2010</v>
      </c>
      <c r="F847" s="5" t="s">
        <v>17</v>
      </c>
      <c r="G847" s="5" t="s">
        <v>6</v>
      </c>
      <c r="H847" s="7">
        <v>5155</v>
      </c>
      <c r="I847" s="7">
        <v>5736.06</v>
      </c>
      <c r="J847" s="7">
        <f t="shared" si="67"/>
        <v>581.0600000000004</v>
      </c>
      <c r="K847" s="8">
        <f t="shared" si="69"/>
        <v>0.11271774975751706</v>
      </c>
    </row>
    <row r="848" spans="1:11" x14ac:dyDescent="0.3">
      <c r="A848" s="5" t="s">
        <v>43</v>
      </c>
      <c r="B848" s="6">
        <v>40257</v>
      </c>
      <c r="C848" s="5">
        <f t="shared" si="68"/>
        <v>12</v>
      </c>
      <c r="D848" s="5">
        <f t="shared" si="65"/>
        <v>3</v>
      </c>
      <c r="E848" s="5">
        <f t="shared" si="66"/>
        <v>2010</v>
      </c>
      <c r="F848" s="5" t="s">
        <v>19</v>
      </c>
      <c r="G848" s="5" t="s">
        <v>5</v>
      </c>
      <c r="H848" s="7">
        <v>256072.55</v>
      </c>
      <c r="I848" s="7">
        <v>280413.2</v>
      </c>
      <c r="J848" s="7">
        <f t="shared" si="67"/>
        <v>24340.650000000023</v>
      </c>
      <c r="K848" s="8">
        <f t="shared" si="69"/>
        <v>9.5053725985077372E-2</v>
      </c>
    </row>
    <row r="849" spans="1:11" x14ac:dyDescent="0.3">
      <c r="A849" s="5" t="s">
        <v>43</v>
      </c>
      <c r="B849" s="6">
        <v>40257</v>
      </c>
      <c r="C849" s="5">
        <f t="shared" si="68"/>
        <v>12</v>
      </c>
      <c r="D849" s="5">
        <f t="shared" si="65"/>
        <v>3</v>
      </c>
      <c r="E849" s="5">
        <f t="shared" si="66"/>
        <v>2010</v>
      </c>
      <c r="F849" s="5" t="s">
        <v>5</v>
      </c>
      <c r="G849" s="5" t="s">
        <v>5</v>
      </c>
      <c r="H849" s="7">
        <v>916364.36</v>
      </c>
      <c r="I849" s="7">
        <v>989668.43</v>
      </c>
      <c r="J849" s="7">
        <f t="shared" si="67"/>
        <v>73304.070000000065</v>
      </c>
      <c r="K849" s="8">
        <f t="shared" si="69"/>
        <v>7.9994457663106922E-2</v>
      </c>
    </row>
    <row r="850" spans="1:11" x14ac:dyDescent="0.3">
      <c r="A850" s="5" t="s">
        <v>43</v>
      </c>
      <c r="B850" s="6">
        <v>40257</v>
      </c>
      <c r="C850" s="5">
        <f t="shared" si="68"/>
        <v>12</v>
      </c>
      <c r="D850" s="5">
        <f t="shared" si="65"/>
        <v>3</v>
      </c>
      <c r="E850" s="5">
        <f t="shared" si="66"/>
        <v>2010</v>
      </c>
      <c r="F850" s="5" t="s">
        <v>20</v>
      </c>
      <c r="G850" s="5" t="s">
        <v>5</v>
      </c>
      <c r="H850" s="7">
        <v>228237.28</v>
      </c>
      <c r="I850" s="7">
        <v>250371.86</v>
      </c>
      <c r="J850" s="7">
        <f t="shared" si="67"/>
        <v>22134.579999999987</v>
      </c>
      <c r="K850" s="8">
        <f t="shared" si="69"/>
        <v>9.6980563385613366E-2</v>
      </c>
    </row>
    <row r="851" spans="1:11" x14ac:dyDescent="0.3">
      <c r="A851" s="5" t="s">
        <v>43</v>
      </c>
      <c r="B851" s="6">
        <v>40257</v>
      </c>
      <c r="C851" s="5">
        <f t="shared" si="68"/>
        <v>12</v>
      </c>
      <c r="D851" s="5">
        <f t="shared" si="65"/>
        <v>3</v>
      </c>
      <c r="E851" s="5">
        <f t="shared" si="66"/>
        <v>2010</v>
      </c>
      <c r="F851" s="5" t="s">
        <v>21</v>
      </c>
      <c r="G851" s="5" t="s">
        <v>5</v>
      </c>
      <c r="H851" s="7">
        <v>390460.89</v>
      </c>
      <c r="I851" s="7">
        <v>417420.87</v>
      </c>
      <c r="J851" s="7">
        <f t="shared" si="67"/>
        <v>26959.979999999981</v>
      </c>
      <c r="K851" s="8">
        <f t="shared" si="69"/>
        <v>6.904655674989621E-2</v>
      </c>
    </row>
    <row r="852" spans="1:11" x14ac:dyDescent="0.3">
      <c r="A852" s="5" t="s">
        <v>43</v>
      </c>
      <c r="B852" s="6">
        <v>40257</v>
      </c>
      <c r="C852" s="5">
        <f t="shared" si="68"/>
        <v>12</v>
      </c>
      <c r="D852" s="5">
        <f t="shared" si="65"/>
        <v>3</v>
      </c>
      <c r="E852" s="5">
        <f t="shared" si="66"/>
        <v>2010</v>
      </c>
      <c r="F852" s="5" t="s">
        <v>22</v>
      </c>
      <c r="G852" s="5" t="s">
        <v>8</v>
      </c>
      <c r="H852" s="7">
        <v>863947.79</v>
      </c>
      <c r="I852" s="7">
        <v>938135.49</v>
      </c>
      <c r="J852" s="7">
        <f t="shared" si="67"/>
        <v>74187.699999999953</v>
      </c>
      <c r="K852" s="8">
        <f t="shared" si="69"/>
        <v>8.5870582526751935E-2</v>
      </c>
    </row>
    <row r="853" spans="1:11" x14ac:dyDescent="0.3">
      <c r="A853" s="5" t="s">
        <v>43</v>
      </c>
      <c r="B853" s="6">
        <v>40257</v>
      </c>
      <c r="C853" s="5">
        <f t="shared" si="68"/>
        <v>12</v>
      </c>
      <c r="D853" s="5">
        <f t="shared" si="65"/>
        <v>3</v>
      </c>
      <c r="E853" s="5">
        <f t="shared" si="66"/>
        <v>2010</v>
      </c>
      <c r="F853" s="5" t="s">
        <v>23</v>
      </c>
      <c r="G853" s="5" t="s">
        <v>8</v>
      </c>
      <c r="H853" s="7">
        <v>390414.15</v>
      </c>
      <c r="I853" s="7">
        <v>408753.57</v>
      </c>
      <c r="J853" s="7">
        <f t="shared" si="67"/>
        <v>18339.419999999984</v>
      </c>
      <c r="K853" s="8">
        <f t="shared" si="69"/>
        <v>4.6974270783986652E-2</v>
      </c>
    </row>
    <row r="854" spans="1:11" x14ac:dyDescent="0.3">
      <c r="A854" s="5" t="s">
        <v>43</v>
      </c>
      <c r="B854" s="6">
        <v>40257</v>
      </c>
      <c r="C854" s="5">
        <f t="shared" si="68"/>
        <v>12</v>
      </c>
      <c r="D854" s="5">
        <f t="shared" si="65"/>
        <v>3</v>
      </c>
      <c r="E854" s="5">
        <f t="shared" si="66"/>
        <v>2010</v>
      </c>
      <c r="F854" s="5" t="s">
        <v>24</v>
      </c>
      <c r="G854" s="5" t="s">
        <v>8</v>
      </c>
      <c r="H854" s="7">
        <v>293619.99</v>
      </c>
      <c r="I854" s="7">
        <v>307332.59000000003</v>
      </c>
      <c r="J854" s="7">
        <f t="shared" si="67"/>
        <v>13712.600000000035</v>
      </c>
      <c r="K854" s="8">
        <f t="shared" si="69"/>
        <v>4.6701861136907045E-2</v>
      </c>
    </row>
    <row r="855" spans="1:11" x14ac:dyDescent="0.3">
      <c r="A855" s="5" t="s">
        <v>43</v>
      </c>
      <c r="B855" s="6">
        <v>40257</v>
      </c>
      <c r="C855" s="5">
        <f t="shared" si="68"/>
        <v>12</v>
      </c>
      <c r="D855" s="5">
        <f t="shared" si="65"/>
        <v>3</v>
      </c>
      <c r="E855" s="5">
        <f t="shared" si="66"/>
        <v>2010</v>
      </c>
      <c r="F855" s="5" t="s">
        <v>25</v>
      </c>
      <c r="G855" s="5" t="s">
        <v>8</v>
      </c>
      <c r="H855" s="7">
        <v>38052.6</v>
      </c>
      <c r="I855" s="7">
        <v>38641.9</v>
      </c>
      <c r="J855" s="7">
        <f t="shared" si="67"/>
        <v>589.30000000000291</v>
      </c>
      <c r="K855" s="8">
        <f t="shared" si="69"/>
        <v>1.5486458218360977E-2</v>
      </c>
    </row>
    <row r="856" spans="1:11" x14ac:dyDescent="0.3">
      <c r="A856" s="5" t="s">
        <v>43</v>
      </c>
      <c r="B856" s="6">
        <v>40257</v>
      </c>
      <c r="C856" s="5">
        <f t="shared" si="68"/>
        <v>12</v>
      </c>
      <c r="D856" s="5">
        <f t="shared" si="65"/>
        <v>3</v>
      </c>
      <c r="E856" s="5">
        <f t="shared" si="66"/>
        <v>2010</v>
      </c>
      <c r="F856" s="5" t="s">
        <v>26</v>
      </c>
      <c r="G856" s="5" t="s">
        <v>10</v>
      </c>
      <c r="H856" s="7">
        <v>9859</v>
      </c>
      <c r="I856" s="7">
        <v>10974.91</v>
      </c>
      <c r="J856" s="7">
        <f t="shared" si="67"/>
        <v>1115.9099999999999</v>
      </c>
      <c r="K856" s="8">
        <f t="shared" si="69"/>
        <v>0.11318693579470533</v>
      </c>
    </row>
    <row r="857" spans="1:11" x14ac:dyDescent="0.3">
      <c r="A857" s="5" t="s">
        <v>43</v>
      </c>
      <c r="B857" s="6">
        <v>40257</v>
      </c>
      <c r="C857" s="5">
        <f t="shared" si="68"/>
        <v>12</v>
      </c>
      <c r="D857" s="5">
        <f t="shared" si="65"/>
        <v>3</v>
      </c>
      <c r="E857" s="5">
        <f t="shared" si="66"/>
        <v>2010</v>
      </c>
      <c r="F857" s="5" t="s">
        <v>27</v>
      </c>
      <c r="G857" s="5" t="s">
        <v>10</v>
      </c>
      <c r="H857" s="7">
        <v>238628.04</v>
      </c>
      <c r="I857" s="7">
        <v>269727.05</v>
      </c>
      <c r="J857" s="7">
        <f t="shared" si="67"/>
        <v>31099.00999999998</v>
      </c>
      <c r="K857" s="8">
        <f t="shared" si="69"/>
        <v>0.13032420666070918</v>
      </c>
    </row>
    <row r="858" spans="1:11" x14ac:dyDescent="0.3">
      <c r="A858" s="5" t="s">
        <v>43</v>
      </c>
      <c r="B858" s="6">
        <v>40257</v>
      </c>
      <c r="C858" s="5">
        <f t="shared" si="68"/>
        <v>12</v>
      </c>
      <c r="D858" s="5">
        <f t="shared" si="65"/>
        <v>3</v>
      </c>
      <c r="E858" s="5">
        <f t="shared" si="66"/>
        <v>2010</v>
      </c>
      <c r="F858" s="5" t="s">
        <v>28</v>
      </c>
      <c r="G858" s="5" t="s">
        <v>10</v>
      </c>
      <c r="H858" s="7">
        <v>218662.1</v>
      </c>
      <c r="I858" s="7">
        <v>235654.55</v>
      </c>
      <c r="J858" s="7">
        <f t="shared" si="67"/>
        <v>16992.449999999983</v>
      </c>
      <c r="K858" s="8">
        <f t="shared" si="69"/>
        <v>7.7710997927852979E-2</v>
      </c>
    </row>
    <row r="859" spans="1:11" x14ac:dyDescent="0.3">
      <c r="A859" s="5" t="s">
        <v>43</v>
      </c>
      <c r="B859" s="6">
        <v>40257</v>
      </c>
      <c r="C859" s="5">
        <f t="shared" si="68"/>
        <v>12</v>
      </c>
      <c r="D859" s="5">
        <f t="shared" si="65"/>
        <v>3</v>
      </c>
      <c r="E859" s="5">
        <f t="shared" si="66"/>
        <v>2010</v>
      </c>
      <c r="F859" s="5" t="s">
        <v>29</v>
      </c>
      <c r="G859" s="5" t="s">
        <v>10</v>
      </c>
      <c r="H859" s="7">
        <v>1269073.6200000001</v>
      </c>
      <c r="I859" s="7">
        <v>1376990.36</v>
      </c>
      <c r="J859" s="7">
        <f t="shared" si="67"/>
        <v>107916.73999999999</v>
      </c>
      <c r="K859" s="8">
        <f t="shared" si="69"/>
        <v>8.5035838976780548E-2</v>
      </c>
    </row>
    <row r="860" spans="1:11" x14ac:dyDescent="0.3">
      <c r="A860" s="5" t="s">
        <v>43</v>
      </c>
      <c r="B860" s="6">
        <v>40257</v>
      </c>
      <c r="C860" s="5">
        <f t="shared" si="68"/>
        <v>12</v>
      </c>
      <c r="D860" s="5">
        <f t="shared" si="65"/>
        <v>3</v>
      </c>
      <c r="E860" s="5">
        <f t="shared" si="66"/>
        <v>2010</v>
      </c>
      <c r="F860" s="5" t="s">
        <v>30</v>
      </c>
      <c r="G860" s="5" t="s">
        <v>10</v>
      </c>
      <c r="H860" s="7">
        <v>195895.36</v>
      </c>
      <c r="I860" s="7">
        <v>220721.92000000001</v>
      </c>
      <c r="J860" s="7">
        <f t="shared" si="67"/>
        <v>24826.560000000027</v>
      </c>
      <c r="K860" s="8">
        <f t="shared" si="69"/>
        <v>0.12673378277055683</v>
      </c>
    </row>
    <row r="861" spans="1:11" x14ac:dyDescent="0.3">
      <c r="A861" s="5" t="s">
        <v>43</v>
      </c>
      <c r="B861" s="6">
        <v>40257</v>
      </c>
      <c r="C861" s="5">
        <f t="shared" si="68"/>
        <v>12</v>
      </c>
      <c r="D861" s="5">
        <f t="shared" si="65"/>
        <v>3</v>
      </c>
      <c r="E861" s="5">
        <f t="shared" si="66"/>
        <v>2010</v>
      </c>
      <c r="F861" s="5" t="s">
        <v>9</v>
      </c>
      <c r="G861" s="5" t="s">
        <v>9</v>
      </c>
      <c r="H861" s="7">
        <v>1308679.6299999999</v>
      </c>
      <c r="I861" s="7">
        <v>1549789.2</v>
      </c>
      <c r="J861" s="7">
        <f t="shared" si="67"/>
        <v>241109.57000000007</v>
      </c>
      <c r="K861" s="8">
        <f t="shared" si="69"/>
        <v>0.1842388041143424</v>
      </c>
    </row>
    <row r="862" spans="1:11" x14ac:dyDescent="0.3">
      <c r="A862" s="5" t="s">
        <v>43</v>
      </c>
      <c r="B862" s="6">
        <v>40257</v>
      </c>
      <c r="C862" s="5">
        <f t="shared" si="68"/>
        <v>12</v>
      </c>
      <c r="D862" s="5">
        <f t="shared" si="65"/>
        <v>3</v>
      </c>
      <c r="E862" s="5">
        <f t="shared" si="66"/>
        <v>2010</v>
      </c>
      <c r="F862" s="5" t="s">
        <v>31</v>
      </c>
      <c r="G862" s="5" t="s">
        <v>7</v>
      </c>
      <c r="H862" s="7">
        <v>14742.45</v>
      </c>
      <c r="I862" s="7">
        <v>31490.52</v>
      </c>
      <c r="J862" s="7">
        <f t="shared" si="67"/>
        <v>16748.07</v>
      </c>
      <c r="K862" s="8">
        <f t="shared" si="69"/>
        <v>1.1360438733046405</v>
      </c>
    </row>
    <row r="863" spans="1:11" x14ac:dyDescent="0.3">
      <c r="A863" s="5" t="s">
        <v>43</v>
      </c>
      <c r="B863" s="6">
        <v>40257</v>
      </c>
      <c r="C863" s="5">
        <f t="shared" si="68"/>
        <v>12</v>
      </c>
      <c r="D863" s="5">
        <f t="shared" si="65"/>
        <v>3</v>
      </c>
      <c r="E863" s="5">
        <f t="shared" si="66"/>
        <v>2010</v>
      </c>
      <c r="F863" s="5" t="s">
        <v>33</v>
      </c>
      <c r="G863" s="5" t="s">
        <v>7</v>
      </c>
      <c r="H863" s="7">
        <v>306580.92</v>
      </c>
      <c r="I863" s="7">
        <v>590953.56999999995</v>
      </c>
      <c r="J863" s="7">
        <f t="shared" si="67"/>
        <v>284372.64999999997</v>
      </c>
      <c r="K863" s="8">
        <f t="shared" si="69"/>
        <v>0.92756147381904908</v>
      </c>
    </row>
    <row r="864" spans="1:11" x14ac:dyDescent="0.3">
      <c r="A864" s="5" t="s">
        <v>43</v>
      </c>
      <c r="B864" s="6">
        <v>40257</v>
      </c>
      <c r="C864" s="5">
        <f t="shared" si="68"/>
        <v>12</v>
      </c>
      <c r="D864" s="5">
        <f t="shared" si="65"/>
        <v>3</v>
      </c>
      <c r="E864" s="5">
        <f t="shared" si="66"/>
        <v>2010</v>
      </c>
      <c r="F864" s="5" t="s">
        <v>34</v>
      </c>
      <c r="G864" s="5" t="s">
        <v>7</v>
      </c>
      <c r="H864" s="7">
        <v>19</v>
      </c>
      <c r="I864" s="7">
        <v>59</v>
      </c>
      <c r="J864" s="7">
        <f t="shared" si="67"/>
        <v>40</v>
      </c>
      <c r="K864" s="8">
        <f t="shared" si="69"/>
        <v>2.1052631578947367</v>
      </c>
    </row>
    <row r="865" spans="1:11" x14ac:dyDescent="0.3">
      <c r="A865" s="5" t="s">
        <v>43</v>
      </c>
      <c r="B865" s="6">
        <v>40257</v>
      </c>
      <c r="C865" s="5">
        <f t="shared" si="68"/>
        <v>12</v>
      </c>
      <c r="D865" s="5">
        <f t="shared" si="65"/>
        <v>3</v>
      </c>
      <c r="E865" s="5">
        <f t="shared" si="66"/>
        <v>2010</v>
      </c>
      <c r="F865" s="5" t="s">
        <v>35</v>
      </c>
      <c r="G865" s="5" t="s">
        <v>11</v>
      </c>
      <c r="H865" s="7">
        <v>2096.44</v>
      </c>
      <c r="I865" s="7">
        <v>2647.33</v>
      </c>
      <c r="J865" s="7">
        <f t="shared" si="67"/>
        <v>550.88999999999987</v>
      </c>
      <c r="K865" s="8">
        <f t="shared" si="69"/>
        <v>0.2627740359848123</v>
      </c>
    </row>
    <row r="866" spans="1:11" x14ac:dyDescent="0.3">
      <c r="A866" s="5" t="s">
        <v>43</v>
      </c>
      <c r="B866" s="6">
        <v>40257</v>
      </c>
      <c r="C866" s="5">
        <f t="shared" si="68"/>
        <v>12</v>
      </c>
      <c r="D866" s="5">
        <f t="shared" si="65"/>
        <v>3</v>
      </c>
      <c r="E866" s="5">
        <f t="shared" si="66"/>
        <v>2010</v>
      </c>
      <c r="F866" s="5" t="s">
        <v>36</v>
      </c>
      <c r="G866" s="5" t="s">
        <v>11</v>
      </c>
      <c r="H866" s="7">
        <v>326834.89</v>
      </c>
      <c r="I866" s="7">
        <v>353525.14</v>
      </c>
      <c r="J866" s="7">
        <f t="shared" si="67"/>
        <v>26690.25</v>
      </c>
      <c r="K866" s="8">
        <f t="shared" si="69"/>
        <v>8.1662793100210324E-2</v>
      </c>
    </row>
    <row r="867" spans="1:11" x14ac:dyDescent="0.3">
      <c r="A867" s="5" t="s">
        <v>43</v>
      </c>
      <c r="B867" s="6">
        <v>40257</v>
      </c>
      <c r="C867" s="5">
        <f t="shared" si="68"/>
        <v>12</v>
      </c>
      <c r="D867" s="5">
        <f t="shared" si="65"/>
        <v>3</v>
      </c>
      <c r="E867" s="5">
        <f t="shared" si="66"/>
        <v>2010</v>
      </c>
      <c r="F867" s="5" t="s">
        <v>37</v>
      </c>
      <c r="G867" s="5" t="s">
        <v>11</v>
      </c>
      <c r="H867" s="7">
        <v>1175862.27</v>
      </c>
      <c r="I867" s="7">
        <v>883941.17</v>
      </c>
      <c r="J867" s="7">
        <f t="shared" si="67"/>
        <v>-291921.09999999998</v>
      </c>
      <c r="K867" s="8">
        <f t="shared" si="69"/>
        <v>-0.24826130359638121</v>
      </c>
    </row>
    <row r="868" spans="1:11" x14ac:dyDescent="0.3">
      <c r="A868" s="5" t="s">
        <v>43</v>
      </c>
      <c r="B868" s="6">
        <v>40257</v>
      </c>
      <c r="C868" s="5">
        <f t="shared" si="68"/>
        <v>12</v>
      </c>
      <c r="D868" s="5">
        <f t="shared" si="65"/>
        <v>3</v>
      </c>
      <c r="E868" s="5">
        <f t="shared" si="66"/>
        <v>2010</v>
      </c>
      <c r="F868" s="5" t="s">
        <v>38</v>
      </c>
      <c r="G868" s="5" t="s">
        <v>11</v>
      </c>
      <c r="H868" s="7">
        <v>521661.31</v>
      </c>
      <c r="I868" s="7">
        <v>535637.59</v>
      </c>
      <c r="J868" s="7">
        <f t="shared" si="67"/>
        <v>13976.27999999997</v>
      </c>
      <c r="K868" s="8">
        <f t="shared" si="69"/>
        <v>2.6791866163124057E-2</v>
      </c>
    </row>
    <row r="869" spans="1:11" x14ac:dyDescent="0.3">
      <c r="A869" s="5" t="s">
        <v>43</v>
      </c>
      <c r="B869" s="6">
        <v>40258</v>
      </c>
      <c r="C869" s="5">
        <f t="shared" si="68"/>
        <v>13</v>
      </c>
      <c r="D869" s="5">
        <f t="shared" si="65"/>
        <v>3</v>
      </c>
      <c r="E869" s="5">
        <f t="shared" si="66"/>
        <v>2010</v>
      </c>
      <c r="F869" s="5" t="s">
        <v>14</v>
      </c>
      <c r="G869" s="5" t="s">
        <v>6</v>
      </c>
      <c r="H869" s="7">
        <v>14513.99</v>
      </c>
      <c r="I869" s="7">
        <v>17281.41</v>
      </c>
      <c r="J869" s="7">
        <f t="shared" si="67"/>
        <v>2767.42</v>
      </c>
      <c r="K869" s="8">
        <f t="shared" si="69"/>
        <v>0.19067258555366237</v>
      </c>
    </row>
    <row r="870" spans="1:11" x14ac:dyDescent="0.3">
      <c r="A870" s="5" t="s">
        <v>43</v>
      </c>
      <c r="B870" s="6">
        <v>40258</v>
      </c>
      <c r="C870" s="5">
        <f t="shared" si="68"/>
        <v>13</v>
      </c>
      <c r="D870" s="5">
        <f t="shared" si="65"/>
        <v>3</v>
      </c>
      <c r="E870" s="5">
        <f t="shared" si="66"/>
        <v>2010</v>
      </c>
      <c r="F870" s="5" t="s">
        <v>15</v>
      </c>
      <c r="G870" s="5" t="s">
        <v>6</v>
      </c>
      <c r="H870" s="7">
        <v>579379.93999999994</v>
      </c>
      <c r="I870" s="7">
        <v>764387.35</v>
      </c>
      <c r="J870" s="7">
        <f t="shared" si="67"/>
        <v>185007.41000000003</v>
      </c>
      <c r="K870" s="8">
        <f t="shared" si="69"/>
        <v>0.31931966785042654</v>
      </c>
    </row>
    <row r="871" spans="1:11" x14ac:dyDescent="0.3">
      <c r="A871" s="5" t="s">
        <v>43</v>
      </c>
      <c r="B871" s="6">
        <v>40258</v>
      </c>
      <c r="C871" s="5">
        <f t="shared" si="68"/>
        <v>13</v>
      </c>
      <c r="D871" s="5">
        <f t="shared" si="65"/>
        <v>3</v>
      </c>
      <c r="E871" s="5">
        <f t="shared" si="66"/>
        <v>2010</v>
      </c>
      <c r="F871" s="5" t="s">
        <v>16</v>
      </c>
      <c r="G871" s="5" t="s">
        <v>6</v>
      </c>
      <c r="H871" s="7">
        <v>235514.2</v>
      </c>
      <c r="I871" s="7">
        <v>266100.31</v>
      </c>
      <c r="J871" s="7">
        <f t="shared" si="67"/>
        <v>30586.109999999986</v>
      </c>
      <c r="K871" s="8">
        <f t="shared" si="69"/>
        <v>0.12986949406872275</v>
      </c>
    </row>
    <row r="872" spans="1:11" x14ac:dyDescent="0.3">
      <c r="A872" s="5" t="s">
        <v>43</v>
      </c>
      <c r="B872" s="6">
        <v>40258</v>
      </c>
      <c r="C872" s="5">
        <f t="shared" si="68"/>
        <v>13</v>
      </c>
      <c r="D872" s="5">
        <f t="shared" si="65"/>
        <v>3</v>
      </c>
      <c r="E872" s="5">
        <f t="shared" si="66"/>
        <v>2010</v>
      </c>
      <c r="F872" s="5" t="s">
        <v>17</v>
      </c>
      <c r="G872" s="5" t="s">
        <v>6</v>
      </c>
      <c r="H872" s="7">
        <v>8700</v>
      </c>
      <c r="I872" s="7">
        <v>9957.3700000000008</v>
      </c>
      <c r="J872" s="7">
        <f t="shared" si="67"/>
        <v>1257.3700000000008</v>
      </c>
      <c r="K872" s="8">
        <f t="shared" si="69"/>
        <v>0.14452528735632192</v>
      </c>
    </row>
    <row r="873" spans="1:11" x14ac:dyDescent="0.3">
      <c r="A873" s="5" t="s">
        <v>43</v>
      </c>
      <c r="B873" s="6">
        <v>40258</v>
      </c>
      <c r="C873" s="5">
        <f t="shared" si="68"/>
        <v>13</v>
      </c>
      <c r="D873" s="5">
        <f t="shared" si="65"/>
        <v>3</v>
      </c>
      <c r="E873" s="5">
        <f t="shared" si="66"/>
        <v>2010</v>
      </c>
      <c r="F873" s="5" t="s">
        <v>19</v>
      </c>
      <c r="G873" s="5" t="s">
        <v>5</v>
      </c>
      <c r="H873" s="7">
        <v>244663.23</v>
      </c>
      <c r="I873" s="7">
        <v>270481.99</v>
      </c>
      <c r="J873" s="7">
        <f t="shared" si="67"/>
        <v>25818.75999999998</v>
      </c>
      <c r="K873" s="8">
        <f t="shared" si="69"/>
        <v>0.10552774930666933</v>
      </c>
    </row>
    <row r="874" spans="1:11" x14ac:dyDescent="0.3">
      <c r="A874" s="5" t="s">
        <v>43</v>
      </c>
      <c r="B874" s="6">
        <v>40258</v>
      </c>
      <c r="C874" s="5">
        <f t="shared" si="68"/>
        <v>13</v>
      </c>
      <c r="D874" s="5">
        <f t="shared" si="65"/>
        <v>3</v>
      </c>
      <c r="E874" s="5">
        <f t="shared" si="66"/>
        <v>2010</v>
      </c>
      <c r="F874" s="5" t="s">
        <v>5</v>
      </c>
      <c r="G874" s="5" t="s">
        <v>5</v>
      </c>
      <c r="H874" s="7">
        <v>869569.9</v>
      </c>
      <c r="I874" s="7">
        <v>953347.64</v>
      </c>
      <c r="J874" s="7">
        <f t="shared" si="67"/>
        <v>83777.739999999991</v>
      </c>
      <c r="K874" s="8">
        <f t="shared" si="69"/>
        <v>9.634388218819441E-2</v>
      </c>
    </row>
    <row r="875" spans="1:11" x14ac:dyDescent="0.3">
      <c r="A875" s="5" t="s">
        <v>43</v>
      </c>
      <c r="B875" s="6">
        <v>40258</v>
      </c>
      <c r="C875" s="5">
        <f t="shared" si="68"/>
        <v>13</v>
      </c>
      <c r="D875" s="5">
        <f t="shared" si="65"/>
        <v>3</v>
      </c>
      <c r="E875" s="5">
        <f t="shared" si="66"/>
        <v>2010</v>
      </c>
      <c r="F875" s="5" t="s">
        <v>20</v>
      </c>
      <c r="G875" s="5" t="s">
        <v>5</v>
      </c>
      <c r="H875" s="7">
        <v>229446.49</v>
      </c>
      <c r="I875" s="7">
        <v>253114.23999999999</v>
      </c>
      <c r="J875" s="7">
        <f t="shared" si="67"/>
        <v>23667.75</v>
      </c>
      <c r="K875" s="8">
        <f t="shared" si="69"/>
        <v>0.10315150168564358</v>
      </c>
    </row>
    <row r="876" spans="1:11" x14ac:dyDescent="0.3">
      <c r="A876" s="5" t="s">
        <v>43</v>
      </c>
      <c r="B876" s="6">
        <v>40258</v>
      </c>
      <c r="C876" s="5">
        <f t="shared" si="68"/>
        <v>13</v>
      </c>
      <c r="D876" s="5">
        <f t="shared" si="65"/>
        <v>3</v>
      </c>
      <c r="E876" s="5">
        <f t="shared" si="66"/>
        <v>2010</v>
      </c>
      <c r="F876" s="5" t="s">
        <v>21</v>
      </c>
      <c r="G876" s="5" t="s">
        <v>5</v>
      </c>
      <c r="H876" s="7">
        <v>384037.93</v>
      </c>
      <c r="I876" s="7">
        <v>412191.82</v>
      </c>
      <c r="J876" s="7">
        <f t="shared" si="67"/>
        <v>28153.890000000014</v>
      </c>
      <c r="K876" s="8">
        <f t="shared" si="69"/>
        <v>7.3310180585547932E-2</v>
      </c>
    </row>
    <row r="877" spans="1:11" x14ac:dyDescent="0.3">
      <c r="A877" s="5" t="s">
        <v>43</v>
      </c>
      <c r="B877" s="6">
        <v>40258</v>
      </c>
      <c r="C877" s="5">
        <f t="shared" si="68"/>
        <v>13</v>
      </c>
      <c r="D877" s="5">
        <f t="shared" si="65"/>
        <v>3</v>
      </c>
      <c r="E877" s="5">
        <f t="shared" si="66"/>
        <v>2010</v>
      </c>
      <c r="F877" s="5" t="s">
        <v>22</v>
      </c>
      <c r="G877" s="5" t="s">
        <v>8</v>
      </c>
      <c r="H877" s="7">
        <v>811487.49</v>
      </c>
      <c r="I877" s="7">
        <v>881518.76</v>
      </c>
      <c r="J877" s="7">
        <f t="shared" si="67"/>
        <v>70031.270000000019</v>
      </c>
      <c r="K877" s="8">
        <f t="shared" si="69"/>
        <v>8.6299876292609295E-2</v>
      </c>
    </row>
    <row r="878" spans="1:11" x14ac:dyDescent="0.3">
      <c r="A878" s="5" t="s">
        <v>43</v>
      </c>
      <c r="B878" s="6">
        <v>40258</v>
      </c>
      <c r="C878" s="5">
        <f t="shared" si="68"/>
        <v>13</v>
      </c>
      <c r="D878" s="5">
        <f t="shared" si="65"/>
        <v>3</v>
      </c>
      <c r="E878" s="5">
        <f t="shared" si="66"/>
        <v>2010</v>
      </c>
      <c r="F878" s="5" t="s">
        <v>23</v>
      </c>
      <c r="G878" s="5" t="s">
        <v>8</v>
      </c>
      <c r="H878" s="7">
        <v>416812.29</v>
      </c>
      <c r="I878" s="7">
        <v>436402.95</v>
      </c>
      <c r="J878" s="7">
        <f t="shared" si="67"/>
        <v>19590.660000000033</v>
      </c>
      <c r="K878" s="8">
        <f t="shared" si="69"/>
        <v>4.7001157283534115E-2</v>
      </c>
    </row>
    <row r="879" spans="1:11" x14ac:dyDescent="0.3">
      <c r="A879" s="5" t="s">
        <v>43</v>
      </c>
      <c r="B879" s="6">
        <v>40258</v>
      </c>
      <c r="C879" s="5">
        <f t="shared" si="68"/>
        <v>13</v>
      </c>
      <c r="D879" s="5">
        <f t="shared" si="65"/>
        <v>3</v>
      </c>
      <c r="E879" s="5">
        <f t="shared" si="66"/>
        <v>2010</v>
      </c>
      <c r="F879" s="5" t="s">
        <v>24</v>
      </c>
      <c r="G879" s="5" t="s">
        <v>8</v>
      </c>
      <c r="H879" s="7">
        <v>237555.98</v>
      </c>
      <c r="I879" s="7">
        <v>250178.75</v>
      </c>
      <c r="J879" s="7">
        <f t="shared" si="67"/>
        <v>12622.76999999999</v>
      </c>
      <c r="K879" s="8">
        <f t="shared" si="69"/>
        <v>5.3135980832812499E-2</v>
      </c>
    </row>
    <row r="880" spans="1:11" x14ac:dyDescent="0.3">
      <c r="A880" s="5" t="s">
        <v>43</v>
      </c>
      <c r="B880" s="6">
        <v>40258</v>
      </c>
      <c r="C880" s="5">
        <f t="shared" si="68"/>
        <v>13</v>
      </c>
      <c r="D880" s="5">
        <f t="shared" si="65"/>
        <v>3</v>
      </c>
      <c r="E880" s="5">
        <f t="shared" si="66"/>
        <v>2010</v>
      </c>
      <c r="F880" s="5" t="s">
        <v>25</v>
      </c>
      <c r="G880" s="5" t="s">
        <v>8</v>
      </c>
      <c r="H880" s="7">
        <v>10136.6</v>
      </c>
      <c r="I880" s="7">
        <v>11218.41</v>
      </c>
      <c r="J880" s="7">
        <f t="shared" si="67"/>
        <v>1081.8099999999995</v>
      </c>
      <c r="K880" s="8">
        <f t="shared" si="69"/>
        <v>0.1067231616123749</v>
      </c>
    </row>
    <row r="881" spans="1:11" x14ac:dyDescent="0.3">
      <c r="A881" s="5" t="s">
        <v>43</v>
      </c>
      <c r="B881" s="6">
        <v>40258</v>
      </c>
      <c r="C881" s="5">
        <f t="shared" si="68"/>
        <v>13</v>
      </c>
      <c r="D881" s="5">
        <f t="shared" si="65"/>
        <v>3</v>
      </c>
      <c r="E881" s="5">
        <f t="shared" si="66"/>
        <v>2010</v>
      </c>
      <c r="F881" s="5" t="s">
        <v>26</v>
      </c>
      <c r="G881" s="5" t="s">
        <v>10</v>
      </c>
      <c r="H881" s="7">
        <v>6998</v>
      </c>
      <c r="I881" s="7">
        <v>7770.06</v>
      </c>
      <c r="J881" s="7">
        <f t="shared" si="67"/>
        <v>772.0600000000004</v>
      </c>
      <c r="K881" s="8">
        <f t="shared" si="69"/>
        <v>0.11032580737353535</v>
      </c>
    </row>
    <row r="882" spans="1:11" x14ac:dyDescent="0.3">
      <c r="A882" s="5" t="s">
        <v>43</v>
      </c>
      <c r="B882" s="6">
        <v>40258</v>
      </c>
      <c r="C882" s="5">
        <f t="shared" si="68"/>
        <v>13</v>
      </c>
      <c r="D882" s="5">
        <f t="shared" si="65"/>
        <v>3</v>
      </c>
      <c r="E882" s="5">
        <f t="shared" si="66"/>
        <v>2010</v>
      </c>
      <c r="F882" s="5" t="s">
        <v>27</v>
      </c>
      <c r="G882" s="5" t="s">
        <v>10</v>
      </c>
      <c r="H882" s="7">
        <v>109898.99</v>
      </c>
      <c r="I882" s="7">
        <v>124493.64</v>
      </c>
      <c r="J882" s="7">
        <f t="shared" si="67"/>
        <v>14594.649999999994</v>
      </c>
      <c r="K882" s="8">
        <f t="shared" si="69"/>
        <v>0.13280058351764645</v>
      </c>
    </row>
    <row r="883" spans="1:11" x14ac:dyDescent="0.3">
      <c r="A883" s="5" t="s">
        <v>43</v>
      </c>
      <c r="B883" s="6">
        <v>40258</v>
      </c>
      <c r="C883" s="5">
        <f t="shared" si="68"/>
        <v>13</v>
      </c>
      <c r="D883" s="5">
        <f t="shared" si="65"/>
        <v>3</v>
      </c>
      <c r="E883" s="5">
        <f t="shared" si="66"/>
        <v>2010</v>
      </c>
      <c r="F883" s="5" t="s">
        <v>28</v>
      </c>
      <c r="G883" s="5" t="s">
        <v>10</v>
      </c>
      <c r="H883" s="7">
        <v>131201.56</v>
      </c>
      <c r="I883" s="7">
        <v>141112.04</v>
      </c>
      <c r="J883" s="7">
        <f t="shared" si="67"/>
        <v>9910.4800000000105</v>
      </c>
      <c r="K883" s="8">
        <f t="shared" si="69"/>
        <v>7.5536296976956754E-2</v>
      </c>
    </row>
    <row r="884" spans="1:11" x14ac:dyDescent="0.3">
      <c r="A884" s="5" t="s">
        <v>43</v>
      </c>
      <c r="B884" s="6">
        <v>40258</v>
      </c>
      <c r="C884" s="5">
        <f t="shared" si="68"/>
        <v>13</v>
      </c>
      <c r="D884" s="5">
        <f t="shared" si="65"/>
        <v>3</v>
      </c>
      <c r="E884" s="5">
        <f t="shared" si="66"/>
        <v>2010</v>
      </c>
      <c r="F884" s="5" t="s">
        <v>29</v>
      </c>
      <c r="G884" s="5" t="s">
        <v>10</v>
      </c>
      <c r="H884" s="7">
        <v>1083976.22</v>
      </c>
      <c r="I884" s="7">
        <v>1179445.49</v>
      </c>
      <c r="J884" s="7">
        <f t="shared" si="67"/>
        <v>95469.270000000019</v>
      </c>
      <c r="K884" s="8">
        <f t="shared" si="69"/>
        <v>8.8073214373651135E-2</v>
      </c>
    </row>
    <row r="885" spans="1:11" x14ac:dyDescent="0.3">
      <c r="A885" s="5" t="s">
        <v>43</v>
      </c>
      <c r="B885" s="6">
        <v>40258</v>
      </c>
      <c r="C885" s="5">
        <f t="shared" si="68"/>
        <v>13</v>
      </c>
      <c r="D885" s="5">
        <f t="shared" si="65"/>
        <v>3</v>
      </c>
      <c r="E885" s="5">
        <f t="shared" si="66"/>
        <v>2010</v>
      </c>
      <c r="F885" s="5" t="s">
        <v>30</v>
      </c>
      <c r="G885" s="5" t="s">
        <v>10</v>
      </c>
      <c r="H885" s="7">
        <v>177286.2</v>
      </c>
      <c r="I885" s="7">
        <v>199581.83</v>
      </c>
      <c r="J885" s="7">
        <f t="shared" si="67"/>
        <v>22295.629999999976</v>
      </c>
      <c r="K885" s="8">
        <f t="shared" si="69"/>
        <v>0.12576066270245498</v>
      </c>
    </row>
    <row r="886" spans="1:11" x14ac:dyDescent="0.3">
      <c r="A886" s="5" t="s">
        <v>43</v>
      </c>
      <c r="B886" s="6">
        <v>40258</v>
      </c>
      <c r="C886" s="5">
        <f t="shared" si="68"/>
        <v>13</v>
      </c>
      <c r="D886" s="5">
        <f t="shared" si="65"/>
        <v>3</v>
      </c>
      <c r="E886" s="5">
        <f t="shared" si="66"/>
        <v>2010</v>
      </c>
      <c r="F886" s="5" t="s">
        <v>9</v>
      </c>
      <c r="G886" s="5" t="s">
        <v>9</v>
      </c>
      <c r="H886" s="7">
        <v>1161646.54</v>
      </c>
      <c r="I886" s="7">
        <v>1364356.53</v>
      </c>
      <c r="J886" s="7">
        <f t="shared" si="67"/>
        <v>202709.99</v>
      </c>
      <c r="K886" s="8">
        <f t="shared" si="69"/>
        <v>0.17450229740278828</v>
      </c>
    </row>
    <row r="887" spans="1:11" x14ac:dyDescent="0.3">
      <c r="A887" s="5" t="s">
        <v>43</v>
      </c>
      <c r="B887" s="6">
        <v>40258</v>
      </c>
      <c r="C887" s="5">
        <f t="shared" si="68"/>
        <v>13</v>
      </c>
      <c r="D887" s="5">
        <f t="shared" si="65"/>
        <v>3</v>
      </c>
      <c r="E887" s="5">
        <f t="shared" si="66"/>
        <v>2010</v>
      </c>
      <c r="F887" s="5" t="s">
        <v>31</v>
      </c>
      <c r="G887" s="5" t="s">
        <v>7</v>
      </c>
      <c r="H887" s="7">
        <v>11793.81</v>
      </c>
      <c r="I887" s="7">
        <v>25397.74</v>
      </c>
      <c r="J887" s="7">
        <f t="shared" si="67"/>
        <v>13603.930000000002</v>
      </c>
      <c r="K887" s="8">
        <f t="shared" si="69"/>
        <v>1.1534805122348082</v>
      </c>
    </row>
    <row r="888" spans="1:11" x14ac:dyDescent="0.3">
      <c r="A888" s="5" t="s">
        <v>43</v>
      </c>
      <c r="B888" s="6">
        <v>40258</v>
      </c>
      <c r="C888" s="5">
        <f t="shared" si="68"/>
        <v>13</v>
      </c>
      <c r="D888" s="5">
        <f t="shared" si="65"/>
        <v>3</v>
      </c>
      <c r="E888" s="5">
        <f t="shared" si="66"/>
        <v>2010</v>
      </c>
      <c r="F888" s="5" t="s">
        <v>33</v>
      </c>
      <c r="G888" s="5" t="s">
        <v>7</v>
      </c>
      <c r="H888" s="7">
        <v>283347.27</v>
      </c>
      <c r="I888" s="7">
        <v>545067.85</v>
      </c>
      <c r="J888" s="7">
        <f t="shared" si="67"/>
        <v>261720.57999999996</v>
      </c>
      <c r="K888" s="8">
        <f t="shared" si="69"/>
        <v>0.92367426021080046</v>
      </c>
    </row>
    <row r="889" spans="1:11" x14ac:dyDescent="0.3">
      <c r="A889" s="5" t="s">
        <v>43</v>
      </c>
      <c r="B889" s="6">
        <v>40258</v>
      </c>
      <c r="C889" s="5">
        <f t="shared" si="68"/>
        <v>13</v>
      </c>
      <c r="D889" s="5">
        <f t="shared" si="65"/>
        <v>3</v>
      </c>
      <c r="E889" s="5">
        <f t="shared" si="66"/>
        <v>2010</v>
      </c>
      <c r="F889" s="5" t="s">
        <v>34</v>
      </c>
      <c r="G889" s="5" t="s">
        <v>7</v>
      </c>
      <c r="H889" s="7">
        <v>152</v>
      </c>
      <c r="I889" s="7">
        <v>471</v>
      </c>
      <c r="J889" s="7">
        <f t="shared" si="67"/>
        <v>319</v>
      </c>
      <c r="K889" s="8">
        <f t="shared" si="69"/>
        <v>2.0986842105263159</v>
      </c>
    </row>
    <row r="890" spans="1:11" x14ac:dyDescent="0.3">
      <c r="A890" s="5" t="s">
        <v>43</v>
      </c>
      <c r="B890" s="6">
        <v>40258</v>
      </c>
      <c r="C890" s="5">
        <f t="shared" si="68"/>
        <v>13</v>
      </c>
      <c r="D890" s="5">
        <f t="shared" si="65"/>
        <v>3</v>
      </c>
      <c r="E890" s="5">
        <f t="shared" si="66"/>
        <v>2010</v>
      </c>
      <c r="F890" s="5" t="s">
        <v>35</v>
      </c>
      <c r="G890" s="5" t="s">
        <v>11</v>
      </c>
      <c r="H890" s="7">
        <v>2160.7600000000002</v>
      </c>
      <c r="I890" s="7">
        <v>2810.28</v>
      </c>
      <c r="J890" s="7">
        <f t="shared" si="67"/>
        <v>649.52</v>
      </c>
      <c r="K890" s="8">
        <f t="shared" si="69"/>
        <v>0.30059793776263904</v>
      </c>
    </row>
    <row r="891" spans="1:11" x14ac:dyDescent="0.3">
      <c r="A891" s="5" t="s">
        <v>43</v>
      </c>
      <c r="B891" s="6">
        <v>40258</v>
      </c>
      <c r="C891" s="5">
        <f t="shared" si="68"/>
        <v>13</v>
      </c>
      <c r="D891" s="5">
        <f t="shared" si="65"/>
        <v>3</v>
      </c>
      <c r="E891" s="5">
        <f t="shared" si="66"/>
        <v>2010</v>
      </c>
      <c r="F891" s="5" t="s">
        <v>36</v>
      </c>
      <c r="G891" s="5" t="s">
        <v>11</v>
      </c>
      <c r="H891" s="7">
        <v>265749.12</v>
      </c>
      <c r="I891" s="7">
        <v>289948.90999999997</v>
      </c>
      <c r="J891" s="7">
        <f t="shared" si="67"/>
        <v>24199.789999999979</v>
      </c>
      <c r="K891" s="8">
        <f t="shared" si="69"/>
        <v>9.1062540489315558E-2</v>
      </c>
    </row>
    <row r="892" spans="1:11" x14ac:dyDescent="0.3">
      <c r="A892" s="5" t="s">
        <v>43</v>
      </c>
      <c r="B892" s="6">
        <v>40258</v>
      </c>
      <c r="C892" s="5">
        <f t="shared" si="68"/>
        <v>13</v>
      </c>
      <c r="D892" s="5">
        <f t="shared" si="65"/>
        <v>3</v>
      </c>
      <c r="E892" s="5">
        <f t="shared" si="66"/>
        <v>2010</v>
      </c>
      <c r="F892" s="5" t="s">
        <v>37</v>
      </c>
      <c r="G892" s="5" t="s">
        <v>11</v>
      </c>
      <c r="H892" s="7">
        <v>472420.09</v>
      </c>
      <c r="I892" s="7">
        <v>494873.17</v>
      </c>
      <c r="J892" s="7">
        <f t="shared" si="67"/>
        <v>22453.079999999958</v>
      </c>
      <c r="K892" s="8">
        <f t="shared" si="69"/>
        <v>4.7527784011048214E-2</v>
      </c>
    </row>
    <row r="893" spans="1:11" x14ac:dyDescent="0.3">
      <c r="A893" s="5" t="s">
        <v>43</v>
      </c>
      <c r="B893" s="6">
        <v>40258</v>
      </c>
      <c r="C893" s="5">
        <f t="shared" si="68"/>
        <v>13</v>
      </c>
      <c r="D893" s="5">
        <f t="shared" si="65"/>
        <v>3</v>
      </c>
      <c r="E893" s="5">
        <f t="shared" si="66"/>
        <v>2010</v>
      </c>
      <c r="F893" s="5" t="s">
        <v>38</v>
      </c>
      <c r="G893" s="5" t="s">
        <v>11</v>
      </c>
      <c r="H893" s="7">
        <v>457094.72</v>
      </c>
      <c r="I893" s="7">
        <v>474334.1</v>
      </c>
      <c r="J893" s="7">
        <f t="shared" si="67"/>
        <v>17239.380000000005</v>
      </c>
      <c r="K893" s="8">
        <f t="shared" si="69"/>
        <v>3.7715115151625477E-2</v>
      </c>
    </row>
    <row r="894" spans="1:11" x14ac:dyDescent="0.3">
      <c r="A894" s="5" t="s">
        <v>43</v>
      </c>
      <c r="B894" s="6">
        <v>40259</v>
      </c>
      <c r="C894" s="5">
        <f t="shared" si="68"/>
        <v>13</v>
      </c>
      <c r="D894" s="5">
        <f t="shared" si="65"/>
        <v>3</v>
      </c>
      <c r="E894" s="5">
        <f t="shared" si="66"/>
        <v>2010</v>
      </c>
      <c r="F894" s="5" t="s">
        <v>14</v>
      </c>
      <c r="G894" s="5" t="s">
        <v>6</v>
      </c>
      <c r="H894" s="7">
        <v>12629.99</v>
      </c>
      <c r="I894" s="7">
        <v>15086.8</v>
      </c>
      <c r="J894" s="7">
        <f t="shared" si="67"/>
        <v>2456.8099999999995</v>
      </c>
      <c r="K894" s="8">
        <f t="shared" si="69"/>
        <v>0.19452192757080564</v>
      </c>
    </row>
    <row r="895" spans="1:11" x14ac:dyDescent="0.3">
      <c r="A895" s="5" t="s">
        <v>43</v>
      </c>
      <c r="B895" s="6">
        <v>40259</v>
      </c>
      <c r="C895" s="5">
        <f t="shared" si="68"/>
        <v>13</v>
      </c>
      <c r="D895" s="5">
        <f t="shared" si="65"/>
        <v>3</v>
      </c>
      <c r="E895" s="5">
        <f t="shared" si="66"/>
        <v>2010</v>
      </c>
      <c r="F895" s="5" t="s">
        <v>15</v>
      </c>
      <c r="G895" s="5" t="s">
        <v>6</v>
      </c>
      <c r="H895" s="7">
        <v>602732.23</v>
      </c>
      <c r="I895" s="7">
        <v>820889.19</v>
      </c>
      <c r="J895" s="7">
        <f t="shared" si="67"/>
        <v>218156.95999999996</v>
      </c>
      <c r="K895" s="8">
        <f t="shared" si="69"/>
        <v>0.36194673047432685</v>
      </c>
    </row>
    <row r="896" spans="1:11" x14ac:dyDescent="0.3">
      <c r="A896" s="5" t="s">
        <v>43</v>
      </c>
      <c r="B896" s="6">
        <v>40259</v>
      </c>
      <c r="C896" s="5">
        <f t="shared" si="68"/>
        <v>13</v>
      </c>
      <c r="D896" s="5">
        <f t="shared" si="65"/>
        <v>3</v>
      </c>
      <c r="E896" s="5">
        <f t="shared" si="66"/>
        <v>2010</v>
      </c>
      <c r="F896" s="5" t="s">
        <v>16</v>
      </c>
      <c r="G896" s="5" t="s">
        <v>6</v>
      </c>
      <c r="H896" s="7">
        <v>214233.89</v>
      </c>
      <c r="I896" s="7">
        <v>241926.96</v>
      </c>
      <c r="J896" s="7">
        <f t="shared" si="67"/>
        <v>27693.069999999978</v>
      </c>
      <c r="K896" s="8">
        <f t="shared" si="69"/>
        <v>0.12926558911850958</v>
      </c>
    </row>
    <row r="897" spans="1:11" x14ac:dyDescent="0.3">
      <c r="A897" s="5" t="s">
        <v>43</v>
      </c>
      <c r="B897" s="6">
        <v>40259</v>
      </c>
      <c r="C897" s="5">
        <f t="shared" si="68"/>
        <v>13</v>
      </c>
      <c r="D897" s="5">
        <f t="shared" si="65"/>
        <v>3</v>
      </c>
      <c r="E897" s="5">
        <f t="shared" si="66"/>
        <v>2010</v>
      </c>
      <c r="F897" s="5" t="s">
        <v>17</v>
      </c>
      <c r="G897" s="5" t="s">
        <v>6</v>
      </c>
      <c r="H897" s="7">
        <v>420</v>
      </c>
      <c r="I897" s="7">
        <v>483</v>
      </c>
      <c r="J897" s="7">
        <f t="shared" si="67"/>
        <v>63</v>
      </c>
      <c r="K897" s="8">
        <f t="shared" si="69"/>
        <v>0.15</v>
      </c>
    </row>
    <row r="898" spans="1:11" x14ac:dyDescent="0.3">
      <c r="A898" s="5" t="s">
        <v>43</v>
      </c>
      <c r="B898" s="6">
        <v>40259</v>
      </c>
      <c r="C898" s="5">
        <f t="shared" si="68"/>
        <v>13</v>
      </c>
      <c r="D898" s="5">
        <f t="shared" ref="D898:D961" si="70">MONTH(B898)</f>
        <v>3</v>
      </c>
      <c r="E898" s="5">
        <f t="shared" ref="E898:E961" si="71">YEAR(B898)</f>
        <v>2010</v>
      </c>
      <c r="F898" s="5" t="s">
        <v>19</v>
      </c>
      <c r="G898" s="5" t="s">
        <v>5</v>
      </c>
      <c r="H898" s="7">
        <v>155491.26</v>
      </c>
      <c r="I898" s="7">
        <v>171136.63</v>
      </c>
      <c r="J898" s="7">
        <f t="shared" ref="J898:J961" si="72">I898-H898</f>
        <v>15645.369999999995</v>
      </c>
      <c r="K898" s="8">
        <f t="shared" si="69"/>
        <v>0.10061896726542698</v>
      </c>
    </row>
    <row r="899" spans="1:11" x14ac:dyDescent="0.3">
      <c r="A899" s="5" t="s">
        <v>43</v>
      </c>
      <c r="B899" s="6">
        <v>40259</v>
      </c>
      <c r="C899" s="5">
        <f t="shared" ref="C899:C962" si="73">WEEKNUM(B899,1)</f>
        <v>13</v>
      </c>
      <c r="D899" s="5">
        <f t="shared" si="70"/>
        <v>3</v>
      </c>
      <c r="E899" s="5">
        <f t="shared" si="71"/>
        <v>2010</v>
      </c>
      <c r="F899" s="5" t="s">
        <v>5</v>
      </c>
      <c r="G899" s="5" t="s">
        <v>5</v>
      </c>
      <c r="H899" s="7">
        <v>587487.56999999995</v>
      </c>
      <c r="I899" s="7">
        <v>629958.23</v>
      </c>
      <c r="J899" s="7">
        <f t="shared" si="72"/>
        <v>42470.660000000033</v>
      </c>
      <c r="K899" s="8">
        <f t="shared" ref="K899:K962" si="74">(I899-H899)/H899</f>
        <v>7.2292014620837064E-2</v>
      </c>
    </row>
    <row r="900" spans="1:11" x14ac:dyDescent="0.3">
      <c r="A900" s="5" t="s">
        <v>43</v>
      </c>
      <c r="B900" s="6">
        <v>40259</v>
      </c>
      <c r="C900" s="5">
        <f t="shared" si="73"/>
        <v>13</v>
      </c>
      <c r="D900" s="5">
        <f t="shared" si="70"/>
        <v>3</v>
      </c>
      <c r="E900" s="5">
        <f t="shared" si="71"/>
        <v>2010</v>
      </c>
      <c r="F900" s="5" t="s">
        <v>20</v>
      </c>
      <c r="G900" s="5" t="s">
        <v>5</v>
      </c>
      <c r="H900" s="7">
        <v>130528</v>
      </c>
      <c r="I900" s="7">
        <v>143568.78</v>
      </c>
      <c r="J900" s="7">
        <f t="shared" si="72"/>
        <v>13040.779999999999</v>
      </c>
      <c r="K900" s="8">
        <f t="shared" si="74"/>
        <v>9.9907912478548661E-2</v>
      </c>
    </row>
    <row r="901" spans="1:11" x14ac:dyDescent="0.3">
      <c r="A901" s="5" t="s">
        <v>43</v>
      </c>
      <c r="B901" s="6">
        <v>40259</v>
      </c>
      <c r="C901" s="5">
        <f t="shared" si="73"/>
        <v>13</v>
      </c>
      <c r="D901" s="5">
        <f t="shared" si="70"/>
        <v>3</v>
      </c>
      <c r="E901" s="5">
        <f t="shared" si="71"/>
        <v>2010</v>
      </c>
      <c r="F901" s="5" t="s">
        <v>21</v>
      </c>
      <c r="G901" s="5" t="s">
        <v>5</v>
      </c>
      <c r="H901" s="7">
        <v>161428.92000000001</v>
      </c>
      <c r="I901" s="7">
        <v>173925.79</v>
      </c>
      <c r="J901" s="7">
        <f t="shared" si="72"/>
        <v>12496.869999999995</v>
      </c>
      <c r="K901" s="8">
        <f t="shared" si="74"/>
        <v>7.7414071778464447E-2</v>
      </c>
    </row>
    <row r="902" spans="1:11" x14ac:dyDescent="0.3">
      <c r="A902" s="5" t="s">
        <v>43</v>
      </c>
      <c r="B902" s="6">
        <v>40259</v>
      </c>
      <c r="C902" s="5">
        <f t="shared" si="73"/>
        <v>13</v>
      </c>
      <c r="D902" s="5">
        <f t="shared" si="70"/>
        <v>3</v>
      </c>
      <c r="E902" s="5">
        <f t="shared" si="71"/>
        <v>2010</v>
      </c>
      <c r="F902" s="5" t="s">
        <v>22</v>
      </c>
      <c r="G902" s="5" t="s">
        <v>8</v>
      </c>
      <c r="H902" s="7">
        <v>716180.73</v>
      </c>
      <c r="I902" s="7">
        <v>771624.69</v>
      </c>
      <c r="J902" s="7">
        <f t="shared" si="72"/>
        <v>55443.959999999963</v>
      </c>
      <c r="K902" s="8">
        <f t="shared" si="74"/>
        <v>7.7416157231708763E-2</v>
      </c>
    </row>
    <row r="903" spans="1:11" x14ac:dyDescent="0.3">
      <c r="A903" s="5" t="s">
        <v>43</v>
      </c>
      <c r="B903" s="6">
        <v>40259</v>
      </c>
      <c r="C903" s="5">
        <f t="shared" si="73"/>
        <v>13</v>
      </c>
      <c r="D903" s="5">
        <f t="shared" si="70"/>
        <v>3</v>
      </c>
      <c r="E903" s="5">
        <f t="shared" si="71"/>
        <v>2010</v>
      </c>
      <c r="F903" s="5" t="s">
        <v>23</v>
      </c>
      <c r="G903" s="5" t="s">
        <v>8</v>
      </c>
      <c r="H903" s="7">
        <v>306619.84000000003</v>
      </c>
      <c r="I903" s="7">
        <v>325134.28999999998</v>
      </c>
      <c r="J903" s="7">
        <f t="shared" si="72"/>
        <v>18514.449999999953</v>
      </c>
      <c r="K903" s="8">
        <f t="shared" si="74"/>
        <v>6.0382426655757021E-2</v>
      </c>
    </row>
    <row r="904" spans="1:11" x14ac:dyDescent="0.3">
      <c r="A904" s="5" t="s">
        <v>43</v>
      </c>
      <c r="B904" s="6">
        <v>40259</v>
      </c>
      <c r="C904" s="5">
        <f t="shared" si="73"/>
        <v>13</v>
      </c>
      <c r="D904" s="5">
        <f t="shared" si="70"/>
        <v>3</v>
      </c>
      <c r="E904" s="5">
        <f t="shared" si="71"/>
        <v>2010</v>
      </c>
      <c r="F904" s="5" t="s">
        <v>24</v>
      </c>
      <c r="G904" s="5" t="s">
        <v>8</v>
      </c>
      <c r="H904" s="7">
        <v>205687.98</v>
      </c>
      <c r="I904" s="7">
        <v>215776.56</v>
      </c>
      <c r="J904" s="7">
        <f t="shared" si="72"/>
        <v>10088.579999999987</v>
      </c>
      <c r="K904" s="8">
        <f t="shared" si="74"/>
        <v>4.9047980343819735E-2</v>
      </c>
    </row>
    <row r="905" spans="1:11" x14ac:dyDescent="0.3">
      <c r="A905" s="5" t="s">
        <v>43</v>
      </c>
      <c r="B905" s="6">
        <v>40259</v>
      </c>
      <c r="C905" s="5">
        <f t="shared" si="73"/>
        <v>13</v>
      </c>
      <c r="D905" s="5">
        <f t="shared" si="70"/>
        <v>3</v>
      </c>
      <c r="E905" s="5">
        <f t="shared" si="71"/>
        <v>2010</v>
      </c>
      <c r="F905" s="5" t="s">
        <v>25</v>
      </c>
      <c r="G905" s="5" t="s">
        <v>8</v>
      </c>
      <c r="H905" s="7">
        <v>9237.7999999999993</v>
      </c>
      <c r="I905" s="7">
        <v>9578.17</v>
      </c>
      <c r="J905" s="7">
        <f t="shared" si="72"/>
        <v>340.3700000000008</v>
      </c>
      <c r="K905" s="8">
        <f t="shared" si="74"/>
        <v>3.6845352789625328E-2</v>
      </c>
    </row>
    <row r="906" spans="1:11" x14ac:dyDescent="0.3">
      <c r="A906" s="5" t="s">
        <v>43</v>
      </c>
      <c r="B906" s="6">
        <v>40259</v>
      </c>
      <c r="C906" s="5">
        <f t="shared" si="73"/>
        <v>13</v>
      </c>
      <c r="D906" s="5">
        <f t="shared" si="70"/>
        <v>3</v>
      </c>
      <c r="E906" s="5">
        <f t="shared" si="71"/>
        <v>2010</v>
      </c>
      <c r="F906" s="5" t="s">
        <v>26</v>
      </c>
      <c r="G906" s="5" t="s">
        <v>10</v>
      </c>
      <c r="H906" s="7">
        <v>3442</v>
      </c>
      <c r="I906" s="7">
        <v>3935.75</v>
      </c>
      <c r="J906" s="7">
        <f t="shared" si="72"/>
        <v>493.75</v>
      </c>
      <c r="K906" s="8">
        <f t="shared" si="74"/>
        <v>0.1434485764090645</v>
      </c>
    </row>
    <row r="907" spans="1:11" x14ac:dyDescent="0.3">
      <c r="A907" s="5" t="s">
        <v>43</v>
      </c>
      <c r="B907" s="6">
        <v>40259</v>
      </c>
      <c r="C907" s="5">
        <f t="shared" si="73"/>
        <v>13</v>
      </c>
      <c r="D907" s="5">
        <f t="shared" si="70"/>
        <v>3</v>
      </c>
      <c r="E907" s="5">
        <f t="shared" si="71"/>
        <v>2010</v>
      </c>
      <c r="F907" s="5" t="s">
        <v>27</v>
      </c>
      <c r="G907" s="5" t="s">
        <v>10</v>
      </c>
      <c r="H907" s="7">
        <v>47785.36</v>
      </c>
      <c r="I907" s="7">
        <v>54624.36</v>
      </c>
      <c r="J907" s="7">
        <f t="shared" si="72"/>
        <v>6839</v>
      </c>
      <c r="K907" s="8">
        <f t="shared" si="74"/>
        <v>0.14311914778919735</v>
      </c>
    </row>
    <row r="908" spans="1:11" x14ac:dyDescent="0.3">
      <c r="A908" s="5" t="s">
        <v>43</v>
      </c>
      <c r="B908" s="6">
        <v>40259</v>
      </c>
      <c r="C908" s="5">
        <f t="shared" si="73"/>
        <v>13</v>
      </c>
      <c r="D908" s="5">
        <f t="shared" si="70"/>
        <v>3</v>
      </c>
      <c r="E908" s="5">
        <f t="shared" si="71"/>
        <v>2010</v>
      </c>
      <c r="F908" s="5" t="s">
        <v>28</v>
      </c>
      <c r="G908" s="5" t="s">
        <v>10</v>
      </c>
      <c r="H908" s="7">
        <v>120842.06</v>
      </c>
      <c r="I908" s="7">
        <v>127645.22</v>
      </c>
      <c r="J908" s="7">
        <f t="shared" si="72"/>
        <v>6803.1600000000035</v>
      </c>
      <c r="K908" s="8">
        <f t="shared" si="74"/>
        <v>5.6297947916478776E-2</v>
      </c>
    </row>
    <row r="909" spans="1:11" x14ac:dyDescent="0.3">
      <c r="A909" s="5" t="s">
        <v>43</v>
      </c>
      <c r="B909" s="6">
        <v>40259</v>
      </c>
      <c r="C909" s="5">
        <f t="shared" si="73"/>
        <v>13</v>
      </c>
      <c r="D909" s="5">
        <f t="shared" si="70"/>
        <v>3</v>
      </c>
      <c r="E909" s="5">
        <f t="shared" si="71"/>
        <v>2010</v>
      </c>
      <c r="F909" s="5" t="s">
        <v>29</v>
      </c>
      <c r="G909" s="5" t="s">
        <v>10</v>
      </c>
      <c r="H909" s="7">
        <v>606107.5</v>
      </c>
      <c r="I909" s="7">
        <v>656279.87</v>
      </c>
      <c r="J909" s="7">
        <f t="shared" si="72"/>
        <v>50172.369999999995</v>
      </c>
      <c r="K909" s="8">
        <f t="shared" si="74"/>
        <v>8.2778005551820424E-2</v>
      </c>
    </row>
    <row r="910" spans="1:11" x14ac:dyDescent="0.3">
      <c r="A910" s="5" t="s">
        <v>43</v>
      </c>
      <c r="B910" s="6">
        <v>40259</v>
      </c>
      <c r="C910" s="5">
        <f t="shared" si="73"/>
        <v>13</v>
      </c>
      <c r="D910" s="5">
        <f t="shared" si="70"/>
        <v>3</v>
      </c>
      <c r="E910" s="5">
        <f t="shared" si="71"/>
        <v>2010</v>
      </c>
      <c r="F910" s="5" t="s">
        <v>30</v>
      </c>
      <c r="G910" s="5" t="s">
        <v>10</v>
      </c>
      <c r="H910" s="7">
        <v>76471.3</v>
      </c>
      <c r="I910" s="7">
        <v>86550.080000000002</v>
      </c>
      <c r="J910" s="7">
        <f t="shared" si="72"/>
        <v>10078.779999999999</v>
      </c>
      <c r="K910" s="8">
        <f t="shared" si="74"/>
        <v>0.13179820403210091</v>
      </c>
    </row>
    <row r="911" spans="1:11" x14ac:dyDescent="0.3">
      <c r="A911" s="5" t="s">
        <v>43</v>
      </c>
      <c r="B911" s="6">
        <v>40259</v>
      </c>
      <c r="C911" s="5">
        <f t="shared" si="73"/>
        <v>13</v>
      </c>
      <c r="D911" s="5">
        <f t="shared" si="70"/>
        <v>3</v>
      </c>
      <c r="E911" s="5">
        <f t="shared" si="71"/>
        <v>2010</v>
      </c>
      <c r="F911" s="5" t="s">
        <v>9</v>
      </c>
      <c r="G911" s="5" t="s">
        <v>9</v>
      </c>
      <c r="H911" s="7">
        <v>526507.06999999995</v>
      </c>
      <c r="I911" s="7">
        <v>627335.72</v>
      </c>
      <c r="J911" s="7">
        <f t="shared" si="72"/>
        <v>100828.65000000002</v>
      </c>
      <c r="K911" s="8">
        <f t="shared" si="74"/>
        <v>0.1915048358230024</v>
      </c>
    </row>
    <row r="912" spans="1:11" x14ac:dyDescent="0.3">
      <c r="A912" s="5" t="s">
        <v>43</v>
      </c>
      <c r="B912" s="6">
        <v>40259</v>
      </c>
      <c r="C912" s="5">
        <f t="shared" si="73"/>
        <v>13</v>
      </c>
      <c r="D912" s="5">
        <f t="shared" si="70"/>
        <v>3</v>
      </c>
      <c r="E912" s="5">
        <f t="shared" si="71"/>
        <v>2010</v>
      </c>
      <c r="F912" s="5" t="s">
        <v>31</v>
      </c>
      <c r="G912" s="5" t="s">
        <v>7</v>
      </c>
      <c r="H912" s="7">
        <v>7172.11</v>
      </c>
      <c r="I912" s="7">
        <v>15334.02</v>
      </c>
      <c r="J912" s="7">
        <f t="shared" si="72"/>
        <v>8161.9100000000008</v>
      </c>
      <c r="K912" s="8">
        <f t="shared" si="74"/>
        <v>1.1380068069229281</v>
      </c>
    </row>
    <row r="913" spans="1:11" x14ac:dyDescent="0.3">
      <c r="A913" s="5" t="s">
        <v>43</v>
      </c>
      <c r="B913" s="6">
        <v>40259</v>
      </c>
      <c r="C913" s="5">
        <f t="shared" si="73"/>
        <v>13</v>
      </c>
      <c r="D913" s="5">
        <f t="shared" si="70"/>
        <v>3</v>
      </c>
      <c r="E913" s="5">
        <f t="shared" si="71"/>
        <v>2010</v>
      </c>
      <c r="F913" s="5" t="s">
        <v>33</v>
      </c>
      <c r="G913" s="5" t="s">
        <v>7</v>
      </c>
      <c r="H913" s="7">
        <v>219602.46</v>
      </c>
      <c r="I913" s="7">
        <v>434871.16</v>
      </c>
      <c r="J913" s="7">
        <f t="shared" si="72"/>
        <v>215268.69999999998</v>
      </c>
      <c r="K913" s="8">
        <f t="shared" si="74"/>
        <v>0.98026543054208037</v>
      </c>
    </row>
    <row r="914" spans="1:11" x14ac:dyDescent="0.3">
      <c r="A914" s="5" t="s">
        <v>43</v>
      </c>
      <c r="B914" s="6">
        <v>40259</v>
      </c>
      <c r="C914" s="5">
        <f t="shared" si="73"/>
        <v>13</v>
      </c>
      <c r="D914" s="5">
        <f t="shared" si="70"/>
        <v>3</v>
      </c>
      <c r="E914" s="5">
        <f t="shared" si="71"/>
        <v>2010</v>
      </c>
      <c r="F914" s="5" t="s">
        <v>34</v>
      </c>
      <c r="G914" s="5" t="s">
        <v>7</v>
      </c>
      <c r="H914" s="7">
        <v>57</v>
      </c>
      <c r="I914" s="7">
        <v>176.98</v>
      </c>
      <c r="J914" s="7">
        <f t="shared" si="72"/>
        <v>119.97999999999999</v>
      </c>
      <c r="K914" s="8">
        <f t="shared" si="74"/>
        <v>2.1049122807017544</v>
      </c>
    </row>
    <row r="915" spans="1:11" x14ac:dyDescent="0.3">
      <c r="A915" s="5" t="s">
        <v>43</v>
      </c>
      <c r="B915" s="6">
        <v>40259</v>
      </c>
      <c r="C915" s="5">
        <f t="shared" si="73"/>
        <v>13</v>
      </c>
      <c r="D915" s="5">
        <f t="shared" si="70"/>
        <v>3</v>
      </c>
      <c r="E915" s="5">
        <f t="shared" si="71"/>
        <v>2010</v>
      </c>
      <c r="F915" s="5" t="s">
        <v>35</v>
      </c>
      <c r="G915" s="5" t="s">
        <v>11</v>
      </c>
      <c r="H915" s="7">
        <v>4333.08</v>
      </c>
      <c r="I915" s="7">
        <v>5398.87</v>
      </c>
      <c r="J915" s="7">
        <f t="shared" si="72"/>
        <v>1065.79</v>
      </c>
      <c r="K915" s="8">
        <f t="shared" si="74"/>
        <v>0.24596591800751427</v>
      </c>
    </row>
    <row r="916" spans="1:11" x14ac:dyDescent="0.3">
      <c r="A916" s="5" t="s">
        <v>43</v>
      </c>
      <c r="B916" s="6">
        <v>40259</v>
      </c>
      <c r="C916" s="5">
        <f t="shared" si="73"/>
        <v>13</v>
      </c>
      <c r="D916" s="5">
        <f t="shared" si="70"/>
        <v>3</v>
      </c>
      <c r="E916" s="5">
        <f t="shared" si="71"/>
        <v>2010</v>
      </c>
      <c r="F916" s="5" t="s">
        <v>36</v>
      </c>
      <c r="G916" s="5" t="s">
        <v>11</v>
      </c>
      <c r="H916" s="7">
        <v>188873.82</v>
      </c>
      <c r="I916" s="7">
        <v>202018.86</v>
      </c>
      <c r="J916" s="7">
        <f t="shared" si="72"/>
        <v>13145.039999999979</v>
      </c>
      <c r="K916" s="8">
        <f t="shared" si="74"/>
        <v>6.9596940433565527E-2</v>
      </c>
    </row>
    <row r="917" spans="1:11" x14ac:dyDescent="0.3">
      <c r="A917" s="5" t="s">
        <v>43</v>
      </c>
      <c r="B917" s="6">
        <v>40259</v>
      </c>
      <c r="C917" s="5">
        <f t="shared" si="73"/>
        <v>13</v>
      </c>
      <c r="D917" s="5">
        <f t="shared" si="70"/>
        <v>3</v>
      </c>
      <c r="E917" s="5">
        <f t="shared" si="71"/>
        <v>2010</v>
      </c>
      <c r="F917" s="5" t="s">
        <v>37</v>
      </c>
      <c r="G917" s="5" t="s">
        <v>11</v>
      </c>
      <c r="H917" s="7">
        <v>323085.56</v>
      </c>
      <c r="I917" s="7">
        <v>349076.83</v>
      </c>
      <c r="J917" s="7">
        <f t="shared" si="72"/>
        <v>25991.270000000019</v>
      </c>
      <c r="K917" s="8">
        <f t="shared" si="74"/>
        <v>8.0447018430659725E-2</v>
      </c>
    </row>
    <row r="918" spans="1:11" x14ac:dyDescent="0.3">
      <c r="A918" s="5" t="s">
        <v>43</v>
      </c>
      <c r="B918" s="6">
        <v>40259</v>
      </c>
      <c r="C918" s="5">
        <f t="shared" si="73"/>
        <v>13</v>
      </c>
      <c r="D918" s="5">
        <f t="shared" si="70"/>
        <v>3</v>
      </c>
      <c r="E918" s="5">
        <f t="shared" si="71"/>
        <v>2010</v>
      </c>
      <c r="F918" s="5" t="s">
        <v>38</v>
      </c>
      <c r="G918" s="5" t="s">
        <v>11</v>
      </c>
      <c r="H918" s="7">
        <v>311339.23</v>
      </c>
      <c r="I918" s="7">
        <v>315406.45</v>
      </c>
      <c r="J918" s="7">
        <f t="shared" si="72"/>
        <v>4067.2200000000303</v>
      </c>
      <c r="K918" s="8">
        <f t="shared" si="74"/>
        <v>1.306362837731702E-2</v>
      </c>
    </row>
    <row r="919" spans="1:11" x14ac:dyDescent="0.3">
      <c r="A919" s="5" t="s">
        <v>43</v>
      </c>
      <c r="B919" s="6">
        <v>40260</v>
      </c>
      <c r="C919" s="5">
        <f t="shared" si="73"/>
        <v>13</v>
      </c>
      <c r="D919" s="5">
        <f t="shared" si="70"/>
        <v>3</v>
      </c>
      <c r="E919" s="5">
        <f t="shared" si="71"/>
        <v>2010</v>
      </c>
      <c r="F919" s="5" t="s">
        <v>14</v>
      </c>
      <c r="G919" s="5" t="s">
        <v>6</v>
      </c>
      <c r="H919" s="7">
        <v>6728</v>
      </c>
      <c r="I919" s="7">
        <v>8162.11</v>
      </c>
      <c r="J919" s="7">
        <f t="shared" si="72"/>
        <v>1434.1099999999997</v>
      </c>
      <c r="K919" s="8">
        <f t="shared" si="74"/>
        <v>0.21315546967895357</v>
      </c>
    </row>
    <row r="920" spans="1:11" x14ac:dyDescent="0.3">
      <c r="A920" s="5" t="s">
        <v>43</v>
      </c>
      <c r="B920" s="6">
        <v>40260</v>
      </c>
      <c r="C920" s="5">
        <f t="shared" si="73"/>
        <v>13</v>
      </c>
      <c r="D920" s="5">
        <f t="shared" si="70"/>
        <v>3</v>
      </c>
      <c r="E920" s="5">
        <f t="shared" si="71"/>
        <v>2010</v>
      </c>
      <c r="F920" s="5" t="s">
        <v>15</v>
      </c>
      <c r="G920" s="5" t="s">
        <v>6</v>
      </c>
      <c r="H920" s="7">
        <v>221090.77</v>
      </c>
      <c r="I920" s="7">
        <v>324725.43</v>
      </c>
      <c r="J920" s="7">
        <f t="shared" si="72"/>
        <v>103634.66</v>
      </c>
      <c r="K920" s="8">
        <f t="shared" si="74"/>
        <v>0.4687425892994086</v>
      </c>
    </row>
    <row r="921" spans="1:11" x14ac:dyDescent="0.3">
      <c r="A921" s="5" t="s">
        <v>43</v>
      </c>
      <c r="B921" s="6">
        <v>40260</v>
      </c>
      <c r="C921" s="5">
        <f t="shared" si="73"/>
        <v>13</v>
      </c>
      <c r="D921" s="5">
        <f t="shared" si="70"/>
        <v>3</v>
      </c>
      <c r="E921" s="5">
        <f t="shared" si="71"/>
        <v>2010</v>
      </c>
      <c r="F921" s="5" t="s">
        <v>16</v>
      </c>
      <c r="G921" s="5" t="s">
        <v>6</v>
      </c>
      <c r="H921" s="7">
        <v>94007.69</v>
      </c>
      <c r="I921" s="7">
        <v>106460</v>
      </c>
      <c r="J921" s="7">
        <f t="shared" si="72"/>
        <v>12452.309999999998</v>
      </c>
      <c r="K921" s="8">
        <f t="shared" si="74"/>
        <v>0.13246054657868944</v>
      </c>
    </row>
    <row r="922" spans="1:11" x14ac:dyDescent="0.3">
      <c r="A922" s="5" t="s">
        <v>43</v>
      </c>
      <c r="B922" s="6">
        <v>40260</v>
      </c>
      <c r="C922" s="5">
        <f t="shared" si="73"/>
        <v>13</v>
      </c>
      <c r="D922" s="5">
        <f t="shared" si="70"/>
        <v>3</v>
      </c>
      <c r="E922" s="5">
        <f t="shared" si="71"/>
        <v>2010</v>
      </c>
      <c r="F922" s="5" t="s">
        <v>17</v>
      </c>
      <c r="G922" s="5" t="s">
        <v>6</v>
      </c>
      <c r="H922" s="7">
        <v>2264</v>
      </c>
      <c r="I922" s="7">
        <v>2510.9899999999998</v>
      </c>
      <c r="J922" s="7">
        <f t="shared" si="72"/>
        <v>246.98999999999978</v>
      </c>
      <c r="K922" s="8">
        <f t="shared" si="74"/>
        <v>0.10909452296819779</v>
      </c>
    </row>
    <row r="923" spans="1:11" x14ac:dyDescent="0.3">
      <c r="A923" s="5" t="s">
        <v>43</v>
      </c>
      <c r="B923" s="6">
        <v>40260</v>
      </c>
      <c r="C923" s="5">
        <f t="shared" si="73"/>
        <v>13</v>
      </c>
      <c r="D923" s="5">
        <f t="shared" si="70"/>
        <v>3</v>
      </c>
      <c r="E923" s="5">
        <f t="shared" si="71"/>
        <v>2010</v>
      </c>
      <c r="F923" s="5" t="s">
        <v>19</v>
      </c>
      <c r="G923" s="5" t="s">
        <v>5</v>
      </c>
      <c r="H923" s="7">
        <v>94650.28</v>
      </c>
      <c r="I923" s="7">
        <v>104722.87</v>
      </c>
      <c r="J923" s="7">
        <f t="shared" si="72"/>
        <v>10072.589999999997</v>
      </c>
      <c r="K923" s="8">
        <f t="shared" si="74"/>
        <v>0.10641901957395157</v>
      </c>
    </row>
    <row r="924" spans="1:11" x14ac:dyDescent="0.3">
      <c r="A924" s="5" t="s">
        <v>43</v>
      </c>
      <c r="B924" s="6">
        <v>40260</v>
      </c>
      <c r="C924" s="5">
        <f t="shared" si="73"/>
        <v>13</v>
      </c>
      <c r="D924" s="5">
        <f t="shared" si="70"/>
        <v>3</v>
      </c>
      <c r="E924" s="5">
        <f t="shared" si="71"/>
        <v>2010</v>
      </c>
      <c r="F924" s="5" t="s">
        <v>5</v>
      </c>
      <c r="G924" s="5" t="s">
        <v>5</v>
      </c>
      <c r="H924" s="7">
        <v>642282.13</v>
      </c>
      <c r="I924" s="7">
        <v>677974</v>
      </c>
      <c r="J924" s="7">
        <f t="shared" si="72"/>
        <v>35691.869999999995</v>
      </c>
      <c r="K924" s="8">
        <f t="shared" si="74"/>
        <v>5.5570392406838399E-2</v>
      </c>
    </row>
    <row r="925" spans="1:11" x14ac:dyDescent="0.3">
      <c r="A925" s="5" t="s">
        <v>43</v>
      </c>
      <c r="B925" s="6">
        <v>40260</v>
      </c>
      <c r="C925" s="5">
        <f t="shared" si="73"/>
        <v>13</v>
      </c>
      <c r="D925" s="5">
        <f t="shared" si="70"/>
        <v>3</v>
      </c>
      <c r="E925" s="5">
        <f t="shared" si="71"/>
        <v>2010</v>
      </c>
      <c r="F925" s="5" t="s">
        <v>20</v>
      </c>
      <c r="G925" s="5" t="s">
        <v>5</v>
      </c>
      <c r="H925" s="7">
        <v>92469.07</v>
      </c>
      <c r="I925" s="7">
        <v>101609.37</v>
      </c>
      <c r="J925" s="7">
        <f t="shared" si="72"/>
        <v>9140.2999999999884</v>
      </c>
      <c r="K925" s="8">
        <f t="shared" si="74"/>
        <v>9.8847106389195735E-2</v>
      </c>
    </row>
    <row r="926" spans="1:11" x14ac:dyDescent="0.3">
      <c r="A926" s="5" t="s">
        <v>43</v>
      </c>
      <c r="B926" s="6">
        <v>40260</v>
      </c>
      <c r="C926" s="5">
        <f t="shared" si="73"/>
        <v>13</v>
      </c>
      <c r="D926" s="5">
        <f t="shared" si="70"/>
        <v>3</v>
      </c>
      <c r="E926" s="5">
        <f t="shared" si="71"/>
        <v>2010</v>
      </c>
      <c r="F926" s="5" t="s">
        <v>21</v>
      </c>
      <c r="G926" s="5" t="s">
        <v>5</v>
      </c>
      <c r="H926" s="7">
        <v>97346.64</v>
      </c>
      <c r="I926" s="7">
        <v>105509.04</v>
      </c>
      <c r="J926" s="7">
        <f t="shared" si="72"/>
        <v>8162.3999999999942</v>
      </c>
      <c r="K926" s="8">
        <f t="shared" si="74"/>
        <v>8.3848810806412988E-2</v>
      </c>
    </row>
    <row r="927" spans="1:11" x14ac:dyDescent="0.3">
      <c r="A927" s="5" t="s">
        <v>43</v>
      </c>
      <c r="B927" s="6">
        <v>40260</v>
      </c>
      <c r="C927" s="5">
        <f t="shared" si="73"/>
        <v>13</v>
      </c>
      <c r="D927" s="5">
        <f t="shared" si="70"/>
        <v>3</v>
      </c>
      <c r="E927" s="5">
        <f t="shared" si="71"/>
        <v>2010</v>
      </c>
      <c r="F927" s="5" t="s">
        <v>22</v>
      </c>
      <c r="G927" s="5" t="s">
        <v>8</v>
      </c>
      <c r="H927" s="7">
        <v>326618</v>
      </c>
      <c r="I927" s="7">
        <v>352161.2</v>
      </c>
      <c r="J927" s="7">
        <f t="shared" si="72"/>
        <v>25543.200000000012</v>
      </c>
      <c r="K927" s="8">
        <f t="shared" si="74"/>
        <v>7.820512035466512E-2</v>
      </c>
    </row>
    <row r="928" spans="1:11" x14ac:dyDescent="0.3">
      <c r="A928" s="5" t="s">
        <v>43</v>
      </c>
      <c r="B928" s="6">
        <v>40260</v>
      </c>
      <c r="C928" s="5">
        <f t="shared" si="73"/>
        <v>13</v>
      </c>
      <c r="D928" s="5">
        <f t="shared" si="70"/>
        <v>3</v>
      </c>
      <c r="E928" s="5">
        <f t="shared" si="71"/>
        <v>2010</v>
      </c>
      <c r="F928" s="5" t="s">
        <v>23</v>
      </c>
      <c r="G928" s="5" t="s">
        <v>8</v>
      </c>
      <c r="H928" s="7">
        <v>144853.62</v>
      </c>
      <c r="I928" s="7">
        <v>152416.01999999999</v>
      </c>
      <c r="J928" s="7">
        <f t="shared" si="72"/>
        <v>7562.3999999999942</v>
      </c>
      <c r="K928" s="8">
        <f t="shared" si="74"/>
        <v>5.2207186813833129E-2</v>
      </c>
    </row>
    <row r="929" spans="1:11" x14ac:dyDescent="0.3">
      <c r="A929" s="5" t="s">
        <v>43</v>
      </c>
      <c r="B929" s="6">
        <v>40260</v>
      </c>
      <c r="C929" s="5">
        <f t="shared" si="73"/>
        <v>13</v>
      </c>
      <c r="D929" s="5">
        <f t="shared" si="70"/>
        <v>3</v>
      </c>
      <c r="E929" s="5">
        <f t="shared" si="71"/>
        <v>2010</v>
      </c>
      <c r="F929" s="5" t="s">
        <v>24</v>
      </c>
      <c r="G929" s="5" t="s">
        <v>8</v>
      </c>
      <c r="H929" s="7">
        <v>139055.99</v>
      </c>
      <c r="I929" s="7">
        <v>146393.09</v>
      </c>
      <c r="J929" s="7">
        <f t="shared" si="72"/>
        <v>7337.1000000000058</v>
      </c>
      <c r="K929" s="8">
        <f t="shared" si="74"/>
        <v>5.27636385890317E-2</v>
      </c>
    </row>
    <row r="930" spans="1:11" x14ac:dyDescent="0.3">
      <c r="A930" s="5" t="s">
        <v>43</v>
      </c>
      <c r="B930" s="6">
        <v>40260</v>
      </c>
      <c r="C930" s="5">
        <f t="shared" si="73"/>
        <v>13</v>
      </c>
      <c r="D930" s="5">
        <f t="shared" si="70"/>
        <v>3</v>
      </c>
      <c r="E930" s="5">
        <f t="shared" si="71"/>
        <v>2010</v>
      </c>
      <c r="F930" s="5" t="s">
        <v>25</v>
      </c>
      <c r="G930" s="5" t="s">
        <v>8</v>
      </c>
      <c r="H930" s="7">
        <v>14253.6</v>
      </c>
      <c r="I930" s="7">
        <v>14521.44</v>
      </c>
      <c r="J930" s="7">
        <f t="shared" si="72"/>
        <v>267.84000000000015</v>
      </c>
      <c r="K930" s="8">
        <f t="shared" si="74"/>
        <v>1.8791042263007249E-2</v>
      </c>
    </row>
    <row r="931" spans="1:11" x14ac:dyDescent="0.3">
      <c r="A931" s="5" t="s">
        <v>43</v>
      </c>
      <c r="B931" s="6">
        <v>40260</v>
      </c>
      <c r="C931" s="5">
        <f t="shared" si="73"/>
        <v>13</v>
      </c>
      <c r="D931" s="5">
        <f t="shared" si="70"/>
        <v>3</v>
      </c>
      <c r="E931" s="5">
        <f t="shared" si="71"/>
        <v>2010</v>
      </c>
      <c r="F931" s="5" t="s">
        <v>26</v>
      </c>
      <c r="G931" s="5" t="s">
        <v>10</v>
      </c>
      <c r="H931" s="7">
        <v>5431</v>
      </c>
      <c r="I931" s="7">
        <v>6242.78</v>
      </c>
      <c r="J931" s="7">
        <f t="shared" si="72"/>
        <v>811.77999999999975</v>
      </c>
      <c r="K931" s="8">
        <f t="shared" si="74"/>
        <v>0.14947155220033137</v>
      </c>
    </row>
    <row r="932" spans="1:11" x14ac:dyDescent="0.3">
      <c r="A932" s="5" t="s">
        <v>43</v>
      </c>
      <c r="B932" s="6">
        <v>40260</v>
      </c>
      <c r="C932" s="5">
        <f t="shared" si="73"/>
        <v>13</v>
      </c>
      <c r="D932" s="5">
        <f t="shared" si="70"/>
        <v>3</v>
      </c>
      <c r="E932" s="5">
        <f t="shared" si="71"/>
        <v>2010</v>
      </c>
      <c r="F932" s="5" t="s">
        <v>27</v>
      </c>
      <c r="G932" s="5" t="s">
        <v>10</v>
      </c>
      <c r="H932" s="7">
        <v>80745.070000000007</v>
      </c>
      <c r="I932" s="7">
        <v>90923.86</v>
      </c>
      <c r="J932" s="7">
        <f t="shared" si="72"/>
        <v>10178.789999999994</v>
      </c>
      <c r="K932" s="8">
        <f t="shared" si="74"/>
        <v>0.12606082327998469</v>
      </c>
    </row>
    <row r="933" spans="1:11" x14ac:dyDescent="0.3">
      <c r="A933" s="5" t="s">
        <v>43</v>
      </c>
      <c r="B933" s="6">
        <v>40260</v>
      </c>
      <c r="C933" s="5">
        <f t="shared" si="73"/>
        <v>13</v>
      </c>
      <c r="D933" s="5">
        <f t="shared" si="70"/>
        <v>3</v>
      </c>
      <c r="E933" s="5">
        <f t="shared" si="71"/>
        <v>2010</v>
      </c>
      <c r="F933" s="5" t="s">
        <v>28</v>
      </c>
      <c r="G933" s="5" t="s">
        <v>10</v>
      </c>
      <c r="H933" s="7">
        <v>23080.74</v>
      </c>
      <c r="I933" s="7">
        <v>22486.39</v>
      </c>
      <c r="J933" s="7">
        <f t="shared" si="72"/>
        <v>-594.35000000000218</v>
      </c>
      <c r="K933" s="8">
        <f t="shared" si="74"/>
        <v>-2.5750907466571788E-2</v>
      </c>
    </row>
    <row r="934" spans="1:11" x14ac:dyDescent="0.3">
      <c r="A934" s="5" t="s">
        <v>43</v>
      </c>
      <c r="B934" s="6">
        <v>40260</v>
      </c>
      <c r="C934" s="5">
        <f t="shared" si="73"/>
        <v>13</v>
      </c>
      <c r="D934" s="5">
        <f t="shared" si="70"/>
        <v>3</v>
      </c>
      <c r="E934" s="5">
        <f t="shared" si="71"/>
        <v>2010</v>
      </c>
      <c r="F934" s="5" t="s">
        <v>29</v>
      </c>
      <c r="G934" s="5" t="s">
        <v>10</v>
      </c>
      <c r="H934" s="7">
        <v>311636.40000000002</v>
      </c>
      <c r="I934" s="7">
        <v>340480.79</v>
      </c>
      <c r="J934" s="7">
        <f t="shared" si="72"/>
        <v>28844.389999999956</v>
      </c>
      <c r="K934" s="8">
        <f t="shared" si="74"/>
        <v>9.255783342382326E-2</v>
      </c>
    </row>
    <row r="935" spans="1:11" x14ac:dyDescent="0.3">
      <c r="A935" s="5" t="s">
        <v>43</v>
      </c>
      <c r="B935" s="6">
        <v>40260</v>
      </c>
      <c r="C935" s="5">
        <f t="shared" si="73"/>
        <v>13</v>
      </c>
      <c r="D935" s="5">
        <f t="shared" si="70"/>
        <v>3</v>
      </c>
      <c r="E935" s="5">
        <f t="shared" si="71"/>
        <v>2010</v>
      </c>
      <c r="F935" s="5" t="s">
        <v>30</v>
      </c>
      <c r="G935" s="5" t="s">
        <v>10</v>
      </c>
      <c r="H935" s="7">
        <v>59162.9</v>
      </c>
      <c r="I935" s="7">
        <v>67479.570000000007</v>
      </c>
      <c r="J935" s="7">
        <f t="shared" si="72"/>
        <v>8316.6700000000055</v>
      </c>
      <c r="K935" s="8">
        <f t="shared" si="74"/>
        <v>0.14057238573497927</v>
      </c>
    </row>
    <row r="936" spans="1:11" x14ac:dyDescent="0.3">
      <c r="A936" s="5" t="s">
        <v>43</v>
      </c>
      <c r="B936" s="6">
        <v>40260</v>
      </c>
      <c r="C936" s="5">
        <f t="shared" si="73"/>
        <v>13</v>
      </c>
      <c r="D936" s="5">
        <f t="shared" si="70"/>
        <v>3</v>
      </c>
      <c r="E936" s="5">
        <f t="shared" si="71"/>
        <v>2010</v>
      </c>
      <c r="F936" s="5" t="s">
        <v>9</v>
      </c>
      <c r="G936" s="5" t="s">
        <v>9</v>
      </c>
      <c r="H936" s="7">
        <v>190932.52</v>
      </c>
      <c r="I936" s="7">
        <v>223014.9</v>
      </c>
      <c r="J936" s="7">
        <f t="shared" si="72"/>
        <v>32082.380000000005</v>
      </c>
      <c r="K936" s="8">
        <f t="shared" si="74"/>
        <v>0.16802994063033372</v>
      </c>
    </row>
    <row r="937" spans="1:11" x14ac:dyDescent="0.3">
      <c r="A937" s="5" t="s">
        <v>43</v>
      </c>
      <c r="B937" s="6">
        <v>40260</v>
      </c>
      <c r="C937" s="5">
        <f t="shared" si="73"/>
        <v>13</v>
      </c>
      <c r="D937" s="5">
        <f t="shared" si="70"/>
        <v>3</v>
      </c>
      <c r="E937" s="5">
        <f t="shared" si="71"/>
        <v>2010</v>
      </c>
      <c r="F937" s="5" t="s">
        <v>31</v>
      </c>
      <c r="G937" s="5" t="s">
        <v>7</v>
      </c>
      <c r="H937" s="7">
        <v>4382.29</v>
      </c>
      <c r="I937" s="7">
        <v>9830.7000000000007</v>
      </c>
      <c r="J937" s="7">
        <f t="shared" si="72"/>
        <v>5448.4100000000008</v>
      </c>
      <c r="K937" s="8">
        <f t="shared" si="74"/>
        <v>1.2432791987750698</v>
      </c>
    </row>
    <row r="938" spans="1:11" x14ac:dyDescent="0.3">
      <c r="A938" s="5" t="s">
        <v>43</v>
      </c>
      <c r="B938" s="6">
        <v>40260</v>
      </c>
      <c r="C938" s="5">
        <f t="shared" si="73"/>
        <v>13</v>
      </c>
      <c r="D938" s="5">
        <f t="shared" si="70"/>
        <v>3</v>
      </c>
      <c r="E938" s="5">
        <f t="shared" si="71"/>
        <v>2010</v>
      </c>
      <c r="F938" s="5" t="s">
        <v>33</v>
      </c>
      <c r="G938" s="5" t="s">
        <v>7</v>
      </c>
      <c r="H938" s="7">
        <v>171432.05</v>
      </c>
      <c r="I938" s="7">
        <v>331780.59999999998</v>
      </c>
      <c r="J938" s="7">
        <f t="shared" si="72"/>
        <v>160348.54999999999</v>
      </c>
      <c r="K938" s="8">
        <f t="shared" si="74"/>
        <v>0.93534756190572299</v>
      </c>
    </row>
    <row r="939" spans="1:11" x14ac:dyDescent="0.3">
      <c r="A939" s="5" t="s">
        <v>43</v>
      </c>
      <c r="B939" s="6">
        <v>40260</v>
      </c>
      <c r="C939" s="5">
        <f t="shared" si="73"/>
        <v>13</v>
      </c>
      <c r="D939" s="5">
        <f t="shared" si="70"/>
        <v>3</v>
      </c>
      <c r="E939" s="5">
        <f t="shared" si="71"/>
        <v>2010</v>
      </c>
      <c r="F939" s="5" t="s">
        <v>34</v>
      </c>
      <c r="G939" s="5" t="s">
        <v>7</v>
      </c>
      <c r="H939" s="7">
        <v>19</v>
      </c>
      <c r="I939" s="7">
        <v>59</v>
      </c>
      <c r="J939" s="7">
        <f t="shared" si="72"/>
        <v>40</v>
      </c>
      <c r="K939" s="8">
        <f t="shared" si="74"/>
        <v>2.1052631578947367</v>
      </c>
    </row>
    <row r="940" spans="1:11" x14ac:dyDescent="0.3">
      <c r="A940" s="5" t="s">
        <v>43</v>
      </c>
      <c r="B940" s="6">
        <v>40260</v>
      </c>
      <c r="C940" s="5">
        <f t="shared" si="73"/>
        <v>13</v>
      </c>
      <c r="D940" s="5">
        <f t="shared" si="70"/>
        <v>3</v>
      </c>
      <c r="E940" s="5">
        <f t="shared" si="71"/>
        <v>2010</v>
      </c>
      <c r="F940" s="5" t="s">
        <v>35</v>
      </c>
      <c r="G940" s="5" t="s">
        <v>11</v>
      </c>
      <c r="H940" s="7">
        <v>855.96</v>
      </c>
      <c r="I940" s="7">
        <v>1034.03</v>
      </c>
      <c r="J940" s="7">
        <f t="shared" si="72"/>
        <v>178.06999999999994</v>
      </c>
      <c r="K940" s="8">
        <f t="shared" si="74"/>
        <v>0.20803542221599131</v>
      </c>
    </row>
    <row r="941" spans="1:11" x14ac:dyDescent="0.3">
      <c r="A941" s="5" t="s">
        <v>43</v>
      </c>
      <c r="B941" s="6">
        <v>40260</v>
      </c>
      <c r="C941" s="5">
        <f t="shared" si="73"/>
        <v>13</v>
      </c>
      <c r="D941" s="5">
        <f t="shared" si="70"/>
        <v>3</v>
      </c>
      <c r="E941" s="5">
        <f t="shared" si="71"/>
        <v>2010</v>
      </c>
      <c r="F941" s="5" t="s">
        <v>36</v>
      </c>
      <c r="G941" s="5" t="s">
        <v>11</v>
      </c>
      <c r="H941" s="7">
        <v>137125.22</v>
      </c>
      <c r="I941" s="7">
        <v>149754.76</v>
      </c>
      <c r="J941" s="7">
        <f t="shared" si="72"/>
        <v>12629.540000000008</v>
      </c>
      <c r="K941" s="8">
        <f t="shared" si="74"/>
        <v>9.2102240565229421E-2</v>
      </c>
    </row>
    <row r="942" spans="1:11" x14ac:dyDescent="0.3">
      <c r="A942" s="5" t="s">
        <v>43</v>
      </c>
      <c r="B942" s="6">
        <v>40260</v>
      </c>
      <c r="C942" s="5">
        <f t="shared" si="73"/>
        <v>13</v>
      </c>
      <c r="D942" s="5">
        <f t="shared" si="70"/>
        <v>3</v>
      </c>
      <c r="E942" s="5">
        <f t="shared" si="71"/>
        <v>2010</v>
      </c>
      <c r="F942" s="5" t="s">
        <v>37</v>
      </c>
      <c r="G942" s="5" t="s">
        <v>11</v>
      </c>
      <c r="H942" s="7">
        <v>317931.7</v>
      </c>
      <c r="I942" s="7">
        <v>341937.96</v>
      </c>
      <c r="J942" s="7">
        <f t="shared" si="72"/>
        <v>24006.260000000009</v>
      </c>
      <c r="K942" s="8">
        <f t="shared" si="74"/>
        <v>7.550760116087829E-2</v>
      </c>
    </row>
    <row r="943" spans="1:11" x14ac:dyDescent="0.3">
      <c r="A943" s="5" t="s">
        <v>43</v>
      </c>
      <c r="B943" s="6">
        <v>40260</v>
      </c>
      <c r="C943" s="5">
        <f t="shared" si="73"/>
        <v>13</v>
      </c>
      <c r="D943" s="5">
        <f t="shared" si="70"/>
        <v>3</v>
      </c>
      <c r="E943" s="5">
        <f t="shared" si="71"/>
        <v>2010</v>
      </c>
      <c r="F943" s="5" t="s">
        <v>38</v>
      </c>
      <c r="G943" s="5" t="s">
        <v>11</v>
      </c>
      <c r="H943" s="7">
        <v>303416.96000000002</v>
      </c>
      <c r="I943" s="7">
        <v>315623.59000000003</v>
      </c>
      <c r="J943" s="7">
        <f t="shared" si="72"/>
        <v>12206.630000000005</v>
      </c>
      <c r="K943" s="8">
        <f t="shared" si="74"/>
        <v>4.0230546110540437E-2</v>
      </c>
    </row>
    <row r="944" spans="1:11" x14ac:dyDescent="0.3">
      <c r="A944" s="5" t="s">
        <v>43</v>
      </c>
      <c r="B944" s="6">
        <v>40261</v>
      </c>
      <c r="C944" s="5">
        <f t="shared" si="73"/>
        <v>13</v>
      </c>
      <c r="D944" s="5">
        <f t="shared" si="70"/>
        <v>3</v>
      </c>
      <c r="E944" s="5">
        <f t="shared" si="71"/>
        <v>2010</v>
      </c>
      <c r="F944" s="5" t="s">
        <v>14</v>
      </c>
      <c r="G944" s="5" t="s">
        <v>6</v>
      </c>
      <c r="H944" s="7">
        <v>9848</v>
      </c>
      <c r="I944" s="7">
        <v>11958.26</v>
      </c>
      <c r="J944" s="7">
        <f t="shared" si="72"/>
        <v>2110.2600000000002</v>
      </c>
      <c r="K944" s="8">
        <f t="shared" si="74"/>
        <v>0.21428310316815599</v>
      </c>
    </row>
    <row r="945" spans="1:11" x14ac:dyDescent="0.3">
      <c r="A945" s="5" t="s">
        <v>43</v>
      </c>
      <c r="B945" s="6">
        <v>40261</v>
      </c>
      <c r="C945" s="5">
        <f t="shared" si="73"/>
        <v>13</v>
      </c>
      <c r="D945" s="5">
        <f t="shared" si="70"/>
        <v>3</v>
      </c>
      <c r="E945" s="5">
        <f t="shared" si="71"/>
        <v>2010</v>
      </c>
      <c r="F945" s="5" t="s">
        <v>15</v>
      </c>
      <c r="G945" s="5" t="s">
        <v>6</v>
      </c>
      <c r="H945" s="7">
        <v>182404.09</v>
      </c>
      <c r="I945" s="7">
        <v>274519.12</v>
      </c>
      <c r="J945" s="7">
        <f t="shared" si="72"/>
        <v>92115.03</v>
      </c>
      <c r="K945" s="8">
        <f t="shared" si="74"/>
        <v>0.5050052879844964</v>
      </c>
    </row>
    <row r="946" spans="1:11" x14ac:dyDescent="0.3">
      <c r="A946" s="5" t="s">
        <v>43</v>
      </c>
      <c r="B946" s="6">
        <v>40261</v>
      </c>
      <c r="C946" s="5">
        <f t="shared" si="73"/>
        <v>13</v>
      </c>
      <c r="D946" s="5">
        <f t="shared" si="70"/>
        <v>3</v>
      </c>
      <c r="E946" s="5">
        <f t="shared" si="71"/>
        <v>2010</v>
      </c>
      <c r="F946" s="5" t="s">
        <v>16</v>
      </c>
      <c r="G946" s="5" t="s">
        <v>6</v>
      </c>
      <c r="H946" s="7">
        <v>87020.11</v>
      </c>
      <c r="I946" s="7">
        <v>97371.71</v>
      </c>
      <c r="J946" s="7">
        <f t="shared" si="72"/>
        <v>10351.600000000006</v>
      </c>
      <c r="K946" s="8">
        <f t="shared" si="74"/>
        <v>0.11895641133986162</v>
      </c>
    </row>
    <row r="947" spans="1:11" x14ac:dyDescent="0.3">
      <c r="A947" s="5" t="s">
        <v>43</v>
      </c>
      <c r="B947" s="6">
        <v>40261</v>
      </c>
      <c r="C947" s="5">
        <f t="shared" si="73"/>
        <v>13</v>
      </c>
      <c r="D947" s="5">
        <f t="shared" si="70"/>
        <v>3</v>
      </c>
      <c r="E947" s="5">
        <f t="shared" si="71"/>
        <v>2010</v>
      </c>
      <c r="F947" s="5" t="s">
        <v>17</v>
      </c>
      <c r="G947" s="5" t="s">
        <v>6</v>
      </c>
      <c r="H947" s="7">
        <v>710</v>
      </c>
      <c r="I947" s="7">
        <v>817</v>
      </c>
      <c r="J947" s="7">
        <f t="shared" si="72"/>
        <v>107</v>
      </c>
      <c r="K947" s="8">
        <f t="shared" si="74"/>
        <v>0.15070422535211267</v>
      </c>
    </row>
    <row r="948" spans="1:11" x14ac:dyDescent="0.3">
      <c r="A948" s="5" t="s">
        <v>43</v>
      </c>
      <c r="B948" s="6">
        <v>40261</v>
      </c>
      <c r="C948" s="5">
        <f t="shared" si="73"/>
        <v>13</v>
      </c>
      <c r="D948" s="5">
        <f t="shared" si="70"/>
        <v>3</v>
      </c>
      <c r="E948" s="5">
        <f t="shared" si="71"/>
        <v>2010</v>
      </c>
      <c r="F948" s="5" t="s">
        <v>19</v>
      </c>
      <c r="G948" s="5" t="s">
        <v>5</v>
      </c>
      <c r="H948" s="7">
        <v>90496.74</v>
      </c>
      <c r="I948" s="7">
        <v>99170.63</v>
      </c>
      <c r="J948" s="7">
        <f t="shared" si="72"/>
        <v>8673.89</v>
      </c>
      <c r="K948" s="8">
        <f t="shared" si="74"/>
        <v>9.5847541027444735E-2</v>
      </c>
    </row>
    <row r="949" spans="1:11" x14ac:dyDescent="0.3">
      <c r="A949" s="5" t="s">
        <v>43</v>
      </c>
      <c r="B949" s="6">
        <v>40261</v>
      </c>
      <c r="C949" s="5">
        <f t="shared" si="73"/>
        <v>13</v>
      </c>
      <c r="D949" s="5">
        <f t="shared" si="70"/>
        <v>3</v>
      </c>
      <c r="E949" s="5">
        <f t="shared" si="71"/>
        <v>2010</v>
      </c>
      <c r="F949" s="5" t="s">
        <v>5</v>
      </c>
      <c r="G949" s="5" t="s">
        <v>5</v>
      </c>
      <c r="H949" s="7">
        <v>391926.62</v>
      </c>
      <c r="I949" s="7">
        <v>421437.1</v>
      </c>
      <c r="J949" s="7">
        <f t="shared" si="72"/>
        <v>29510.479999999981</v>
      </c>
      <c r="K949" s="8">
        <f t="shared" si="74"/>
        <v>7.5295931672107352E-2</v>
      </c>
    </row>
    <row r="950" spans="1:11" x14ac:dyDescent="0.3">
      <c r="A950" s="5" t="s">
        <v>43</v>
      </c>
      <c r="B950" s="6">
        <v>40261</v>
      </c>
      <c r="C950" s="5">
        <f t="shared" si="73"/>
        <v>13</v>
      </c>
      <c r="D950" s="5">
        <f t="shared" si="70"/>
        <v>3</v>
      </c>
      <c r="E950" s="5">
        <f t="shared" si="71"/>
        <v>2010</v>
      </c>
      <c r="F950" s="5" t="s">
        <v>20</v>
      </c>
      <c r="G950" s="5" t="s">
        <v>5</v>
      </c>
      <c r="H950" s="7">
        <v>110935.14</v>
      </c>
      <c r="I950" s="7">
        <v>121713.37</v>
      </c>
      <c r="J950" s="7">
        <f t="shared" si="72"/>
        <v>10778.229999999996</v>
      </c>
      <c r="K950" s="8">
        <f t="shared" si="74"/>
        <v>9.7157942920520907E-2</v>
      </c>
    </row>
    <row r="951" spans="1:11" x14ac:dyDescent="0.3">
      <c r="A951" s="5" t="s">
        <v>43</v>
      </c>
      <c r="B951" s="6">
        <v>40261</v>
      </c>
      <c r="C951" s="5">
        <f t="shared" si="73"/>
        <v>13</v>
      </c>
      <c r="D951" s="5">
        <f t="shared" si="70"/>
        <v>3</v>
      </c>
      <c r="E951" s="5">
        <f t="shared" si="71"/>
        <v>2010</v>
      </c>
      <c r="F951" s="5" t="s">
        <v>21</v>
      </c>
      <c r="G951" s="5" t="s">
        <v>5</v>
      </c>
      <c r="H951" s="7">
        <v>111157.9</v>
      </c>
      <c r="I951" s="7">
        <v>119830.21</v>
      </c>
      <c r="J951" s="7">
        <f t="shared" si="72"/>
        <v>8672.3100000000122</v>
      </c>
      <c r="K951" s="8">
        <f t="shared" si="74"/>
        <v>7.8017936646878117E-2</v>
      </c>
    </row>
    <row r="952" spans="1:11" x14ac:dyDescent="0.3">
      <c r="A952" s="5" t="s">
        <v>43</v>
      </c>
      <c r="B952" s="6">
        <v>40261</v>
      </c>
      <c r="C952" s="5">
        <f t="shared" si="73"/>
        <v>13</v>
      </c>
      <c r="D952" s="5">
        <f t="shared" si="70"/>
        <v>3</v>
      </c>
      <c r="E952" s="5">
        <f t="shared" si="71"/>
        <v>2010</v>
      </c>
      <c r="F952" s="5" t="s">
        <v>22</v>
      </c>
      <c r="G952" s="5" t="s">
        <v>8</v>
      </c>
      <c r="H952" s="7">
        <v>262230</v>
      </c>
      <c r="I952" s="7">
        <v>283448.87</v>
      </c>
      <c r="J952" s="7">
        <f t="shared" si="72"/>
        <v>21218.869999999995</v>
      </c>
      <c r="K952" s="8">
        <f t="shared" si="74"/>
        <v>8.0917019410441202E-2</v>
      </c>
    </row>
    <row r="953" spans="1:11" x14ac:dyDescent="0.3">
      <c r="A953" s="5" t="s">
        <v>43</v>
      </c>
      <c r="B953" s="6">
        <v>40261</v>
      </c>
      <c r="C953" s="5">
        <f t="shared" si="73"/>
        <v>13</v>
      </c>
      <c r="D953" s="5">
        <f t="shared" si="70"/>
        <v>3</v>
      </c>
      <c r="E953" s="5">
        <f t="shared" si="71"/>
        <v>2010</v>
      </c>
      <c r="F953" s="5" t="s">
        <v>23</v>
      </c>
      <c r="G953" s="5" t="s">
        <v>8</v>
      </c>
      <c r="H953" s="7">
        <v>175078.74</v>
      </c>
      <c r="I953" s="7">
        <v>183043.43</v>
      </c>
      <c r="J953" s="7">
        <f t="shared" si="72"/>
        <v>7964.6900000000023</v>
      </c>
      <c r="K953" s="8">
        <f t="shared" si="74"/>
        <v>4.5492045464800596E-2</v>
      </c>
    </row>
    <row r="954" spans="1:11" x14ac:dyDescent="0.3">
      <c r="A954" s="5" t="s">
        <v>43</v>
      </c>
      <c r="B954" s="6">
        <v>40261</v>
      </c>
      <c r="C954" s="5">
        <f t="shared" si="73"/>
        <v>13</v>
      </c>
      <c r="D954" s="5">
        <f t="shared" si="70"/>
        <v>3</v>
      </c>
      <c r="E954" s="5">
        <f t="shared" si="71"/>
        <v>2010</v>
      </c>
      <c r="F954" s="5" t="s">
        <v>24</v>
      </c>
      <c r="G954" s="5" t="s">
        <v>8</v>
      </c>
      <c r="H954" s="7">
        <v>143529</v>
      </c>
      <c r="I954" s="7">
        <v>150238</v>
      </c>
      <c r="J954" s="7">
        <f t="shared" si="72"/>
        <v>6709</v>
      </c>
      <c r="K954" s="8">
        <f t="shared" si="74"/>
        <v>4.6743166886134509E-2</v>
      </c>
    </row>
    <row r="955" spans="1:11" x14ac:dyDescent="0.3">
      <c r="A955" s="5" t="s">
        <v>43</v>
      </c>
      <c r="B955" s="6">
        <v>40261</v>
      </c>
      <c r="C955" s="5">
        <f t="shared" si="73"/>
        <v>13</v>
      </c>
      <c r="D955" s="5">
        <f t="shared" si="70"/>
        <v>3</v>
      </c>
      <c r="E955" s="5">
        <f t="shared" si="71"/>
        <v>2010</v>
      </c>
      <c r="F955" s="5" t="s">
        <v>25</v>
      </c>
      <c r="G955" s="5" t="s">
        <v>8</v>
      </c>
      <c r="H955" s="7">
        <v>1877.4</v>
      </c>
      <c r="I955" s="7">
        <v>2029.18</v>
      </c>
      <c r="J955" s="7">
        <f t="shared" si="72"/>
        <v>151.77999999999997</v>
      </c>
      <c r="K955" s="8">
        <f t="shared" si="74"/>
        <v>8.0845850644508346E-2</v>
      </c>
    </row>
    <row r="956" spans="1:11" x14ac:dyDescent="0.3">
      <c r="A956" s="5" t="s">
        <v>43</v>
      </c>
      <c r="B956" s="6">
        <v>40261</v>
      </c>
      <c r="C956" s="5">
        <f t="shared" si="73"/>
        <v>13</v>
      </c>
      <c r="D956" s="5">
        <f t="shared" si="70"/>
        <v>3</v>
      </c>
      <c r="E956" s="5">
        <f t="shared" si="71"/>
        <v>2010</v>
      </c>
      <c r="F956" s="5" t="s">
        <v>26</v>
      </c>
      <c r="G956" s="5" t="s">
        <v>10</v>
      </c>
      <c r="H956" s="7">
        <v>2600</v>
      </c>
      <c r="I956" s="7">
        <v>2991.71</v>
      </c>
      <c r="J956" s="7">
        <f t="shared" si="72"/>
        <v>391.71000000000004</v>
      </c>
      <c r="K956" s="8">
        <f t="shared" si="74"/>
        <v>0.15065769230769233</v>
      </c>
    </row>
    <row r="957" spans="1:11" x14ac:dyDescent="0.3">
      <c r="A957" s="5" t="s">
        <v>43</v>
      </c>
      <c r="B957" s="6">
        <v>40261</v>
      </c>
      <c r="C957" s="5">
        <f t="shared" si="73"/>
        <v>13</v>
      </c>
      <c r="D957" s="5">
        <f t="shared" si="70"/>
        <v>3</v>
      </c>
      <c r="E957" s="5">
        <f t="shared" si="71"/>
        <v>2010</v>
      </c>
      <c r="F957" s="5" t="s">
        <v>27</v>
      </c>
      <c r="G957" s="5" t="s">
        <v>10</v>
      </c>
      <c r="H957" s="7">
        <v>111383.6</v>
      </c>
      <c r="I957" s="7">
        <v>125165.36</v>
      </c>
      <c r="J957" s="7">
        <f t="shared" si="72"/>
        <v>13781.759999999995</v>
      </c>
      <c r="K957" s="8">
        <f t="shared" si="74"/>
        <v>0.12373239866551264</v>
      </c>
    </row>
    <row r="958" spans="1:11" x14ac:dyDescent="0.3">
      <c r="A958" s="5" t="s">
        <v>43</v>
      </c>
      <c r="B958" s="6">
        <v>40261</v>
      </c>
      <c r="C958" s="5">
        <f t="shared" si="73"/>
        <v>13</v>
      </c>
      <c r="D958" s="5">
        <f t="shared" si="70"/>
        <v>3</v>
      </c>
      <c r="E958" s="5">
        <f t="shared" si="71"/>
        <v>2010</v>
      </c>
      <c r="F958" s="5" t="s">
        <v>28</v>
      </c>
      <c r="G958" s="5" t="s">
        <v>10</v>
      </c>
      <c r="H958" s="7">
        <v>37939.730000000003</v>
      </c>
      <c r="I958" s="7">
        <v>41380.660000000003</v>
      </c>
      <c r="J958" s="7">
        <f t="shared" si="72"/>
        <v>3440.9300000000003</v>
      </c>
      <c r="K958" s="8">
        <f t="shared" si="74"/>
        <v>9.0694635939686449E-2</v>
      </c>
    </row>
    <row r="959" spans="1:11" x14ac:dyDescent="0.3">
      <c r="A959" s="5" t="s">
        <v>43</v>
      </c>
      <c r="B959" s="6">
        <v>40261</v>
      </c>
      <c r="C959" s="5">
        <f t="shared" si="73"/>
        <v>13</v>
      </c>
      <c r="D959" s="5">
        <f t="shared" si="70"/>
        <v>3</v>
      </c>
      <c r="E959" s="5">
        <f t="shared" si="71"/>
        <v>2010</v>
      </c>
      <c r="F959" s="5" t="s">
        <v>29</v>
      </c>
      <c r="G959" s="5" t="s">
        <v>10</v>
      </c>
      <c r="H959" s="7">
        <v>376326.3</v>
      </c>
      <c r="I959" s="7">
        <v>409529.82</v>
      </c>
      <c r="J959" s="7">
        <f t="shared" si="72"/>
        <v>33203.520000000019</v>
      </c>
      <c r="K959" s="8">
        <f t="shared" si="74"/>
        <v>8.8230665781264872E-2</v>
      </c>
    </row>
    <row r="960" spans="1:11" x14ac:dyDescent="0.3">
      <c r="A960" s="5" t="s">
        <v>43</v>
      </c>
      <c r="B960" s="6">
        <v>40261</v>
      </c>
      <c r="C960" s="5">
        <f t="shared" si="73"/>
        <v>13</v>
      </c>
      <c r="D960" s="5">
        <f t="shared" si="70"/>
        <v>3</v>
      </c>
      <c r="E960" s="5">
        <f t="shared" si="71"/>
        <v>2010</v>
      </c>
      <c r="F960" s="5" t="s">
        <v>30</v>
      </c>
      <c r="G960" s="5" t="s">
        <v>10</v>
      </c>
      <c r="H960" s="7">
        <v>47805.2</v>
      </c>
      <c r="I960" s="7">
        <v>55001.17</v>
      </c>
      <c r="J960" s="7">
        <f t="shared" si="72"/>
        <v>7195.9700000000012</v>
      </c>
      <c r="K960" s="8">
        <f t="shared" si="74"/>
        <v>0.15052693012475635</v>
      </c>
    </row>
    <row r="961" spans="1:11" x14ac:dyDescent="0.3">
      <c r="A961" s="5" t="s">
        <v>43</v>
      </c>
      <c r="B961" s="6">
        <v>40261</v>
      </c>
      <c r="C961" s="5">
        <f t="shared" si="73"/>
        <v>13</v>
      </c>
      <c r="D961" s="5">
        <f t="shared" si="70"/>
        <v>3</v>
      </c>
      <c r="E961" s="5">
        <f t="shared" si="71"/>
        <v>2010</v>
      </c>
      <c r="F961" s="5" t="s">
        <v>9</v>
      </c>
      <c r="G961" s="5" t="s">
        <v>9</v>
      </c>
      <c r="H961" s="7">
        <v>356687.52</v>
      </c>
      <c r="I961" s="7">
        <v>401786.44</v>
      </c>
      <c r="J961" s="7">
        <f t="shared" si="72"/>
        <v>45098.919999999984</v>
      </c>
      <c r="K961" s="8">
        <f t="shared" si="74"/>
        <v>0.12643817759589676</v>
      </c>
    </row>
    <row r="962" spans="1:11" x14ac:dyDescent="0.3">
      <c r="A962" s="5" t="s">
        <v>43</v>
      </c>
      <c r="B962" s="6">
        <v>40261</v>
      </c>
      <c r="C962" s="5">
        <f t="shared" si="73"/>
        <v>13</v>
      </c>
      <c r="D962" s="5">
        <f t="shared" ref="D962:D1025" si="75">MONTH(B962)</f>
        <v>3</v>
      </c>
      <c r="E962" s="5">
        <f t="shared" ref="E962:E1025" si="76">YEAR(B962)</f>
        <v>2010</v>
      </c>
      <c r="F962" s="5" t="s">
        <v>31</v>
      </c>
      <c r="G962" s="5" t="s">
        <v>7</v>
      </c>
      <c r="H962" s="7">
        <v>6309.71</v>
      </c>
      <c r="I962" s="7">
        <v>13771.07</v>
      </c>
      <c r="J962" s="7">
        <f t="shared" ref="J962:J1025" si="77">I962-H962</f>
        <v>7461.36</v>
      </c>
      <c r="K962" s="8">
        <f t="shared" si="74"/>
        <v>1.1825202743073771</v>
      </c>
    </row>
    <row r="963" spans="1:11" x14ac:dyDescent="0.3">
      <c r="A963" s="5" t="s">
        <v>43</v>
      </c>
      <c r="B963" s="6">
        <v>40261</v>
      </c>
      <c r="C963" s="5">
        <f t="shared" ref="C963:C1026" si="78">WEEKNUM(B963,1)</f>
        <v>13</v>
      </c>
      <c r="D963" s="5">
        <f t="shared" si="75"/>
        <v>3</v>
      </c>
      <c r="E963" s="5">
        <f t="shared" si="76"/>
        <v>2010</v>
      </c>
      <c r="F963" s="5" t="s">
        <v>33</v>
      </c>
      <c r="G963" s="5" t="s">
        <v>7</v>
      </c>
      <c r="H963" s="7">
        <v>141904.54999999999</v>
      </c>
      <c r="I963" s="7">
        <v>272894.49</v>
      </c>
      <c r="J963" s="7">
        <f t="shared" si="77"/>
        <v>130989.94</v>
      </c>
      <c r="K963" s="8">
        <f t="shared" ref="K963:K1026" si="79">(I963-H963)/H963</f>
        <v>0.92308484823072978</v>
      </c>
    </row>
    <row r="964" spans="1:11" x14ac:dyDescent="0.3">
      <c r="A964" s="5" t="s">
        <v>43</v>
      </c>
      <c r="B964" s="6">
        <v>40261</v>
      </c>
      <c r="C964" s="5">
        <f t="shared" si="78"/>
        <v>13</v>
      </c>
      <c r="D964" s="5">
        <f t="shared" si="75"/>
        <v>3</v>
      </c>
      <c r="E964" s="5">
        <f t="shared" si="76"/>
        <v>2010</v>
      </c>
      <c r="F964" s="5" t="s">
        <v>34</v>
      </c>
      <c r="G964" s="5" t="s">
        <v>7</v>
      </c>
      <c r="H964" s="7">
        <v>133</v>
      </c>
      <c r="I964" s="7">
        <v>412.93</v>
      </c>
      <c r="J964" s="7">
        <f t="shared" si="77"/>
        <v>279.93</v>
      </c>
      <c r="K964" s="8">
        <f t="shared" si="79"/>
        <v>2.1047368421052632</v>
      </c>
    </row>
    <row r="965" spans="1:11" x14ac:dyDescent="0.3">
      <c r="A965" s="5" t="s">
        <v>43</v>
      </c>
      <c r="B965" s="6">
        <v>40261</v>
      </c>
      <c r="C965" s="5">
        <f t="shared" si="78"/>
        <v>13</v>
      </c>
      <c r="D965" s="5">
        <f t="shared" si="75"/>
        <v>3</v>
      </c>
      <c r="E965" s="5">
        <f t="shared" si="76"/>
        <v>2010</v>
      </c>
      <c r="F965" s="5" t="s">
        <v>35</v>
      </c>
      <c r="G965" s="5" t="s">
        <v>11</v>
      </c>
      <c r="H965" s="7">
        <v>2482.12</v>
      </c>
      <c r="I965" s="7">
        <v>3228.15</v>
      </c>
      <c r="J965" s="7">
        <f t="shared" si="77"/>
        <v>746.0300000000002</v>
      </c>
      <c r="K965" s="8">
        <f t="shared" si="79"/>
        <v>0.30056161668251341</v>
      </c>
    </row>
    <row r="966" spans="1:11" x14ac:dyDescent="0.3">
      <c r="A966" s="5" t="s">
        <v>43</v>
      </c>
      <c r="B966" s="6">
        <v>40261</v>
      </c>
      <c r="C966" s="5">
        <f t="shared" si="78"/>
        <v>13</v>
      </c>
      <c r="D966" s="5">
        <f t="shared" si="75"/>
        <v>3</v>
      </c>
      <c r="E966" s="5">
        <f t="shared" si="76"/>
        <v>2010</v>
      </c>
      <c r="F966" s="5" t="s">
        <v>36</v>
      </c>
      <c r="G966" s="5" t="s">
        <v>11</v>
      </c>
      <c r="H966" s="7">
        <v>141861.28</v>
      </c>
      <c r="I966" s="7">
        <v>155236.89000000001</v>
      </c>
      <c r="J966" s="7">
        <f t="shared" si="77"/>
        <v>13375.610000000015</v>
      </c>
      <c r="K966" s="8">
        <f t="shared" si="79"/>
        <v>9.4286545278599032E-2</v>
      </c>
    </row>
    <row r="967" spans="1:11" x14ac:dyDescent="0.3">
      <c r="A967" s="5" t="s">
        <v>43</v>
      </c>
      <c r="B967" s="6">
        <v>40261</v>
      </c>
      <c r="C967" s="5">
        <f t="shared" si="78"/>
        <v>13</v>
      </c>
      <c r="D967" s="5">
        <f t="shared" si="75"/>
        <v>3</v>
      </c>
      <c r="E967" s="5">
        <f t="shared" si="76"/>
        <v>2010</v>
      </c>
      <c r="F967" s="5" t="s">
        <v>37</v>
      </c>
      <c r="G967" s="5" t="s">
        <v>11</v>
      </c>
      <c r="H967" s="7">
        <v>290082.96000000002</v>
      </c>
      <c r="I967" s="7">
        <v>310646.09000000003</v>
      </c>
      <c r="J967" s="7">
        <f t="shared" si="77"/>
        <v>20563.130000000005</v>
      </c>
      <c r="K967" s="8">
        <f t="shared" si="79"/>
        <v>7.0887066237878993E-2</v>
      </c>
    </row>
    <row r="968" spans="1:11" x14ac:dyDescent="0.3">
      <c r="A968" s="5" t="s">
        <v>43</v>
      </c>
      <c r="B968" s="6">
        <v>40261</v>
      </c>
      <c r="C968" s="5">
        <f t="shared" si="78"/>
        <v>13</v>
      </c>
      <c r="D968" s="5">
        <f t="shared" si="75"/>
        <v>3</v>
      </c>
      <c r="E968" s="5">
        <f t="shared" si="76"/>
        <v>2010</v>
      </c>
      <c r="F968" s="5" t="s">
        <v>38</v>
      </c>
      <c r="G968" s="5" t="s">
        <v>11</v>
      </c>
      <c r="H968" s="7">
        <v>294161.56</v>
      </c>
      <c r="I968" s="7">
        <v>305021.58</v>
      </c>
      <c r="J968" s="7">
        <f t="shared" si="77"/>
        <v>10860.020000000019</v>
      </c>
      <c r="K968" s="8">
        <f t="shared" si="79"/>
        <v>3.6918555911928191E-2</v>
      </c>
    </row>
    <row r="969" spans="1:11" x14ac:dyDescent="0.3">
      <c r="A969" s="5" t="s">
        <v>43</v>
      </c>
      <c r="B969" s="6">
        <v>40262</v>
      </c>
      <c r="C969" s="5">
        <f t="shared" si="78"/>
        <v>13</v>
      </c>
      <c r="D969" s="5">
        <f t="shared" si="75"/>
        <v>3</v>
      </c>
      <c r="E969" s="5">
        <f t="shared" si="76"/>
        <v>2010</v>
      </c>
      <c r="F969" s="5" t="s">
        <v>14</v>
      </c>
      <c r="G969" s="5" t="s">
        <v>6</v>
      </c>
      <c r="H969" s="7">
        <v>5874.99</v>
      </c>
      <c r="I969" s="7">
        <v>7191.38</v>
      </c>
      <c r="J969" s="7">
        <f t="shared" si="77"/>
        <v>1316.3900000000003</v>
      </c>
      <c r="K969" s="8">
        <f t="shared" si="79"/>
        <v>0.2240667643689607</v>
      </c>
    </row>
    <row r="970" spans="1:11" x14ac:dyDescent="0.3">
      <c r="A970" s="5" t="s">
        <v>43</v>
      </c>
      <c r="B970" s="6">
        <v>40262</v>
      </c>
      <c r="C970" s="5">
        <f t="shared" si="78"/>
        <v>13</v>
      </c>
      <c r="D970" s="5">
        <f t="shared" si="75"/>
        <v>3</v>
      </c>
      <c r="E970" s="5">
        <f t="shared" si="76"/>
        <v>2010</v>
      </c>
      <c r="F970" s="5" t="s">
        <v>15</v>
      </c>
      <c r="G970" s="5" t="s">
        <v>6</v>
      </c>
      <c r="H970" s="7">
        <v>178937.21</v>
      </c>
      <c r="I970" s="7">
        <v>268766.62</v>
      </c>
      <c r="J970" s="7">
        <f t="shared" si="77"/>
        <v>89829.41</v>
      </c>
      <c r="K970" s="8">
        <f t="shared" si="79"/>
        <v>0.50201637770031182</v>
      </c>
    </row>
    <row r="971" spans="1:11" x14ac:dyDescent="0.3">
      <c r="A971" s="5" t="s">
        <v>43</v>
      </c>
      <c r="B971" s="6">
        <v>40262</v>
      </c>
      <c r="C971" s="5">
        <f t="shared" si="78"/>
        <v>13</v>
      </c>
      <c r="D971" s="5">
        <f t="shared" si="75"/>
        <v>3</v>
      </c>
      <c r="E971" s="5">
        <f t="shared" si="76"/>
        <v>2010</v>
      </c>
      <c r="F971" s="5" t="s">
        <v>16</v>
      </c>
      <c r="G971" s="5" t="s">
        <v>6</v>
      </c>
      <c r="H971" s="7">
        <v>102810.83</v>
      </c>
      <c r="I971" s="7">
        <v>114794.87</v>
      </c>
      <c r="J971" s="7">
        <f t="shared" si="77"/>
        <v>11984.039999999994</v>
      </c>
      <c r="K971" s="8">
        <f t="shared" si="79"/>
        <v>0.11656398455298915</v>
      </c>
    </row>
    <row r="972" spans="1:11" x14ac:dyDescent="0.3">
      <c r="A972" s="5" t="s">
        <v>43</v>
      </c>
      <c r="B972" s="6">
        <v>40262</v>
      </c>
      <c r="C972" s="5">
        <f t="shared" si="78"/>
        <v>13</v>
      </c>
      <c r="D972" s="5">
        <f t="shared" si="75"/>
        <v>3</v>
      </c>
      <c r="E972" s="5">
        <f t="shared" si="76"/>
        <v>2010</v>
      </c>
      <c r="F972" s="5" t="s">
        <v>19</v>
      </c>
      <c r="G972" s="5" t="s">
        <v>5</v>
      </c>
      <c r="H972" s="7">
        <v>73731.39</v>
      </c>
      <c r="I972" s="7">
        <v>81280.42</v>
      </c>
      <c r="J972" s="7">
        <f t="shared" si="77"/>
        <v>7549.0299999999988</v>
      </c>
      <c r="K972" s="8">
        <f t="shared" si="79"/>
        <v>0.10238556468283046</v>
      </c>
    </row>
    <row r="973" spans="1:11" x14ac:dyDescent="0.3">
      <c r="A973" s="5" t="s">
        <v>43</v>
      </c>
      <c r="B973" s="6">
        <v>40262</v>
      </c>
      <c r="C973" s="5">
        <f t="shared" si="78"/>
        <v>13</v>
      </c>
      <c r="D973" s="5">
        <f t="shared" si="75"/>
        <v>3</v>
      </c>
      <c r="E973" s="5">
        <f t="shared" si="76"/>
        <v>2010</v>
      </c>
      <c r="F973" s="5" t="s">
        <v>5</v>
      </c>
      <c r="G973" s="5" t="s">
        <v>5</v>
      </c>
      <c r="H973" s="7">
        <v>399387.25</v>
      </c>
      <c r="I973" s="7">
        <v>435433.25</v>
      </c>
      <c r="J973" s="7">
        <f t="shared" si="77"/>
        <v>36046</v>
      </c>
      <c r="K973" s="8">
        <f t="shared" si="79"/>
        <v>9.0253256707618981E-2</v>
      </c>
    </row>
    <row r="974" spans="1:11" x14ac:dyDescent="0.3">
      <c r="A974" s="5" t="s">
        <v>43</v>
      </c>
      <c r="B974" s="6">
        <v>40262</v>
      </c>
      <c r="C974" s="5">
        <f t="shared" si="78"/>
        <v>13</v>
      </c>
      <c r="D974" s="5">
        <f t="shared" si="75"/>
        <v>3</v>
      </c>
      <c r="E974" s="5">
        <f t="shared" si="76"/>
        <v>2010</v>
      </c>
      <c r="F974" s="5" t="s">
        <v>20</v>
      </c>
      <c r="G974" s="5" t="s">
        <v>5</v>
      </c>
      <c r="H974" s="7">
        <v>99881.22</v>
      </c>
      <c r="I974" s="7">
        <v>108903.86</v>
      </c>
      <c r="J974" s="7">
        <f t="shared" si="77"/>
        <v>9022.64</v>
      </c>
      <c r="K974" s="8">
        <f t="shared" si="79"/>
        <v>9.033369836692022E-2</v>
      </c>
    </row>
    <row r="975" spans="1:11" x14ac:dyDescent="0.3">
      <c r="A975" s="5" t="s">
        <v>43</v>
      </c>
      <c r="B975" s="6">
        <v>40262</v>
      </c>
      <c r="C975" s="5">
        <f t="shared" si="78"/>
        <v>13</v>
      </c>
      <c r="D975" s="5">
        <f t="shared" si="75"/>
        <v>3</v>
      </c>
      <c r="E975" s="5">
        <f t="shared" si="76"/>
        <v>2010</v>
      </c>
      <c r="F975" s="5" t="s">
        <v>21</v>
      </c>
      <c r="G975" s="5" t="s">
        <v>5</v>
      </c>
      <c r="H975" s="7">
        <v>109292.5</v>
      </c>
      <c r="I975" s="7">
        <v>116771.27</v>
      </c>
      <c r="J975" s="7">
        <f t="shared" si="77"/>
        <v>7478.7700000000041</v>
      </c>
      <c r="K975" s="8">
        <f t="shared" si="79"/>
        <v>6.8428940686689421E-2</v>
      </c>
    </row>
    <row r="976" spans="1:11" x14ac:dyDescent="0.3">
      <c r="A976" s="5" t="s">
        <v>43</v>
      </c>
      <c r="B976" s="6">
        <v>40262</v>
      </c>
      <c r="C976" s="5">
        <f t="shared" si="78"/>
        <v>13</v>
      </c>
      <c r="D976" s="5">
        <f t="shared" si="75"/>
        <v>3</v>
      </c>
      <c r="E976" s="5">
        <f t="shared" si="76"/>
        <v>2010</v>
      </c>
      <c r="F976" s="5" t="s">
        <v>22</v>
      </c>
      <c r="G976" s="5" t="s">
        <v>8</v>
      </c>
      <c r="H976" s="7">
        <v>383887</v>
      </c>
      <c r="I976" s="7">
        <v>414008.65</v>
      </c>
      <c r="J976" s="7">
        <f t="shared" si="77"/>
        <v>30121.650000000023</v>
      </c>
      <c r="K976" s="8">
        <f t="shared" si="79"/>
        <v>7.8464886802626879E-2</v>
      </c>
    </row>
    <row r="977" spans="1:11" x14ac:dyDescent="0.3">
      <c r="A977" s="5" t="s">
        <v>43</v>
      </c>
      <c r="B977" s="6">
        <v>40262</v>
      </c>
      <c r="C977" s="5">
        <f t="shared" si="78"/>
        <v>13</v>
      </c>
      <c r="D977" s="5">
        <f t="shared" si="75"/>
        <v>3</v>
      </c>
      <c r="E977" s="5">
        <f t="shared" si="76"/>
        <v>2010</v>
      </c>
      <c r="F977" s="5" t="s">
        <v>23</v>
      </c>
      <c r="G977" s="5" t="s">
        <v>8</v>
      </c>
      <c r="H977" s="7">
        <v>178878.84</v>
      </c>
      <c r="I977" s="7">
        <v>186401.06</v>
      </c>
      <c r="J977" s="7">
        <f t="shared" si="77"/>
        <v>7522.2200000000012</v>
      </c>
      <c r="K977" s="8">
        <f t="shared" si="79"/>
        <v>4.2052039246229467E-2</v>
      </c>
    </row>
    <row r="978" spans="1:11" x14ac:dyDescent="0.3">
      <c r="A978" s="5" t="s">
        <v>43</v>
      </c>
      <c r="B978" s="6">
        <v>40262</v>
      </c>
      <c r="C978" s="5">
        <f t="shared" si="78"/>
        <v>13</v>
      </c>
      <c r="D978" s="5">
        <f t="shared" si="75"/>
        <v>3</v>
      </c>
      <c r="E978" s="5">
        <f t="shared" si="76"/>
        <v>2010</v>
      </c>
      <c r="F978" s="5" t="s">
        <v>24</v>
      </c>
      <c r="G978" s="5" t="s">
        <v>8</v>
      </c>
      <c r="H978" s="7">
        <v>126110</v>
      </c>
      <c r="I978" s="7">
        <v>132505.65</v>
      </c>
      <c r="J978" s="7">
        <f t="shared" si="77"/>
        <v>6395.6499999999942</v>
      </c>
      <c r="K978" s="8">
        <f t="shared" si="79"/>
        <v>5.0714852113234433E-2</v>
      </c>
    </row>
    <row r="979" spans="1:11" x14ac:dyDescent="0.3">
      <c r="A979" s="5" t="s">
        <v>43</v>
      </c>
      <c r="B979" s="6">
        <v>40262</v>
      </c>
      <c r="C979" s="5">
        <f t="shared" si="78"/>
        <v>13</v>
      </c>
      <c r="D979" s="5">
        <f t="shared" si="75"/>
        <v>3</v>
      </c>
      <c r="E979" s="5">
        <f t="shared" si="76"/>
        <v>2010</v>
      </c>
      <c r="F979" s="5" t="s">
        <v>25</v>
      </c>
      <c r="G979" s="5" t="s">
        <v>8</v>
      </c>
      <c r="H979" s="7">
        <v>7783.8</v>
      </c>
      <c r="I979" s="7">
        <v>7879.97</v>
      </c>
      <c r="J979" s="7">
        <f t="shared" si="77"/>
        <v>96.170000000000073</v>
      </c>
      <c r="K979" s="8">
        <f t="shared" si="79"/>
        <v>1.2355147871219722E-2</v>
      </c>
    </row>
    <row r="980" spans="1:11" x14ac:dyDescent="0.3">
      <c r="A980" s="5" t="s">
        <v>43</v>
      </c>
      <c r="B980" s="6">
        <v>40262</v>
      </c>
      <c r="C980" s="5">
        <f t="shared" si="78"/>
        <v>13</v>
      </c>
      <c r="D980" s="5">
        <f t="shared" si="75"/>
        <v>3</v>
      </c>
      <c r="E980" s="5">
        <f t="shared" si="76"/>
        <v>2010</v>
      </c>
      <c r="F980" s="5" t="s">
        <v>26</v>
      </c>
      <c r="G980" s="5" t="s">
        <v>10</v>
      </c>
      <c r="H980" s="7">
        <v>2600</v>
      </c>
      <c r="I980" s="7">
        <v>2906.96</v>
      </c>
      <c r="J980" s="7">
        <f t="shared" si="77"/>
        <v>306.96000000000004</v>
      </c>
      <c r="K980" s="8">
        <f t="shared" si="79"/>
        <v>0.11806153846153848</v>
      </c>
    </row>
    <row r="981" spans="1:11" x14ac:dyDescent="0.3">
      <c r="A981" s="5" t="s">
        <v>43</v>
      </c>
      <c r="B981" s="6">
        <v>40262</v>
      </c>
      <c r="C981" s="5">
        <f t="shared" si="78"/>
        <v>13</v>
      </c>
      <c r="D981" s="5">
        <f t="shared" si="75"/>
        <v>3</v>
      </c>
      <c r="E981" s="5">
        <f t="shared" si="76"/>
        <v>2010</v>
      </c>
      <c r="F981" s="5" t="s">
        <v>27</v>
      </c>
      <c r="G981" s="5" t="s">
        <v>10</v>
      </c>
      <c r="H981" s="7">
        <v>103960.86</v>
      </c>
      <c r="I981" s="7">
        <v>117424.97</v>
      </c>
      <c r="J981" s="7">
        <f t="shared" si="77"/>
        <v>13464.11</v>
      </c>
      <c r="K981" s="8">
        <f t="shared" si="79"/>
        <v>0.12951133724749872</v>
      </c>
    </row>
    <row r="982" spans="1:11" x14ac:dyDescent="0.3">
      <c r="A982" s="5" t="s">
        <v>43</v>
      </c>
      <c r="B982" s="6">
        <v>40262</v>
      </c>
      <c r="C982" s="5">
        <f t="shared" si="78"/>
        <v>13</v>
      </c>
      <c r="D982" s="5">
        <f t="shared" si="75"/>
        <v>3</v>
      </c>
      <c r="E982" s="5">
        <f t="shared" si="76"/>
        <v>2010</v>
      </c>
      <c r="F982" s="5" t="s">
        <v>28</v>
      </c>
      <c r="G982" s="5" t="s">
        <v>10</v>
      </c>
      <c r="H982" s="7">
        <v>88390.63</v>
      </c>
      <c r="I982" s="7">
        <v>99392.07</v>
      </c>
      <c r="J982" s="7">
        <f t="shared" si="77"/>
        <v>11001.440000000002</v>
      </c>
      <c r="K982" s="8">
        <f t="shared" si="79"/>
        <v>0.12446387134020882</v>
      </c>
    </row>
    <row r="983" spans="1:11" x14ac:dyDescent="0.3">
      <c r="A983" s="5" t="s">
        <v>43</v>
      </c>
      <c r="B983" s="6">
        <v>40262</v>
      </c>
      <c r="C983" s="5">
        <f t="shared" si="78"/>
        <v>13</v>
      </c>
      <c r="D983" s="5">
        <f t="shared" si="75"/>
        <v>3</v>
      </c>
      <c r="E983" s="5">
        <f t="shared" si="76"/>
        <v>2010</v>
      </c>
      <c r="F983" s="5" t="s">
        <v>29</v>
      </c>
      <c r="G983" s="5" t="s">
        <v>10</v>
      </c>
      <c r="H983" s="7">
        <v>395567.2</v>
      </c>
      <c r="I983" s="7">
        <v>430446.55</v>
      </c>
      <c r="J983" s="7">
        <f t="shared" si="77"/>
        <v>34879.349999999977</v>
      </c>
      <c r="K983" s="8">
        <f t="shared" si="79"/>
        <v>8.8175536293201198E-2</v>
      </c>
    </row>
    <row r="984" spans="1:11" x14ac:dyDescent="0.3">
      <c r="A984" s="5" t="s">
        <v>43</v>
      </c>
      <c r="B984" s="6">
        <v>40262</v>
      </c>
      <c r="C984" s="5">
        <f t="shared" si="78"/>
        <v>13</v>
      </c>
      <c r="D984" s="5">
        <f t="shared" si="75"/>
        <v>3</v>
      </c>
      <c r="E984" s="5">
        <f t="shared" si="76"/>
        <v>2010</v>
      </c>
      <c r="F984" s="5" t="s">
        <v>30</v>
      </c>
      <c r="G984" s="5" t="s">
        <v>10</v>
      </c>
      <c r="H984" s="7">
        <v>51359.12</v>
      </c>
      <c r="I984" s="7">
        <v>59088.72</v>
      </c>
      <c r="J984" s="7">
        <f t="shared" si="77"/>
        <v>7729.5999999999985</v>
      </c>
      <c r="K984" s="8">
        <f t="shared" si="79"/>
        <v>0.1505010210455319</v>
      </c>
    </row>
    <row r="985" spans="1:11" x14ac:dyDescent="0.3">
      <c r="A985" s="5" t="s">
        <v>43</v>
      </c>
      <c r="B985" s="6">
        <v>40262</v>
      </c>
      <c r="C985" s="5">
        <f t="shared" si="78"/>
        <v>13</v>
      </c>
      <c r="D985" s="5">
        <f t="shared" si="75"/>
        <v>3</v>
      </c>
      <c r="E985" s="5">
        <f t="shared" si="76"/>
        <v>2010</v>
      </c>
      <c r="F985" s="5" t="s">
        <v>9</v>
      </c>
      <c r="G985" s="5" t="s">
        <v>9</v>
      </c>
      <c r="H985" s="7">
        <v>399010.95</v>
      </c>
      <c r="I985" s="7">
        <v>457483.35</v>
      </c>
      <c r="J985" s="7">
        <f t="shared" si="77"/>
        <v>58472.399999999965</v>
      </c>
      <c r="K985" s="8">
        <f t="shared" si="79"/>
        <v>0.14654334674273967</v>
      </c>
    </row>
    <row r="986" spans="1:11" x14ac:dyDescent="0.3">
      <c r="A986" s="5" t="s">
        <v>43</v>
      </c>
      <c r="B986" s="6">
        <v>40262</v>
      </c>
      <c r="C986" s="5">
        <f t="shared" si="78"/>
        <v>13</v>
      </c>
      <c r="D986" s="5">
        <f t="shared" si="75"/>
        <v>3</v>
      </c>
      <c r="E986" s="5">
        <f t="shared" si="76"/>
        <v>2010</v>
      </c>
      <c r="F986" s="5" t="s">
        <v>31</v>
      </c>
      <c r="G986" s="5" t="s">
        <v>7</v>
      </c>
      <c r="H986" s="7">
        <v>8381.64</v>
      </c>
      <c r="I986" s="7">
        <v>18251.14</v>
      </c>
      <c r="J986" s="7">
        <f t="shared" si="77"/>
        <v>9869.5</v>
      </c>
      <c r="K986" s="8">
        <f t="shared" si="79"/>
        <v>1.1775141857679405</v>
      </c>
    </row>
    <row r="987" spans="1:11" x14ac:dyDescent="0.3">
      <c r="A987" s="5" t="s">
        <v>43</v>
      </c>
      <c r="B987" s="6">
        <v>40262</v>
      </c>
      <c r="C987" s="5">
        <f t="shared" si="78"/>
        <v>13</v>
      </c>
      <c r="D987" s="5">
        <f t="shared" si="75"/>
        <v>3</v>
      </c>
      <c r="E987" s="5">
        <f t="shared" si="76"/>
        <v>2010</v>
      </c>
      <c r="F987" s="5" t="s">
        <v>32</v>
      </c>
      <c r="G987" s="5" t="s">
        <v>7</v>
      </c>
      <c r="H987" s="7">
        <v>7486.95</v>
      </c>
      <c r="I987" s="7">
        <v>8272.92</v>
      </c>
      <c r="J987" s="7">
        <f t="shared" si="77"/>
        <v>785.97000000000025</v>
      </c>
      <c r="K987" s="8">
        <f t="shared" si="79"/>
        <v>0.10497866287339976</v>
      </c>
    </row>
    <row r="988" spans="1:11" x14ac:dyDescent="0.3">
      <c r="A988" s="5" t="s">
        <v>43</v>
      </c>
      <c r="B988" s="6">
        <v>40262</v>
      </c>
      <c r="C988" s="5">
        <f t="shared" si="78"/>
        <v>13</v>
      </c>
      <c r="D988" s="5">
        <f t="shared" si="75"/>
        <v>3</v>
      </c>
      <c r="E988" s="5">
        <f t="shared" si="76"/>
        <v>2010</v>
      </c>
      <c r="F988" s="5" t="s">
        <v>33</v>
      </c>
      <c r="G988" s="5" t="s">
        <v>7</v>
      </c>
      <c r="H988" s="7">
        <v>159627.73000000001</v>
      </c>
      <c r="I988" s="7">
        <v>309830.59999999998</v>
      </c>
      <c r="J988" s="7">
        <f t="shared" si="77"/>
        <v>150202.86999999997</v>
      </c>
      <c r="K988" s="8">
        <f t="shared" si="79"/>
        <v>0.94095725097387506</v>
      </c>
    </row>
    <row r="989" spans="1:11" x14ac:dyDescent="0.3">
      <c r="A989" s="5" t="s">
        <v>43</v>
      </c>
      <c r="B989" s="6">
        <v>40262</v>
      </c>
      <c r="C989" s="5">
        <f t="shared" si="78"/>
        <v>13</v>
      </c>
      <c r="D989" s="5">
        <f t="shared" si="75"/>
        <v>3</v>
      </c>
      <c r="E989" s="5">
        <f t="shared" si="76"/>
        <v>2010</v>
      </c>
      <c r="F989" s="5" t="s">
        <v>34</v>
      </c>
      <c r="G989" s="5" t="s">
        <v>7</v>
      </c>
      <c r="H989" s="7">
        <v>38</v>
      </c>
      <c r="I989" s="7">
        <v>117.95</v>
      </c>
      <c r="J989" s="7">
        <f t="shared" si="77"/>
        <v>79.95</v>
      </c>
      <c r="K989" s="8">
        <f t="shared" si="79"/>
        <v>2.1039473684210526</v>
      </c>
    </row>
    <row r="990" spans="1:11" x14ac:dyDescent="0.3">
      <c r="A990" s="5" t="s">
        <v>43</v>
      </c>
      <c r="B990" s="6">
        <v>40262</v>
      </c>
      <c r="C990" s="5">
        <f t="shared" si="78"/>
        <v>13</v>
      </c>
      <c r="D990" s="5">
        <f t="shared" si="75"/>
        <v>3</v>
      </c>
      <c r="E990" s="5">
        <f t="shared" si="76"/>
        <v>2010</v>
      </c>
      <c r="F990" s="5" t="s">
        <v>35</v>
      </c>
      <c r="G990" s="5" t="s">
        <v>11</v>
      </c>
      <c r="H990" s="7">
        <v>1056.5999999999999</v>
      </c>
      <c r="I990" s="7">
        <v>1373.96</v>
      </c>
      <c r="J990" s="7">
        <f t="shared" si="77"/>
        <v>317.36000000000013</v>
      </c>
      <c r="K990" s="8">
        <f t="shared" si="79"/>
        <v>0.30035964414158639</v>
      </c>
    </row>
    <row r="991" spans="1:11" x14ac:dyDescent="0.3">
      <c r="A991" s="5" t="s">
        <v>43</v>
      </c>
      <c r="B991" s="6">
        <v>40262</v>
      </c>
      <c r="C991" s="5">
        <f t="shared" si="78"/>
        <v>13</v>
      </c>
      <c r="D991" s="5">
        <f t="shared" si="75"/>
        <v>3</v>
      </c>
      <c r="E991" s="5">
        <f t="shared" si="76"/>
        <v>2010</v>
      </c>
      <c r="F991" s="5" t="s">
        <v>36</v>
      </c>
      <c r="G991" s="5" t="s">
        <v>11</v>
      </c>
      <c r="H991" s="7">
        <v>122428.2</v>
      </c>
      <c r="I991" s="7">
        <v>130572.38</v>
      </c>
      <c r="J991" s="7">
        <f t="shared" si="77"/>
        <v>8144.1800000000076</v>
      </c>
      <c r="K991" s="8">
        <f t="shared" si="79"/>
        <v>6.652209213236826E-2</v>
      </c>
    </row>
    <row r="992" spans="1:11" x14ac:dyDescent="0.3">
      <c r="A992" s="5" t="s">
        <v>43</v>
      </c>
      <c r="B992" s="6">
        <v>40262</v>
      </c>
      <c r="C992" s="5">
        <f t="shared" si="78"/>
        <v>13</v>
      </c>
      <c r="D992" s="5">
        <f t="shared" si="75"/>
        <v>3</v>
      </c>
      <c r="E992" s="5">
        <f t="shared" si="76"/>
        <v>2010</v>
      </c>
      <c r="F992" s="5" t="s">
        <v>37</v>
      </c>
      <c r="G992" s="5" t="s">
        <v>11</v>
      </c>
      <c r="H992" s="7">
        <v>238135.11</v>
      </c>
      <c r="I992" s="7">
        <v>254681.57</v>
      </c>
      <c r="J992" s="7">
        <f t="shared" si="77"/>
        <v>16546.460000000021</v>
      </c>
      <c r="K992" s="8">
        <f t="shared" si="79"/>
        <v>6.9483496154767024E-2</v>
      </c>
    </row>
    <row r="993" spans="1:11" x14ac:dyDescent="0.3">
      <c r="A993" s="5" t="s">
        <v>43</v>
      </c>
      <c r="B993" s="6">
        <v>40262</v>
      </c>
      <c r="C993" s="5">
        <f t="shared" si="78"/>
        <v>13</v>
      </c>
      <c r="D993" s="5">
        <f t="shared" si="75"/>
        <v>3</v>
      </c>
      <c r="E993" s="5">
        <f t="shared" si="76"/>
        <v>2010</v>
      </c>
      <c r="F993" s="5" t="s">
        <v>38</v>
      </c>
      <c r="G993" s="5" t="s">
        <v>11</v>
      </c>
      <c r="H993" s="7">
        <v>177953.89</v>
      </c>
      <c r="I993" s="7">
        <v>180601.44</v>
      </c>
      <c r="J993" s="7">
        <f t="shared" si="77"/>
        <v>2647.5499999999884</v>
      </c>
      <c r="K993" s="8">
        <f t="shared" si="79"/>
        <v>1.4877730405331337E-2</v>
      </c>
    </row>
    <row r="994" spans="1:11" x14ac:dyDescent="0.3">
      <c r="A994" s="5" t="s">
        <v>43</v>
      </c>
      <c r="B994" s="6">
        <v>40263</v>
      </c>
      <c r="C994" s="5">
        <f t="shared" si="78"/>
        <v>13</v>
      </c>
      <c r="D994" s="5">
        <f t="shared" si="75"/>
        <v>3</v>
      </c>
      <c r="E994" s="5">
        <f t="shared" si="76"/>
        <v>2010</v>
      </c>
      <c r="F994" s="5" t="s">
        <v>14</v>
      </c>
      <c r="G994" s="5" t="s">
        <v>6</v>
      </c>
      <c r="H994" s="7">
        <v>9448.9500000000007</v>
      </c>
      <c r="I994" s="7">
        <v>11508.12</v>
      </c>
      <c r="J994" s="7">
        <f t="shared" si="77"/>
        <v>2059.17</v>
      </c>
      <c r="K994" s="8">
        <f t="shared" si="79"/>
        <v>0.21792580127950723</v>
      </c>
    </row>
    <row r="995" spans="1:11" x14ac:dyDescent="0.3">
      <c r="A995" s="5" t="s">
        <v>43</v>
      </c>
      <c r="B995" s="6">
        <v>40263</v>
      </c>
      <c r="C995" s="5">
        <f t="shared" si="78"/>
        <v>13</v>
      </c>
      <c r="D995" s="5">
        <f t="shared" si="75"/>
        <v>3</v>
      </c>
      <c r="E995" s="5">
        <f t="shared" si="76"/>
        <v>2010</v>
      </c>
      <c r="F995" s="5" t="s">
        <v>15</v>
      </c>
      <c r="G995" s="5" t="s">
        <v>6</v>
      </c>
      <c r="H995" s="7">
        <v>211130.26</v>
      </c>
      <c r="I995" s="7">
        <v>301219.90000000002</v>
      </c>
      <c r="J995" s="7">
        <f t="shared" si="77"/>
        <v>90089.640000000014</v>
      </c>
      <c r="K995" s="8">
        <f t="shared" si="79"/>
        <v>0.42670169591038259</v>
      </c>
    </row>
    <row r="996" spans="1:11" x14ac:dyDescent="0.3">
      <c r="A996" s="5" t="s">
        <v>43</v>
      </c>
      <c r="B996" s="6">
        <v>40263</v>
      </c>
      <c r="C996" s="5">
        <f t="shared" si="78"/>
        <v>13</v>
      </c>
      <c r="D996" s="5">
        <f t="shared" si="75"/>
        <v>3</v>
      </c>
      <c r="E996" s="5">
        <f t="shared" si="76"/>
        <v>2010</v>
      </c>
      <c r="F996" s="5" t="s">
        <v>16</v>
      </c>
      <c r="G996" s="5" t="s">
        <v>6</v>
      </c>
      <c r="H996" s="7">
        <v>118570.24000000001</v>
      </c>
      <c r="I996" s="7">
        <v>131144.41</v>
      </c>
      <c r="J996" s="7">
        <f t="shared" si="77"/>
        <v>12574.169999999998</v>
      </c>
      <c r="K996" s="8">
        <f t="shared" si="79"/>
        <v>0.10604827990564916</v>
      </c>
    </row>
    <row r="997" spans="1:11" x14ac:dyDescent="0.3">
      <c r="A997" s="5" t="s">
        <v>43</v>
      </c>
      <c r="B997" s="6">
        <v>40263</v>
      </c>
      <c r="C997" s="5">
        <f t="shared" si="78"/>
        <v>13</v>
      </c>
      <c r="D997" s="5">
        <f t="shared" si="75"/>
        <v>3</v>
      </c>
      <c r="E997" s="5">
        <f t="shared" si="76"/>
        <v>2010</v>
      </c>
      <c r="F997" s="5" t="s">
        <v>18</v>
      </c>
      <c r="G997" s="5" t="s">
        <v>6</v>
      </c>
      <c r="H997" s="7">
        <v>1760</v>
      </c>
      <c r="I997" s="7">
        <v>2023.98</v>
      </c>
      <c r="J997" s="7">
        <f t="shared" si="77"/>
        <v>263.98</v>
      </c>
      <c r="K997" s="8">
        <f t="shared" si="79"/>
        <v>0.14998863636363638</v>
      </c>
    </row>
    <row r="998" spans="1:11" x14ac:dyDescent="0.3">
      <c r="A998" s="5" t="s">
        <v>43</v>
      </c>
      <c r="B998" s="6">
        <v>40263</v>
      </c>
      <c r="C998" s="5">
        <f t="shared" si="78"/>
        <v>13</v>
      </c>
      <c r="D998" s="5">
        <f t="shared" si="75"/>
        <v>3</v>
      </c>
      <c r="E998" s="5">
        <f t="shared" si="76"/>
        <v>2010</v>
      </c>
      <c r="F998" s="5" t="s">
        <v>19</v>
      </c>
      <c r="G998" s="5" t="s">
        <v>5</v>
      </c>
      <c r="H998" s="7">
        <v>90947.92</v>
      </c>
      <c r="I998" s="7">
        <v>99618.1</v>
      </c>
      <c r="J998" s="7">
        <f t="shared" si="77"/>
        <v>8670.1800000000076</v>
      </c>
      <c r="K998" s="8">
        <f t="shared" si="79"/>
        <v>9.53312621113271E-2</v>
      </c>
    </row>
    <row r="999" spans="1:11" x14ac:dyDescent="0.3">
      <c r="A999" s="5" t="s">
        <v>43</v>
      </c>
      <c r="B999" s="6">
        <v>40263</v>
      </c>
      <c r="C999" s="5">
        <f t="shared" si="78"/>
        <v>13</v>
      </c>
      <c r="D999" s="5">
        <f t="shared" si="75"/>
        <v>3</v>
      </c>
      <c r="E999" s="5">
        <f t="shared" si="76"/>
        <v>2010</v>
      </c>
      <c r="F999" s="5" t="s">
        <v>5</v>
      </c>
      <c r="G999" s="5" t="s">
        <v>5</v>
      </c>
      <c r="H999" s="7">
        <v>560522.23</v>
      </c>
      <c r="I999" s="7">
        <v>592653.6</v>
      </c>
      <c r="J999" s="7">
        <f t="shared" si="77"/>
        <v>32131.369999999995</v>
      </c>
      <c r="K999" s="8">
        <f t="shared" si="79"/>
        <v>5.7323988738145135E-2</v>
      </c>
    </row>
    <row r="1000" spans="1:11" x14ac:dyDescent="0.3">
      <c r="A1000" s="5" t="s">
        <v>43</v>
      </c>
      <c r="B1000" s="6">
        <v>40263</v>
      </c>
      <c r="C1000" s="5">
        <f t="shared" si="78"/>
        <v>13</v>
      </c>
      <c r="D1000" s="5">
        <f t="shared" si="75"/>
        <v>3</v>
      </c>
      <c r="E1000" s="5">
        <f t="shared" si="76"/>
        <v>2010</v>
      </c>
      <c r="F1000" s="5" t="s">
        <v>20</v>
      </c>
      <c r="G1000" s="5" t="s">
        <v>5</v>
      </c>
      <c r="H1000" s="7">
        <v>102674.15</v>
      </c>
      <c r="I1000" s="7">
        <v>111292.35</v>
      </c>
      <c r="J1000" s="7">
        <f t="shared" si="77"/>
        <v>8618.2000000000116</v>
      </c>
      <c r="K1000" s="8">
        <f t="shared" si="79"/>
        <v>8.3937388329974119E-2</v>
      </c>
    </row>
    <row r="1001" spans="1:11" x14ac:dyDescent="0.3">
      <c r="A1001" s="5" t="s">
        <v>43</v>
      </c>
      <c r="B1001" s="6">
        <v>40263</v>
      </c>
      <c r="C1001" s="5">
        <f t="shared" si="78"/>
        <v>13</v>
      </c>
      <c r="D1001" s="5">
        <f t="shared" si="75"/>
        <v>3</v>
      </c>
      <c r="E1001" s="5">
        <f t="shared" si="76"/>
        <v>2010</v>
      </c>
      <c r="F1001" s="5" t="s">
        <v>21</v>
      </c>
      <c r="G1001" s="5" t="s">
        <v>5</v>
      </c>
      <c r="H1001" s="7">
        <v>112788.56</v>
      </c>
      <c r="I1001" s="7">
        <v>122973.58</v>
      </c>
      <c r="J1001" s="7">
        <f t="shared" si="77"/>
        <v>10185.020000000004</v>
      </c>
      <c r="K1001" s="8">
        <f t="shared" si="79"/>
        <v>9.0301888773116748E-2</v>
      </c>
    </row>
    <row r="1002" spans="1:11" x14ac:dyDescent="0.3">
      <c r="A1002" s="5" t="s">
        <v>43</v>
      </c>
      <c r="B1002" s="6">
        <v>40263</v>
      </c>
      <c r="C1002" s="5">
        <f t="shared" si="78"/>
        <v>13</v>
      </c>
      <c r="D1002" s="5">
        <f t="shared" si="75"/>
        <v>3</v>
      </c>
      <c r="E1002" s="5">
        <f t="shared" si="76"/>
        <v>2010</v>
      </c>
      <c r="F1002" s="5" t="s">
        <v>22</v>
      </c>
      <c r="G1002" s="5" t="s">
        <v>8</v>
      </c>
      <c r="H1002" s="7">
        <v>370605.5</v>
      </c>
      <c r="I1002" s="7">
        <v>404943.8</v>
      </c>
      <c r="J1002" s="7">
        <f t="shared" si="77"/>
        <v>34338.299999999988</v>
      </c>
      <c r="K1002" s="8">
        <f t="shared" si="79"/>
        <v>9.2654588234659191E-2</v>
      </c>
    </row>
    <row r="1003" spans="1:11" x14ac:dyDescent="0.3">
      <c r="A1003" s="5" t="s">
        <v>43</v>
      </c>
      <c r="B1003" s="6">
        <v>40263</v>
      </c>
      <c r="C1003" s="5">
        <f t="shared" si="78"/>
        <v>13</v>
      </c>
      <c r="D1003" s="5">
        <f t="shared" si="75"/>
        <v>3</v>
      </c>
      <c r="E1003" s="5">
        <f t="shared" si="76"/>
        <v>2010</v>
      </c>
      <c r="F1003" s="5" t="s">
        <v>23</v>
      </c>
      <c r="G1003" s="5" t="s">
        <v>8</v>
      </c>
      <c r="H1003" s="7">
        <v>219441.44</v>
      </c>
      <c r="I1003" s="7">
        <v>230978.35</v>
      </c>
      <c r="J1003" s="7">
        <f t="shared" si="77"/>
        <v>11536.910000000003</v>
      </c>
      <c r="K1003" s="8">
        <f t="shared" si="79"/>
        <v>5.2573980557181925E-2</v>
      </c>
    </row>
    <row r="1004" spans="1:11" x14ac:dyDescent="0.3">
      <c r="A1004" s="5" t="s">
        <v>43</v>
      </c>
      <c r="B1004" s="6">
        <v>40263</v>
      </c>
      <c r="C1004" s="5">
        <f t="shared" si="78"/>
        <v>13</v>
      </c>
      <c r="D1004" s="5">
        <f t="shared" si="75"/>
        <v>3</v>
      </c>
      <c r="E1004" s="5">
        <f t="shared" si="76"/>
        <v>2010</v>
      </c>
      <c r="F1004" s="5" t="s">
        <v>24</v>
      </c>
      <c r="G1004" s="5" t="s">
        <v>8</v>
      </c>
      <c r="H1004" s="7">
        <v>137902</v>
      </c>
      <c r="I1004" s="7">
        <v>145221.13</v>
      </c>
      <c r="J1004" s="7">
        <f t="shared" si="77"/>
        <v>7319.1300000000047</v>
      </c>
      <c r="K1004" s="8">
        <f t="shared" si="79"/>
        <v>5.3074864759031809E-2</v>
      </c>
    </row>
    <row r="1005" spans="1:11" x14ac:dyDescent="0.3">
      <c r="A1005" s="5" t="s">
        <v>43</v>
      </c>
      <c r="B1005" s="6">
        <v>40263</v>
      </c>
      <c r="C1005" s="5">
        <f t="shared" si="78"/>
        <v>13</v>
      </c>
      <c r="D1005" s="5">
        <f t="shared" si="75"/>
        <v>3</v>
      </c>
      <c r="E1005" s="5">
        <f t="shared" si="76"/>
        <v>2010</v>
      </c>
      <c r="F1005" s="5" t="s">
        <v>25</v>
      </c>
      <c r="G1005" s="5" t="s">
        <v>8</v>
      </c>
      <c r="H1005" s="7">
        <v>11406</v>
      </c>
      <c r="I1005" s="7">
        <v>11558.11</v>
      </c>
      <c r="J1005" s="7">
        <f t="shared" si="77"/>
        <v>152.11000000000058</v>
      </c>
      <c r="K1005" s="8">
        <f t="shared" si="79"/>
        <v>1.3335963527967787E-2</v>
      </c>
    </row>
    <row r="1006" spans="1:11" x14ac:dyDescent="0.3">
      <c r="A1006" s="5" t="s">
        <v>43</v>
      </c>
      <c r="B1006" s="6">
        <v>40263</v>
      </c>
      <c r="C1006" s="5">
        <f t="shared" si="78"/>
        <v>13</v>
      </c>
      <c r="D1006" s="5">
        <f t="shared" si="75"/>
        <v>3</v>
      </c>
      <c r="E1006" s="5">
        <f t="shared" si="76"/>
        <v>2010</v>
      </c>
      <c r="F1006" s="5" t="s">
        <v>26</v>
      </c>
      <c r="G1006" s="5" t="s">
        <v>10</v>
      </c>
      <c r="H1006" s="7">
        <v>4550</v>
      </c>
      <c r="I1006" s="7">
        <v>5150.63</v>
      </c>
      <c r="J1006" s="7">
        <f t="shared" si="77"/>
        <v>600.63000000000011</v>
      </c>
      <c r="K1006" s="8">
        <f t="shared" si="79"/>
        <v>0.13200659340659343</v>
      </c>
    </row>
    <row r="1007" spans="1:11" x14ac:dyDescent="0.3">
      <c r="A1007" s="5" t="s">
        <v>43</v>
      </c>
      <c r="B1007" s="6">
        <v>40263</v>
      </c>
      <c r="C1007" s="5">
        <f t="shared" si="78"/>
        <v>13</v>
      </c>
      <c r="D1007" s="5">
        <f t="shared" si="75"/>
        <v>3</v>
      </c>
      <c r="E1007" s="5">
        <f t="shared" si="76"/>
        <v>2010</v>
      </c>
      <c r="F1007" s="5" t="s">
        <v>27</v>
      </c>
      <c r="G1007" s="5" t="s">
        <v>10</v>
      </c>
      <c r="H1007" s="7">
        <v>157289.91</v>
      </c>
      <c r="I1007" s="7">
        <v>178438.77</v>
      </c>
      <c r="J1007" s="7">
        <f t="shared" si="77"/>
        <v>21148.859999999986</v>
      </c>
      <c r="K1007" s="8">
        <f t="shared" si="79"/>
        <v>0.13445783013036236</v>
      </c>
    </row>
    <row r="1008" spans="1:11" x14ac:dyDescent="0.3">
      <c r="A1008" s="5" t="s">
        <v>43</v>
      </c>
      <c r="B1008" s="6">
        <v>40263</v>
      </c>
      <c r="C1008" s="5">
        <f t="shared" si="78"/>
        <v>13</v>
      </c>
      <c r="D1008" s="5">
        <f t="shared" si="75"/>
        <v>3</v>
      </c>
      <c r="E1008" s="5">
        <f t="shared" si="76"/>
        <v>2010</v>
      </c>
      <c r="F1008" s="5" t="s">
        <v>28</v>
      </c>
      <c r="G1008" s="5" t="s">
        <v>10</v>
      </c>
      <c r="H1008" s="7">
        <v>59528.94</v>
      </c>
      <c r="I1008" s="7">
        <v>57763.6</v>
      </c>
      <c r="J1008" s="7">
        <f t="shared" si="77"/>
        <v>-1765.3400000000038</v>
      </c>
      <c r="K1008" s="8">
        <f t="shared" si="79"/>
        <v>-2.9655155962797317E-2</v>
      </c>
    </row>
    <row r="1009" spans="1:11" x14ac:dyDescent="0.3">
      <c r="A1009" s="5" t="s">
        <v>43</v>
      </c>
      <c r="B1009" s="6">
        <v>40263</v>
      </c>
      <c r="C1009" s="5">
        <f t="shared" si="78"/>
        <v>13</v>
      </c>
      <c r="D1009" s="5">
        <f t="shared" si="75"/>
        <v>3</v>
      </c>
      <c r="E1009" s="5">
        <f t="shared" si="76"/>
        <v>2010</v>
      </c>
      <c r="F1009" s="5" t="s">
        <v>29</v>
      </c>
      <c r="G1009" s="5" t="s">
        <v>10</v>
      </c>
      <c r="H1009" s="7">
        <v>487596.61</v>
      </c>
      <c r="I1009" s="7">
        <v>534074.81000000006</v>
      </c>
      <c r="J1009" s="7">
        <f t="shared" si="77"/>
        <v>46478.20000000007</v>
      </c>
      <c r="K1009" s="8">
        <f t="shared" si="79"/>
        <v>9.5321007256387758E-2</v>
      </c>
    </row>
    <row r="1010" spans="1:11" x14ac:dyDescent="0.3">
      <c r="A1010" s="5" t="s">
        <v>43</v>
      </c>
      <c r="B1010" s="6">
        <v>40263</v>
      </c>
      <c r="C1010" s="5">
        <f t="shared" si="78"/>
        <v>13</v>
      </c>
      <c r="D1010" s="5">
        <f t="shared" si="75"/>
        <v>3</v>
      </c>
      <c r="E1010" s="5">
        <f t="shared" si="76"/>
        <v>2010</v>
      </c>
      <c r="F1010" s="5" t="s">
        <v>30</v>
      </c>
      <c r="G1010" s="5" t="s">
        <v>10</v>
      </c>
      <c r="H1010" s="7">
        <v>41205.839999999997</v>
      </c>
      <c r="I1010" s="7">
        <v>47047.7</v>
      </c>
      <c r="J1010" s="7">
        <f t="shared" si="77"/>
        <v>5841.8600000000006</v>
      </c>
      <c r="K1010" s="8">
        <f t="shared" si="79"/>
        <v>0.14177262252146786</v>
      </c>
    </row>
    <row r="1011" spans="1:11" x14ac:dyDescent="0.3">
      <c r="A1011" s="5" t="s">
        <v>43</v>
      </c>
      <c r="B1011" s="6">
        <v>40263</v>
      </c>
      <c r="C1011" s="5">
        <f t="shared" si="78"/>
        <v>13</v>
      </c>
      <c r="D1011" s="5">
        <f t="shared" si="75"/>
        <v>3</v>
      </c>
      <c r="E1011" s="5">
        <f t="shared" si="76"/>
        <v>2010</v>
      </c>
      <c r="F1011" s="5" t="s">
        <v>9</v>
      </c>
      <c r="G1011" s="5" t="s">
        <v>9</v>
      </c>
      <c r="H1011" s="7">
        <v>455940.76</v>
      </c>
      <c r="I1011" s="7">
        <v>529887.98</v>
      </c>
      <c r="J1011" s="7">
        <f t="shared" si="77"/>
        <v>73947.219999999972</v>
      </c>
      <c r="K1011" s="8">
        <f t="shared" si="79"/>
        <v>0.16218602609689903</v>
      </c>
    </row>
    <row r="1012" spans="1:11" x14ac:dyDescent="0.3">
      <c r="A1012" s="5" t="s">
        <v>43</v>
      </c>
      <c r="B1012" s="6">
        <v>40263</v>
      </c>
      <c r="C1012" s="5">
        <f t="shared" si="78"/>
        <v>13</v>
      </c>
      <c r="D1012" s="5">
        <f t="shared" si="75"/>
        <v>3</v>
      </c>
      <c r="E1012" s="5">
        <f t="shared" si="76"/>
        <v>2010</v>
      </c>
      <c r="F1012" s="5" t="s">
        <v>31</v>
      </c>
      <c r="G1012" s="5" t="s">
        <v>7</v>
      </c>
      <c r="H1012" s="7">
        <v>11259.58</v>
      </c>
      <c r="I1012" s="7">
        <v>24732.41</v>
      </c>
      <c r="J1012" s="7">
        <f t="shared" si="77"/>
        <v>13472.83</v>
      </c>
      <c r="K1012" s="8">
        <f t="shared" si="79"/>
        <v>1.1965659465095502</v>
      </c>
    </row>
    <row r="1013" spans="1:11" x14ac:dyDescent="0.3">
      <c r="A1013" s="5" t="s">
        <v>43</v>
      </c>
      <c r="B1013" s="6">
        <v>40263</v>
      </c>
      <c r="C1013" s="5">
        <f t="shared" si="78"/>
        <v>13</v>
      </c>
      <c r="D1013" s="5">
        <f t="shared" si="75"/>
        <v>3</v>
      </c>
      <c r="E1013" s="5">
        <f t="shared" si="76"/>
        <v>2010</v>
      </c>
      <c r="F1013" s="5" t="s">
        <v>32</v>
      </c>
      <c r="G1013" s="5" t="s">
        <v>7</v>
      </c>
      <c r="H1013" s="7">
        <v>14755.59</v>
      </c>
      <c r="I1013" s="7">
        <v>16303.98</v>
      </c>
      <c r="J1013" s="7">
        <f t="shared" si="77"/>
        <v>1548.3899999999994</v>
      </c>
      <c r="K1013" s="8">
        <f t="shared" si="79"/>
        <v>0.10493582432149438</v>
      </c>
    </row>
    <row r="1014" spans="1:11" x14ac:dyDescent="0.3">
      <c r="A1014" s="5" t="s">
        <v>43</v>
      </c>
      <c r="B1014" s="6">
        <v>40263</v>
      </c>
      <c r="C1014" s="5">
        <f t="shared" si="78"/>
        <v>13</v>
      </c>
      <c r="D1014" s="5">
        <f t="shared" si="75"/>
        <v>3</v>
      </c>
      <c r="E1014" s="5">
        <f t="shared" si="76"/>
        <v>2010</v>
      </c>
      <c r="F1014" s="5" t="s">
        <v>33</v>
      </c>
      <c r="G1014" s="5" t="s">
        <v>7</v>
      </c>
      <c r="H1014" s="7">
        <v>158235.26</v>
      </c>
      <c r="I1014" s="7">
        <v>314539.96999999997</v>
      </c>
      <c r="J1014" s="7">
        <f t="shared" si="77"/>
        <v>156304.70999999996</v>
      </c>
      <c r="K1014" s="8">
        <f t="shared" si="79"/>
        <v>0.98779949551067159</v>
      </c>
    </row>
    <row r="1015" spans="1:11" x14ac:dyDescent="0.3">
      <c r="A1015" s="5" t="s">
        <v>43</v>
      </c>
      <c r="B1015" s="6">
        <v>40263</v>
      </c>
      <c r="C1015" s="5">
        <f t="shared" si="78"/>
        <v>13</v>
      </c>
      <c r="D1015" s="5">
        <f t="shared" si="75"/>
        <v>3</v>
      </c>
      <c r="E1015" s="5">
        <f t="shared" si="76"/>
        <v>2010</v>
      </c>
      <c r="F1015" s="5" t="s">
        <v>35</v>
      </c>
      <c r="G1015" s="5" t="s">
        <v>11</v>
      </c>
      <c r="H1015" s="7">
        <v>2588.44</v>
      </c>
      <c r="I1015" s="7">
        <v>3130.14</v>
      </c>
      <c r="J1015" s="7">
        <f t="shared" si="77"/>
        <v>541.69999999999982</v>
      </c>
      <c r="K1015" s="8">
        <f t="shared" si="79"/>
        <v>0.20927662993926838</v>
      </c>
    </row>
    <row r="1016" spans="1:11" x14ac:dyDescent="0.3">
      <c r="A1016" s="5" t="s">
        <v>43</v>
      </c>
      <c r="B1016" s="6">
        <v>40263</v>
      </c>
      <c r="C1016" s="5">
        <f t="shared" si="78"/>
        <v>13</v>
      </c>
      <c r="D1016" s="5">
        <f t="shared" si="75"/>
        <v>3</v>
      </c>
      <c r="E1016" s="5">
        <f t="shared" si="76"/>
        <v>2010</v>
      </c>
      <c r="F1016" s="5" t="s">
        <v>36</v>
      </c>
      <c r="G1016" s="5" t="s">
        <v>11</v>
      </c>
      <c r="H1016" s="7">
        <v>123321.18</v>
      </c>
      <c r="I1016" s="7">
        <v>132117.59</v>
      </c>
      <c r="J1016" s="7">
        <f t="shared" si="77"/>
        <v>8796.4100000000035</v>
      </c>
      <c r="K1016" s="8">
        <f t="shared" si="79"/>
        <v>7.132927206826925E-2</v>
      </c>
    </row>
    <row r="1017" spans="1:11" x14ac:dyDescent="0.3">
      <c r="A1017" s="5" t="s">
        <v>43</v>
      </c>
      <c r="B1017" s="6">
        <v>40263</v>
      </c>
      <c r="C1017" s="5">
        <f t="shared" si="78"/>
        <v>13</v>
      </c>
      <c r="D1017" s="5">
        <f t="shared" si="75"/>
        <v>3</v>
      </c>
      <c r="E1017" s="5">
        <f t="shared" si="76"/>
        <v>2010</v>
      </c>
      <c r="F1017" s="5" t="s">
        <v>37</v>
      </c>
      <c r="G1017" s="5" t="s">
        <v>11</v>
      </c>
      <c r="H1017" s="7">
        <v>212701.41</v>
      </c>
      <c r="I1017" s="7">
        <v>229632.07</v>
      </c>
      <c r="J1017" s="7">
        <f t="shared" si="77"/>
        <v>16930.660000000003</v>
      </c>
      <c r="K1017" s="8">
        <f t="shared" si="79"/>
        <v>7.9598249959885098E-2</v>
      </c>
    </row>
    <row r="1018" spans="1:11" x14ac:dyDescent="0.3">
      <c r="A1018" s="5" t="s">
        <v>43</v>
      </c>
      <c r="B1018" s="6">
        <v>40263</v>
      </c>
      <c r="C1018" s="5">
        <f t="shared" si="78"/>
        <v>13</v>
      </c>
      <c r="D1018" s="5">
        <f t="shared" si="75"/>
        <v>3</v>
      </c>
      <c r="E1018" s="5">
        <f t="shared" si="76"/>
        <v>2010</v>
      </c>
      <c r="F1018" s="5" t="s">
        <v>38</v>
      </c>
      <c r="G1018" s="5" t="s">
        <v>11</v>
      </c>
      <c r="H1018" s="7">
        <v>232039.71</v>
      </c>
      <c r="I1018" s="7">
        <v>242615.07</v>
      </c>
      <c r="J1018" s="7">
        <f t="shared" si="77"/>
        <v>10575.360000000015</v>
      </c>
      <c r="K1018" s="8">
        <f t="shared" si="79"/>
        <v>4.5575647375184256E-2</v>
      </c>
    </row>
    <row r="1019" spans="1:11" x14ac:dyDescent="0.3">
      <c r="A1019" s="5" t="s">
        <v>43</v>
      </c>
      <c r="B1019" s="6">
        <v>40264</v>
      </c>
      <c r="C1019" s="5">
        <f t="shared" si="78"/>
        <v>13</v>
      </c>
      <c r="D1019" s="5">
        <f t="shared" si="75"/>
        <v>3</v>
      </c>
      <c r="E1019" s="5">
        <f t="shared" si="76"/>
        <v>2010</v>
      </c>
      <c r="F1019" s="5" t="s">
        <v>14</v>
      </c>
      <c r="G1019" s="5" t="s">
        <v>6</v>
      </c>
      <c r="H1019" s="7">
        <v>11969.96</v>
      </c>
      <c r="I1019" s="7">
        <v>14317.62</v>
      </c>
      <c r="J1019" s="7">
        <f t="shared" si="77"/>
        <v>2347.6600000000017</v>
      </c>
      <c r="K1019" s="8">
        <f t="shared" si="79"/>
        <v>0.19612931037363548</v>
      </c>
    </row>
    <row r="1020" spans="1:11" x14ac:dyDescent="0.3">
      <c r="A1020" s="5" t="s">
        <v>43</v>
      </c>
      <c r="B1020" s="6">
        <v>40264</v>
      </c>
      <c r="C1020" s="5">
        <f t="shared" si="78"/>
        <v>13</v>
      </c>
      <c r="D1020" s="5">
        <f t="shared" si="75"/>
        <v>3</v>
      </c>
      <c r="E1020" s="5">
        <f t="shared" si="76"/>
        <v>2010</v>
      </c>
      <c r="F1020" s="5" t="s">
        <v>15</v>
      </c>
      <c r="G1020" s="5" t="s">
        <v>6</v>
      </c>
      <c r="H1020" s="7">
        <v>187228.13</v>
      </c>
      <c r="I1020" s="7">
        <v>278840.23</v>
      </c>
      <c r="J1020" s="7">
        <f t="shared" si="77"/>
        <v>91612.099999999977</v>
      </c>
      <c r="K1020" s="8">
        <f t="shared" si="79"/>
        <v>0.4893073492749192</v>
      </c>
    </row>
    <row r="1021" spans="1:11" x14ac:dyDescent="0.3">
      <c r="A1021" s="5" t="s">
        <v>43</v>
      </c>
      <c r="B1021" s="6">
        <v>40264</v>
      </c>
      <c r="C1021" s="5">
        <f t="shared" si="78"/>
        <v>13</v>
      </c>
      <c r="D1021" s="5">
        <f t="shared" si="75"/>
        <v>3</v>
      </c>
      <c r="E1021" s="5">
        <f t="shared" si="76"/>
        <v>2010</v>
      </c>
      <c r="F1021" s="5" t="s">
        <v>16</v>
      </c>
      <c r="G1021" s="5" t="s">
        <v>6</v>
      </c>
      <c r="H1021" s="7">
        <v>106139.22</v>
      </c>
      <c r="I1021" s="7">
        <v>119142.97</v>
      </c>
      <c r="J1021" s="7">
        <f t="shared" si="77"/>
        <v>13003.75</v>
      </c>
      <c r="K1021" s="8">
        <f t="shared" si="79"/>
        <v>0.12251597477350973</v>
      </c>
    </row>
    <row r="1022" spans="1:11" x14ac:dyDescent="0.3">
      <c r="A1022" s="5" t="s">
        <v>43</v>
      </c>
      <c r="B1022" s="6">
        <v>40264</v>
      </c>
      <c r="C1022" s="5">
        <f t="shared" si="78"/>
        <v>13</v>
      </c>
      <c r="D1022" s="5">
        <f t="shared" si="75"/>
        <v>3</v>
      </c>
      <c r="E1022" s="5">
        <f t="shared" si="76"/>
        <v>2010</v>
      </c>
      <c r="F1022" s="5" t="s">
        <v>17</v>
      </c>
      <c r="G1022" s="5" t="s">
        <v>6</v>
      </c>
      <c r="H1022" s="7">
        <v>1492</v>
      </c>
      <c r="I1022" s="7">
        <v>1716.59</v>
      </c>
      <c r="J1022" s="7">
        <f t="shared" si="77"/>
        <v>224.58999999999992</v>
      </c>
      <c r="K1022" s="8">
        <f t="shared" si="79"/>
        <v>0.15052949061662194</v>
      </c>
    </row>
    <row r="1023" spans="1:11" x14ac:dyDescent="0.3">
      <c r="A1023" s="5" t="s">
        <v>43</v>
      </c>
      <c r="B1023" s="6">
        <v>40264</v>
      </c>
      <c r="C1023" s="5">
        <f t="shared" si="78"/>
        <v>13</v>
      </c>
      <c r="D1023" s="5">
        <f t="shared" si="75"/>
        <v>3</v>
      </c>
      <c r="E1023" s="5">
        <f t="shared" si="76"/>
        <v>2010</v>
      </c>
      <c r="F1023" s="5" t="s">
        <v>19</v>
      </c>
      <c r="G1023" s="5" t="s">
        <v>5</v>
      </c>
      <c r="H1023" s="7">
        <v>97303.28</v>
      </c>
      <c r="I1023" s="7">
        <v>107673.86</v>
      </c>
      <c r="J1023" s="7">
        <f t="shared" si="77"/>
        <v>10370.580000000002</v>
      </c>
      <c r="K1023" s="8">
        <f t="shared" si="79"/>
        <v>0.10657996318315273</v>
      </c>
    </row>
    <row r="1024" spans="1:11" x14ac:dyDescent="0.3">
      <c r="A1024" s="5" t="s">
        <v>43</v>
      </c>
      <c r="B1024" s="6">
        <v>40264</v>
      </c>
      <c r="C1024" s="5">
        <f t="shared" si="78"/>
        <v>13</v>
      </c>
      <c r="D1024" s="5">
        <f t="shared" si="75"/>
        <v>3</v>
      </c>
      <c r="E1024" s="5">
        <f t="shared" si="76"/>
        <v>2010</v>
      </c>
      <c r="F1024" s="5" t="s">
        <v>5</v>
      </c>
      <c r="G1024" s="5" t="s">
        <v>5</v>
      </c>
      <c r="H1024" s="7">
        <v>371127.71</v>
      </c>
      <c r="I1024" s="7">
        <v>406324.04</v>
      </c>
      <c r="J1024" s="7">
        <f t="shared" si="77"/>
        <v>35196.329999999958</v>
      </c>
      <c r="K1024" s="8">
        <f t="shared" si="79"/>
        <v>9.4836168390659795E-2</v>
      </c>
    </row>
    <row r="1025" spans="1:11" x14ac:dyDescent="0.3">
      <c r="A1025" s="5" t="s">
        <v>43</v>
      </c>
      <c r="B1025" s="6">
        <v>40264</v>
      </c>
      <c r="C1025" s="5">
        <f t="shared" si="78"/>
        <v>13</v>
      </c>
      <c r="D1025" s="5">
        <f t="shared" si="75"/>
        <v>3</v>
      </c>
      <c r="E1025" s="5">
        <f t="shared" si="76"/>
        <v>2010</v>
      </c>
      <c r="F1025" s="5" t="s">
        <v>20</v>
      </c>
      <c r="G1025" s="5" t="s">
        <v>5</v>
      </c>
      <c r="H1025" s="7">
        <v>111378.68</v>
      </c>
      <c r="I1025" s="7">
        <v>123892.63</v>
      </c>
      <c r="J1025" s="7">
        <f t="shared" si="77"/>
        <v>12513.950000000012</v>
      </c>
      <c r="K1025" s="8">
        <f t="shared" si="79"/>
        <v>0.1123549857118078</v>
      </c>
    </row>
    <row r="1026" spans="1:11" x14ac:dyDescent="0.3">
      <c r="A1026" s="5" t="s">
        <v>43</v>
      </c>
      <c r="B1026" s="6">
        <v>40264</v>
      </c>
      <c r="C1026" s="5">
        <f t="shared" si="78"/>
        <v>13</v>
      </c>
      <c r="D1026" s="5">
        <f t="shared" ref="D1026:D1089" si="80">MONTH(B1026)</f>
        <v>3</v>
      </c>
      <c r="E1026" s="5">
        <f t="shared" ref="E1026:E1089" si="81">YEAR(B1026)</f>
        <v>2010</v>
      </c>
      <c r="F1026" s="5" t="s">
        <v>21</v>
      </c>
      <c r="G1026" s="5" t="s">
        <v>5</v>
      </c>
      <c r="H1026" s="7">
        <v>127607.71</v>
      </c>
      <c r="I1026" s="7">
        <v>138956.03</v>
      </c>
      <c r="J1026" s="7">
        <f t="shared" ref="J1026:J1089" si="82">I1026-H1026</f>
        <v>11348.319999999992</v>
      </c>
      <c r="K1026" s="8">
        <f t="shared" si="79"/>
        <v>8.8931303602266601E-2</v>
      </c>
    </row>
    <row r="1027" spans="1:11" x14ac:dyDescent="0.3">
      <c r="A1027" s="5" t="s">
        <v>43</v>
      </c>
      <c r="B1027" s="6">
        <v>40264</v>
      </c>
      <c r="C1027" s="5">
        <f t="shared" ref="C1027:C1090" si="83">WEEKNUM(B1027,1)</f>
        <v>13</v>
      </c>
      <c r="D1027" s="5">
        <f t="shared" si="80"/>
        <v>3</v>
      </c>
      <c r="E1027" s="5">
        <f t="shared" si="81"/>
        <v>2010</v>
      </c>
      <c r="F1027" s="5" t="s">
        <v>22</v>
      </c>
      <c r="G1027" s="5" t="s">
        <v>8</v>
      </c>
      <c r="H1027" s="7">
        <v>336277.11</v>
      </c>
      <c r="I1027" s="7">
        <v>375478.96</v>
      </c>
      <c r="J1027" s="7">
        <f t="shared" si="82"/>
        <v>39201.850000000035</v>
      </c>
      <c r="K1027" s="8">
        <f t="shared" ref="K1027:K1090" si="84">(I1027-H1027)/H1027</f>
        <v>0.11657602862115722</v>
      </c>
    </row>
    <row r="1028" spans="1:11" x14ac:dyDescent="0.3">
      <c r="A1028" s="5" t="s">
        <v>43</v>
      </c>
      <c r="B1028" s="6">
        <v>40264</v>
      </c>
      <c r="C1028" s="5">
        <f t="shared" si="83"/>
        <v>13</v>
      </c>
      <c r="D1028" s="5">
        <f t="shared" si="80"/>
        <v>3</v>
      </c>
      <c r="E1028" s="5">
        <f t="shared" si="81"/>
        <v>2010</v>
      </c>
      <c r="F1028" s="5" t="s">
        <v>23</v>
      </c>
      <c r="G1028" s="5" t="s">
        <v>8</v>
      </c>
      <c r="H1028" s="7">
        <v>230238.1</v>
      </c>
      <c r="I1028" s="7">
        <v>238959.8</v>
      </c>
      <c r="J1028" s="7">
        <f t="shared" si="82"/>
        <v>8721.6999999999825</v>
      </c>
      <c r="K1028" s="8">
        <f t="shared" si="84"/>
        <v>3.7881219485393525E-2</v>
      </c>
    </row>
    <row r="1029" spans="1:11" x14ac:dyDescent="0.3">
      <c r="A1029" s="5" t="s">
        <v>43</v>
      </c>
      <c r="B1029" s="6">
        <v>40264</v>
      </c>
      <c r="C1029" s="5">
        <f t="shared" si="83"/>
        <v>13</v>
      </c>
      <c r="D1029" s="5">
        <f t="shared" si="80"/>
        <v>3</v>
      </c>
      <c r="E1029" s="5">
        <f t="shared" si="81"/>
        <v>2010</v>
      </c>
      <c r="F1029" s="5" t="s">
        <v>24</v>
      </c>
      <c r="G1029" s="5" t="s">
        <v>8</v>
      </c>
      <c r="H1029" s="7">
        <v>148790</v>
      </c>
      <c r="I1029" s="7">
        <v>157478.6</v>
      </c>
      <c r="J1029" s="7">
        <f t="shared" si="82"/>
        <v>8688.6000000000058</v>
      </c>
      <c r="K1029" s="8">
        <f t="shared" si="84"/>
        <v>5.8395053431010188E-2</v>
      </c>
    </row>
    <row r="1030" spans="1:11" x14ac:dyDescent="0.3">
      <c r="A1030" s="5" t="s">
        <v>43</v>
      </c>
      <c r="B1030" s="6">
        <v>40264</v>
      </c>
      <c r="C1030" s="5">
        <f t="shared" si="83"/>
        <v>13</v>
      </c>
      <c r="D1030" s="5">
        <f t="shared" si="80"/>
        <v>3</v>
      </c>
      <c r="E1030" s="5">
        <f t="shared" si="81"/>
        <v>2010</v>
      </c>
      <c r="F1030" s="5" t="s">
        <v>25</v>
      </c>
      <c r="G1030" s="5" t="s">
        <v>8</v>
      </c>
      <c r="H1030" s="7">
        <v>8598.7999999999993</v>
      </c>
      <c r="I1030" s="7">
        <v>8906.2999999999993</v>
      </c>
      <c r="J1030" s="7">
        <f t="shared" si="82"/>
        <v>307.5</v>
      </c>
      <c r="K1030" s="8">
        <f t="shared" si="84"/>
        <v>3.5760803833092991E-2</v>
      </c>
    </row>
    <row r="1031" spans="1:11" x14ac:dyDescent="0.3">
      <c r="A1031" s="5" t="s">
        <v>43</v>
      </c>
      <c r="B1031" s="6">
        <v>40264</v>
      </c>
      <c r="C1031" s="5">
        <f t="shared" si="83"/>
        <v>13</v>
      </c>
      <c r="D1031" s="5">
        <f t="shared" si="80"/>
        <v>3</v>
      </c>
      <c r="E1031" s="5">
        <f t="shared" si="81"/>
        <v>2010</v>
      </c>
      <c r="F1031" s="5" t="s">
        <v>26</v>
      </c>
      <c r="G1031" s="5" t="s">
        <v>10</v>
      </c>
      <c r="H1031" s="7">
        <v>5200</v>
      </c>
      <c r="I1031" s="7">
        <v>5813.91</v>
      </c>
      <c r="J1031" s="7">
        <f t="shared" si="82"/>
        <v>613.90999999999985</v>
      </c>
      <c r="K1031" s="8">
        <f t="shared" si="84"/>
        <v>0.11805961538461536</v>
      </c>
    </row>
    <row r="1032" spans="1:11" x14ac:dyDescent="0.3">
      <c r="A1032" s="5" t="s">
        <v>43</v>
      </c>
      <c r="B1032" s="6">
        <v>40264</v>
      </c>
      <c r="C1032" s="5">
        <f t="shared" si="83"/>
        <v>13</v>
      </c>
      <c r="D1032" s="5">
        <f t="shared" si="80"/>
        <v>3</v>
      </c>
      <c r="E1032" s="5">
        <f t="shared" si="81"/>
        <v>2010</v>
      </c>
      <c r="F1032" s="5" t="s">
        <v>27</v>
      </c>
      <c r="G1032" s="5" t="s">
        <v>10</v>
      </c>
      <c r="H1032" s="7">
        <v>171916.39</v>
      </c>
      <c r="I1032" s="7">
        <v>195491.45</v>
      </c>
      <c r="J1032" s="7">
        <f t="shared" si="82"/>
        <v>23575.059999999998</v>
      </c>
      <c r="K1032" s="8">
        <f t="shared" si="84"/>
        <v>0.13713096232418559</v>
      </c>
    </row>
    <row r="1033" spans="1:11" x14ac:dyDescent="0.3">
      <c r="A1033" s="5" t="s">
        <v>43</v>
      </c>
      <c r="B1033" s="6">
        <v>40264</v>
      </c>
      <c r="C1033" s="5">
        <f t="shared" si="83"/>
        <v>13</v>
      </c>
      <c r="D1033" s="5">
        <f t="shared" si="80"/>
        <v>3</v>
      </c>
      <c r="E1033" s="5">
        <f t="shared" si="81"/>
        <v>2010</v>
      </c>
      <c r="F1033" s="5" t="s">
        <v>28</v>
      </c>
      <c r="G1033" s="5" t="s">
        <v>10</v>
      </c>
      <c r="H1033" s="7">
        <v>72603.5</v>
      </c>
      <c r="I1033" s="7">
        <v>57952.85</v>
      </c>
      <c r="J1033" s="7">
        <f t="shared" si="82"/>
        <v>-14650.650000000001</v>
      </c>
      <c r="K1033" s="8">
        <f t="shared" si="84"/>
        <v>-0.20178985861563151</v>
      </c>
    </row>
    <row r="1034" spans="1:11" x14ac:dyDescent="0.3">
      <c r="A1034" s="5" t="s">
        <v>43</v>
      </c>
      <c r="B1034" s="6">
        <v>40264</v>
      </c>
      <c r="C1034" s="5">
        <f t="shared" si="83"/>
        <v>13</v>
      </c>
      <c r="D1034" s="5">
        <f t="shared" si="80"/>
        <v>3</v>
      </c>
      <c r="E1034" s="5">
        <f t="shared" si="81"/>
        <v>2010</v>
      </c>
      <c r="F1034" s="5" t="s">
        <v>29</v>
      </c>
      <c r="G1034" s="5" t="s">
        <v>10</v>
      </c>
      <c r="H1034" s="7">
        <v>639344.96</v>
      </c>
      <c r="I1034" s="7">
        <v>702025.67</v>
      </c>
      <c r="J1034" s="7">
        <f t="shared" si="82"/>
        <v>62680.710000000079</v>
      </c>
      <c r="K1034" s="8">
        <f t="shared" si="84"/>
        <v>9.803895224262045E-2</v>
      </c>
    </row>
    <row r="1035" spans="1:11" x14ac:dyDescent="0.3">
      <c r="A1035" s="5" t="s">
        <v>43</v>
      </c>
      <c r="B1035" s="6">
        <v>40264</v>
      </c>
      <c r="C1035" s="5">
        <f t="shared" si="83"/>
        <v>13</v>
      </c>
      <c r="D1035" s="5">
        <f t="shared" si="80"/>
        <v>3</v>
      </c>
      <c r="E1035" s="5">
        <f t="shared" si="81"/>
        <v>2010</v>
      </c>
      <c r="F1035" s="5" t="s">
        <v>30</v>
      </c>
      <c r="G1035" s="5" t="s">
        <v>10</v>
      </c>
      <c r="H1035" s="7">
        <v>109637.3</v>
      </c>
      <c r="I1035" s="7">
        <v>123457.86</v>
      </c>
      <c r="J1035" s="7">
        <f t="shared" si="82"/>
        <v>13820.559999999998</v>
      </c>
      <c r="K1035" s="8">
        <f t="shared" si="84"/>
        <v>0.12605709918066202</v>
      </c>
    </row>
    <row r="1036" spans="1:11" x14ac:dyDescent="0.3">
      <c r="A1036" s="5" t="s">
        <v>43</v>
      </c>
      <c r="B1036" s="6">
        <v>40264</v>
      </c>
      <c r="C1036" s="5">
        <f t="shared" si="83"/>
        <v>13</v>
      </c>
      <c r="D1036" s="5">
        <f t="shared" si="80"/>
        <v>3</v>
      </c>
      <c r="E1036" s="5">
        <f t="shared" si="81"/>
        <v>2010</v>
      </c>
      <c r="F1036" s="5" t="s">
        <v>9</v>
      </c>
      <c r="G1036" s="5" t="s">
        <v>9</v>
      </c>
      <c r="H1036" s="7">
        <v>497023.1</v>
      </c>
      <c r="I1036" s="7">
        <v>589494.53</v>
      </c>
      <c r="J1036" s="7">
        <f t="shared" si="82"/>
        <v>92471.430000000051</v>
      </c>
      <c r="K1036" s="8">
        <f t="shared" si="84"/>
        <v>0.18605056787099042</v>
      </c>
    </row>
    <row r="1037" spans="1:11" x14ac:dyDescent="0.3">
      <c r="A1037" s="5" t="s">
        <v>43</v>
      </c>
      <c r="B1037" s="6">
        <v>40264</v>
      </c>
      <c r="C1037" s="5">
        <f t="shared" si="83"/>
        <v>13</v>
      </c>
      <c r="D1037" s="5">
        <f t="shared" si="80"/>
        <v>3</v>
      </c>
      <c r="E1037" s="5">
        <f t="shared" si="81"/>
        <v>2010</v>
      </c>
      <c r="F1037" s="5" t="s">
        <v>31</v>
      </c>
      <c r="G1037" s="5" t="s">
        <v>7</v>
      </c>
      <c r="H1037" s="7">
        <v>10105.9</v>
      </c>
      <c r="I1037" s="7">
        <v>21816.05</v>
      </c>
      <c r="J1037" s="7">
        <f t="shared" si="82"/>
        <v>11710.15</v>
      </c>
      <c r="K1037" s="8">
        <f t="shared" si="84"/>
        <v>1.1587439020770045</v>
      </c>
    </row>
    <row r="1038" spans="1:11" x14ac:dyDescent="0.3">
      <c r="A1038" s="5" t="s">
        <v>43</v>
      </c>
      <c r="B1038" s="6">
        <v>40264</v>
      </c>
      <c r="C1038" s="5">
        <f t="shared" si="83"/>
        <v>13</v>
      </c>
      <c r="D1038" s="5">
        <f t="shared" si="80"/>
        <v>3</v>
      </c>
      <c r="E1038" s="5">
        <f t="shared" si="81"/>
        <v>2010</v>
      </c>
      <c r="F1038" s="5" t="s">
        <v>32</v>
      </c>
      <c r="G1038" s="5" t="s">
        <v>7</v>
      </c>
      <c r="H1038" s="7">
        <v>8586.48</v>
      </c>
      <c r="I1038" s="7">
        <v>9486.81</v>
      </c>
      <c r="J1038" s="7">
        <f t="shared" si="82"/>
        <v>900.32999999999993</v>
      </c>
      <c r="K1038" s="8">
        <f t="shared" si="84"/>
        <v>0.10485437571624227</v>
      </c>
    </row>
    <row r="1039" spans="1:11" x14ac:dyDescent="0.3">
      <c r="A1039" s="5" t="s">
        <v>43</v>
      </c>
      <c r="B1039" s="6">
        <v>40264</v>
      </c>
      <c r="C1039" s="5">
        <f t="shared" si="83"/>
        <v>13</v>
      </c>
      <c r="D1039" s="5">
        <f t="shared" si="80"/>
        <v>3</v>
      </c>
      <c r="E1039" s="5">
        <f t="shared" si="81"/>
        <v>2010</v>
      </c>
      <c r="F1039" s="5" t="s">
        <v>33</v>
      </c>
      <c r="G1039" s="5" t="s">
        <v>7</v>
      </c>
      <c r="H1039" s="7">
        <v>200437.68</v>
      </c>
      <c r="I1039" s="7">
        <v>396649.04</v>
      </c>
      <c r="J1039" s="7">
        <f t="shared" si="82"/>
        <v>196211.36</v>
      </c>
      <c r="K1039" s="8">
        <f t="shared" si="84"/>
        <v>0.9789145434131945</v>
      </c>
    </row>
    <row r="1040" spans="1:11" x14ac:dyDescent="0.3">
      <c r="A1040" s="5" t="s">
        <v>43</v>
      </c>
      <c r="B1040" s="6">
        <v>40264</v>
      </c>
      <c r="C1040" s="5">
        <f t="shared" si="83"/>
        <v>13</v>
      </c>
      <c r="D1040" s="5">
        <f t="shared" si="80"/>
        <v>3</v>
      </c>
      <c r="E1040" s="5">
        <f t="shared" si="81"/>
        <v>2010</v>
      </c>
      <c r="F1040" s="5" t="s">
        <v>35</v>
      </c>
      <c r="G1040" s="5" t="s">
        <v>11</v>
      </c>
      <c r="H1040" s="7">
        <v>1902.72</v>
      </c>
      <c r="I1040" s="7">
        <v>2473.13</v>
      </c>
      <c r="J1040" s="7">
        <f t="shared" si="82"/>
        <v>570.41000000000008</v>
      </c>
      <c r="K1040" s="8">
        <f t="shared" si="84"/>
        <v>0.29978662125798861</v>
      </c>
    </row>
    <row r="1041" spans="1:11" x14ac:dyDescent="0.3">
      <c r="A1041" s="5" t="s">
        <v>43</v>
      </c>
      <c r="B1041" s="6">
        <v>40264</v>
      </c>
      <c r="C1041" s="5">
        <f t="shared" si="83"/>
        <v>13</v>
      </c>
      <c r="D1041" s="5">
        <f t="shared" si="80"/>
        <v>3</v>
      </c>
      <c r="E1041" s="5">
        <f t="shared" si="81"/>
        <v>2010</v>
      </c>
      <c r="F1041" s="5" t="s">
        <v>36</v>
      </c>
      <c r="G1041" s="5" t="s">
        <v>11</v>
      </c>
      <c r="H1041" s="7">
        <v>131193.76999999999</v>
      </c>
      <c r="I1041" s="7">
        <v>141574.85</v>
      </c>
      <c r="J1041" s="7">
        <f t="shared" si="82"/>
        <v>10381.080000000016</v>
      </c>
      <c r="K1041" s="8">
        <f t="shared" si="84"/>
        <v>7.9127842732166456E-2</v>
      </c>
    </row>
    <row r="1042" spans="1:11" x14ac:dyDescent="0.3">
      <c r="A1042" s="5" t="s">
        <v>43</v>
      </c>
      <c r="B1042" s="6">
        <v>40264</v>
      </c>
      <c r="C1042" s="5">
        <f t="shared" si="83"/>
        <v>13</v>
      </c>
      <c r="D1042" s="5">
        <f t="shared" si="80"/>
        <v>3</v>
      </c>
      <c r="E1042" s="5">
        <f t="shared" si="81"/>
        <v>2010</v>
      </c>
      <c r="F1042" s="5" t="s">
        <v>37</v>
      </c>
      <c r="G1042" s="5" t="s">
        <v>11</v>
      </c>
      <c r="H1042" s="7">
        <v>235050.6</v>
      </c>
      <c r="I1042" s="7">
        <v>255691.09</v>
      </c>
      <c r="J1042" s="7">
        <f t="shared" si="82"/>
        <v>20640.489999999991</v>
      </c>
      <c r="K1042" s="8">
        <f t="shared" si="84"/>
        <v>8.7812964527637843E-2</v>
      </c>
    </row>
    <row r="1043" spans="1:11" x14ac:dyDescent="0.3">
      <c r="A1043" s="5" t="s">
        <v>43</v>
      </c>
      <c r="B1043" s="6">
        <v>40264</v>
      </c>
      <c r="C1043" s="5">
        <f t="shared" si="83"/>
        <v>13</v>
      </c>
      <c r="D1043" s="5">
        <f t="shared" si="80"/>
        <v>3</v>
      </c>
      <c r="E1043" s="5">
        <f t="shared" si="81"/>
        <v>2010</v>
      </c>
      <c r="F1043" s="5" t="s">
        <v>38</v>
      </c>
      <c r="G1043" s="5" t="s">
        <v>11</v>
      </c>
      <c r="H1043" s="7">
        <v>301419.81</v>
      </c>
      <c r="I1043" s="7">
        <v>307835.61</v>
      </c>
      <c r="J1043" s="7">
        <f t="shared" si="82"/>
        <v>6415.7999999999884</v>
      </c>
      <c r="K1043" s="8">
        <f t="shared" si="84"/>
        <v>2.1285263234689149E-2</v>
      </c>
    </row>
    <row r="1044" spans="1:11" x14ac:dyDescent="0.3">
      <c r="A1044" s="5" t="s">
        <v>43</v>
      </c>
      <c r="B1044" s="6">
        <v>40265</v>
      </c>
      <c r="C1044" s="5">
        <f t="shared" si="83"/>
        <v>14</v>
      </c>
      <c r="D1044" s="5">
        <f t="shared" si="80"/>
        <v>3</v>
      </c>
      <c r="E1044" s="5">
        <f t="shared" si="81"/>
        <v>2010</v>
      </c>
      <c r="F1044" s="5" t="s">
        <v>14</v>
      </c>
      <c r="G1044" s="5" t="s">
        <v>6</v>
      </c>
      <c r="H1044" s="7">
        <v>10476.99</v>
      </c>
      <c r="I1044" s="7">
        <v>12569.62</v>
      </c>
      <c r="J1044" s="7">
        <f t="shared" si="82"/>
        <v>2092.630000000001</v>
      </c>
      <c r="K1044" s="8">
        <f t="shared" si="84"/>
        <v>0.19973580198129434</v>
      </c>
    </row>
    <row r="1045" spans="1:11" x14ac:dyDescent="0.3">
      <c r="A1045" s="5" t="s">
        <v>43</v>
      </c>
      <c r="B1045" s="6">
        <v>40265</v>
      </c>
      <c r="C1045" s="5">
        <f t="shared" si="83"/>
        <v>14</v>
      </c>
      <c r="D1045" s="5">
        <f t="shared" si="80"/>
        <v>3</v>
      </c>
      <c r="E1045" s="5">
        <f t="shared" si="81"/>
        <v>2010</v>
      </c>
      <c r="F1045" s="5" t="s">
        <v>15</v>
      </c>
      <c r="G1045" s="5" t="s">
        <v>6</v>
      </c>
      <c r="H1045" s="7">
        <v>247582.53</v>
      </c>
      <c r="I1045" s="7">
        <v>343249.26</v>
      </c>
      <c r="J1045" s="7">
        <f t="shared" si="82"/>
        <v>95666.73000000001</v>
      </c>
      <c r="K1045" s="8">
        <f t="shared" si="84"/>
        <v>0.38640339445598204</v>
      </c>
    </row>
    <row r="1046" spans="1:11" x14ac:dyDescent="0.3">
      <c r="A1046" s="5" t="s">
        <v>43</v>
      </c>
      <c r="B1046" s="6">
        <v>40265</v>
      </c>
      <c r="C1046" s="5">
        <f t="shared" si="83"/>
        <v>14</v>
      </c>
      <c r="D1046" s="5">
        <f t="shared" si="80"/>
        <v>3</v>
      </c>
      <c r="E1046" s="5">
        <f t="shared" si="81"/>
        <v>2010</v>
      </c>
      <c r="F1046" s="5" t="s">
        <v>16</v>
      </c>
      <c r="G1046" s="5" t="s">
        <v>6</v>
      </c>
      <c r="H1046" s="7">
        <v>101308.63</v>
      </c>
      <c r="I1046" s="7">
        <v>112531.72</v>
      </c>
      <c r="J1046" s="7">
        <f t="shared" si="82"/>
        <v>11223.089999999997</v>
      </c>
      <c r="K1046" s="8">
        <f t="shared" si="84"/>
        <v>0.11078118418934296</v>
      </c>
    </row>
    <row r="1047" spans="1:11" x14ac:dyDescent="0.3">
      <c r="A1047" s="5" t="s">
        <v>43</v>
      </c>
      <c r="B1047" s="6">
        <v>40265</v>
      </c>
      <c r="C1047" s="5">
        <f t="shared" si="83"/>
        <v>14</v>
      </c>
      <c r="D1047" s="5">
        <f t="shared" si="80"/>
        <v>3</v>
      </c>
      <c r="E1047" s="5">
        <f t="shared" si="81"/>
        <v>2010</v>
      </c>
      <c r="F1047" s="5" t="s">
        <v>17</v>
      </c>
      <c r="G1047" s="5" t="s">
        <v>6</v>
      </c>
      <c r="H1047" s="7">
        <v>2130</v>
      </c>
      <c r="I1047" s="7">
        <v>2450.7800000000002</v>
      </c>
      <c r="J1047" s="7">
        <f t="shared" si="82"/>
        <v>320.7800000000002</v>
      </c>
      <c r="K1047" s="8">
        <f t="shared" si="84"/>
        <v>0.15060093896713625</v>
      </c>
    </row>
    <row r="1048" spans="1:11" x14ac:dyDescent="0.3">
      <c r="A1048" s="5" t="s">
        <v>43</v>
      </c>
      <c r="B1048" s="6">
        <v>40265</v>
      </c>
      <c r="C1048" s="5">
        <f t="shared" si="83"/>
        <v>14</v>
      </c>
      <c r="D1048" s="5">
        <f t="shared" si="80"/>
        <v>3</v>
      </c>
      <c r="E1048" s="5">
        <f t="shared" si="81"/>
        <v>2010</v>
      </c>
      <c r="F1048" s="5" t="s">
        <v>18</v>
      </c>
      <c r="G1048" s="5" t="s">
        <v>6</v>
      </c>
      <c r="H1048" s="7">
        <v>5280</v>
      </c>
      <c r="I1048" s="7">
        <v>6072</v>
      </c>
      <c r="J1048" s="7">
        <f t="shared" si="82"/>
        <v>792</v>
      </c>
      <c r="K1048" s="8">
        <f t="shared" si="84"/>
        <v>0.15</v>
      </c>
    </row>
    <row r="1049" spans="1:11" x14ac:dyDescent="0.3">
      <c r="A1049" s="5" t="s">
        <v>43</v>
      </c>
      <c r="B1049" s="6">
        <v>40265</v>
      </c>
      <c r="C1049" s="5">
        <f t="shared" si="83"/>
        <v>14</v>
      </c>
      <c r="D1049" s="5">
        <f t="shared" si="80"/>
        <v>3</v>
      </c>
      <c r="E1049" s="5">
        <f t="shared" si="81"/>
        <v>2010</v>
      </c>
      <c r="F1049" s="5" t="s">
        <v>19</v>
      </c>
      <c r="G1049" s="5" t="s">
        <v>5</v>
      </c>
      <c r="H1049" s="7">
        <v>79747.16</v>
      </c>
      <c r="I1049" s="7">
        <v>89283.16</v>
      </c>
      <c r="J1049" s="7">
        <f t="shared" si="82"/>
        <v>9536</v>
      </c>
      <c r="K1049" s="8">
        <f t="shared" si="84"/>
        <v>0.11957792603523436</v>
      </c>
    </row>
    <row r="1050" spans="1:11" x14ac:dyDescent="0.3">
      <c r="A1050" s="5" t="s">
        <v>43</v>
      </c>
      <c r="B1050" s="6">
        <v>40265</v>
      </c>
      <c r="C1050" s="5">
        <f t="shared" si="83"/>
        <v>14</v>
      </c>
      <c r="D1050" s="5">
        <f t="shared" si="80"/>
        <v>3</v>
      </c>
      <c r="E1050" s="5">
        <f t="shared" si="81"/>
        <v>2010</v>
      </c>
      <c r="F1050" s="5" t="s">
        <v>5</v>
      </c>
      <c r="G1050" s="5" t="s">
        <v>5</v>
      </c>
      <c r="H1050" s="7">
        <v>381644.75</v>
      </c>
      <c r="I1050" s="7">
        <v>419759.73</v>
      </c>
      <c r="J1050" s="7">
        <f t="shared" si="82"/>
        <v>38114.979999999981</v>
      </c>
      <c r="K1050" s="8">
        <f t="shared" si="84"/>
        <v>9.9870311330104711E-2</v>
      </c>
    </row>
    <row r="1051" spans="1:11" x14ac:dyDescent="0.3">
      <c r="A1051" s="5" t="s">
        <v>43</v>
      </c>
      <c r="B1051" s="6">
        <v>40265</v>
      </c>
      <c r="C1051" s="5">
        <f t="shared" si="83"/>
        <v>14</v>
      </c>
      <c r="D1051" s="5">
        <f t="shared" si="80"/>
        <v>3</v>
      </c>
      <c r="E1051" s="5">
        <f t="shared" si="81"/>
        <v>2010</v>
      </c>
      <c r="F1051" s="5" t="s">
        <v>20</v>
      </c>
      <c r="G1051" s="5" t="s">
        <v>5</v>
      </c>
      <c r="H1051" s="7">
        <v>134848.44</v>
      </c>
      <c r="I1051" s="7">
        <v>145957.65</v>
      </c>
      <c r="J1051" s="7">
        <f t="shared" si="82"/>
        <v>11109.209999999992</v>
      </c>
      <c r="K1051" s="8">
        <f t="shared" si="84"/>
        <v>8.2382933017245072E-2</v>
      </c>
    </row>
    <row r="1052" spans="1:11" x14ac:dyDescent="0.3">
      <c r="A1052" s="5" t="s">
        <v>43</v>
      </c>
      <c r="B1052" s="6">
        <v>40265</v>
      </c>
      <c r="C1052" s="5">
        <f t="shared" si="83"/>
        <v>14</v>
      </c>
      <c r="D1052" s="5">
        <f t="shared" si="80"/>
        <v>3</v>
      </c>
      <c r="E1052" s="5">
        <f t="shared" si="81"/>
        <v>2010</v>
      </c>
      <c r="F1052" s="5" t="s">
        <v>21</v>
      </c>
      <c r="G1052" s="5" t="s">
        <v>5</v>
      </c>
      <c r="H1052" s="7">
        <v>131771.48000000001</v>
      </c>
      <c r="I1052" s="7">
        <v>142948.32999999999</v>
      </c>
      <c r="J1052" s="7">
        <f t="shared" si="82"/>
        <v>11176.849999999977</v>
      </c>
      <c r="K1052" s="8">
        <f t="shared" si="84"/>
        <v>8.4819947381633537E-2</v>
      </c>
    </row>
    <row r="1053" spans="1:11" x14ac:dyDescent="0.3">
      <c r="A1053" s="5" t="s">
        <v>43</v>
      </c>
      <c r="B1053" s="6">
        <v>40265</v>
      </c>
      <c r="C1053" s="5">
        <f t="shared" si="83"/>
        <v>14</v>
      </c>
      <c r="D1053" s="5">
        <f t="shared" si="80"/>
        <v>3</v>
      </c>
      <c r="E1053" s="5">
        <f t="shared" si="81"/>
        <v>2010</v>
      </c>
      <c r="F1053" s="5" t="s">
        <v>22</v>
      </c>
      <c r="G1053" s="5" t="s">
        <v>8</v>
      </c>
      <c r="H1053" s="7">
        <v>277501</v>
      </c>
      <c r="I1053" s="7">
        <v>299495.59000000003</v>
      </c>
      <c r="J1053" s="7">
        <f t="shared" si="82"/>
        <v>21994.590000000026</v>
      </c>
      <c r="K1053" s="8">
        <f t="shared" si="84"/>
        <v>7.9259498163970668E-2</v>
      </c>
    </row>
    <row r="1054" spans="1:11" x14ac:dyDescent="0.3">
      <c r="A1054" s="5" t="s">
        <v>43</v>
      </c>
      <c r="B1054" s="6">
        <v>40265</v>
      </c>
      <c r="C1054" s="5">
        <f t="shared" si="83"/>
        <v>14</v>
      </c>
      <c r="D1054" s="5">
        <f t="shared" si="80"/>
        <v>3</v>
      </c>
      <c r="E1054" s="5">
        <f t="shared" si="81"/>
        <v>2010</v>
      </c>
      <c r="F1054" s="5" t="s">
        <v>23</v>
      </c>
      <c r="G1054" s="5" t="s">
        <v>8</v>
      </c>
      <c r="H1054" s="7">
        <v>174144.15</v>
      </c>
      <c r="I1054" s="7">
        <v>181796.05</v>
      </c>
      <c r="J1054" s="7">
        <f t="shared" si="82"/>
        <v>7651.8999999999942</v>
      </c>
      <c r="K1054" s="8">
        <f t="shared" si="84"/>
        <v>4.3940034735591146E-2</v>
      </c>
    </row>
    <row r="1055" spans="1:11" x14ac:dyDescent="0.3">
      <c r="A1055" s="5" t="s">
        <v>43</v>
      </c>
      <c r="B1055" s="6">
        <v>40265</v>
      </c>
      <c r="C1055" s="5">
        <f t="shared" si="83"/>
        <v>14</v>
      </c>
      <c r="D1055" s="5">
        <f t="shared" si="80"/>
        <v>3</v>
      </c>
      <c r="E1055" s="5">
        <f t="shared" si="81"/>
        <v>2010</v>
      </c>
      <c r="F1055" s="5" t="s">
        <v>24</v>
      </c>
      <c r="G1055" s="5" t="s">
        <v>8</v>
      </c>
      <c r="H1055" s="7">
        <v>103629</v>
      </c>
      <c r="I1055" s="7">
        <v>109276.37</v>
      </c>
      <c r="J1055" s="7">
        <f t="shared" si="82"/>
        <v>5647.3699999999953</v>
      </c>
      <c r="K1055" s="8">
        <f t="shared" si="84"/>
        <v>5.4496038753630696E-2</v>
      </c>
    </row>
    <row r="1056" spans="1:11" x14ac:dyDescent="0.3">
      <c r="A1056" s="5" t="s">
        <v>43</v>
      </c>
      <c r="B1056" s="6">
        <v>40265</v>
      </c>
      <c r="C1056" s="5">
        <f t="shared" si="83"/>
        <v>14</v>
      </c>
      <c r="D1056" s="5">
        <f t="shared" si="80"/>
        <v>3</v>
      </c>
      <c r="E1056" s="5">
        <f t="shared" si="81"/>
        <v>2010</v>
      </c>
      <c r="F1056" s="5" t="s">
        <v>25</v>
      </c>
      <c r="G1056" s="5" t="s">
        <v>8</v>
      </c>
      <c r="H1056" s="7">
        <v>7485</v>
      </c>
      <c r="I1056" s="7">
        <v>7972.07</v>
      </c>
      <c r="J1056" s="7">
        <f t="shared" si="82"/>
        <v>487.06999999999971</v>
      </c>
      <c r="K1056" s="8">
        <f t="shared" si="84"/>
        <v>6.507281229124913E-2</v>
      </c>
    </row>
    <row r="1057" spans="1:11" x14ac:dyDescent="0.3">
      <c r="A1057" s="5" t="s">
        <v>43</v>
      </c>
      <c r="B1057" s="6">
        <v>40265</v>
      </c>
      <c r="C1057" s="5">
        <f t="shared" si="83"/>
        <v>14</v>
      </c>
      <c r="D1057" s="5">
        <f t="shared" si="80"/>
        <v>3</v>
      </c>
      <c r="E1057" s="5">
        <f t="shared" si="81"/>
        <v>2010</v>
      </c>
      <c r="F1057" s="5" t="s">
        <v>26</v>
      </c>
      <c r="G1057" s="5" t="s">
        <v>10</v>
      </c>
      <c r="H1057" s="7">
        <v>1950</v>
      </c>
      <c r="I1057" s="7">
        <v>2158.41</v>
      </c>
      <c r="J1057" s="7">
        <f t="shared" si="82"/>
        <v>208.40999999999985</v>
      </c>
      <c r="K1057" s="8">
        <f t="shared" si="84"/>
        <v>0.10687692307692301</v>
      </c>
    </row>
    <row r="1058" spans="1:11" x14ac:dyDescent="0.3">
      <c r="A1058" s="5" t="s">
        <v>43</v>
      </c>
      <c r="B1058" s="6">
        <v>40265</v>
      </c>
      <c r="C1058" s="5">
        <f t="shared" si="83"/>
        <v>14</v>
      </c>
      <c r="D1058" s="5">
        <f t="shared" si="80"/>
        <v>3</v>
      </c>
      <c r="E1058" s="5">
        <f t="shared" si="81"/>
        <v>2010</v>
      </c>
      <c r="F1058" s="5" t="s">
        <v>27</v>
      </c>
      <c r="G1058" s="5" t="s">
        <v>10</v>
      </c>
      <c r="H1058" s="7">
        <v>108352.64</v>
      </c>
      <c r="I1058" s="7">
        <v>123310.07</v>
      </c>
      <c r="J1058" s="7">
        <f t="shared" si="82"/>
        <v>14957.430000000008</v>
      </c>
      <c r="K1058" s="8">
        <f t="shared" si="84"/>
        <v>0.1380439830538509</v>
      </c>
    </row>
    <row r="1059" spans="1:11" x14ac:dyDescent="0.3">
      <c r="A1059" s="5" t="s">
        <v>43</v>
      </c>
      <c r="B1059" s="6">
        <v>40265</v>
      </c>
      <c r="C1059" s="5">
        <f t="shared" si="83"/>
        <v>14</v>
      </c>
      <c r="D1059" s="5">
        <f t="shared" si="80"/>
        <v>3</v>
      </c>
      <c r="E1059" s="5">
        <f t="shared" si="81"/>
        <v>2010</v>
      </c>
      <c r="F1059" s="5" t="s">
        <v>28</v>
      </c>
      <c r="G1059" s="5" t="s">
        <v>10</v>
      </c>
      <c r="H1059" s="7">
        <v>35533.15</v>
      </c>
      <c r="I1059" s="7">
        <v>42046.01</v>
      </c>
      <c r="J1059" s="7">
        <f t="shared" si="82"/>
        <v>6512.8600000000006</v>
      </c>
      <c r="K1059" s="8">
        <f t="shared" si="84"/>
        <v>0.18328968864285886</v>
      </c>
    </row>
    <row r="1060" spans="1:11" x14ac:dyDescent="0.3">
      <c r="A1060" s="5" t="s">
        <v>43</v>
      </c>
      <c r="B1060" s="6">
        <v>40265</v>
      </c>
      <c r="C1060" s="5">
        <f t="shared" si="83"/>
        <v>14</v>
      </c>
      <c r="D1060" s="5">
        <f t="shared" si="80"/>
        <v>3</v>
      </c>
      <c r="E1060" s="5">
        <f t="shared" si="81"/>
        <v>2010</v>
      </c>
      <c r="F1060" s="5" t="s">
        <v>29</v>
      </c>
      <c r="G1060" s="5" t="s">
        <v>10</v>
      </c>
      <c r="H1060" s="7">
        <v>588351.25</v>
      </c>
      <c r="I1060" s="7">
        <v>638374.39</v>
      </c>
      <c r="J1060" s="7">
        <f t="shared" si="82"/>
        <v>50023.140000000014</v>
      </c>
      <c r="K1060" s="8">
        <f t="shared" si="84"/>
        <v>8.5022577924326687E-2</v>
      </c>
    </row>
    <row r="1061" spans="1:11" x14ac:dyDescent="0.3">
      <c r="A1061" s="5" t="s">
        <v>43</v>
      </c>
      <c r="B1061" s="6">
        <v>40265</v>
      </c>
      <c r="C1061" s="5">
        <f t="shared" si="83"/>
        <v>14</v>
      </c>
      <c r="D1061" s="5">
        <f t="shared" si="80"/>
        <v>3</v>
      </c>
      <c r="E1061" s="5">
        <f t="shared" si="81"/>
        <v>2010</v>
      </c>
      <c r="F1061" s="5" t="s">
        <v>30</v>
      </c>
      <c r="G1061" s="5" t="s">
        <v>10</v>
      </c>
      <c r="H1061" s="7">
        <v>78979.28</v>
      </c>
      <c r="I1061" s="7">
        <v>89151.09</v>
      </c>
      <c r="J1061" s="7">
        <f t="shared" si="82"/>
        <v>10171.809999999998</v>
      </c>
      <c r="K1061" s="8">
        <f t="shared" si="84"/>
        <v>0.12879086768073852</v>
      </c>
    </row>
    <row r="1062" spans="1:11" x14ac:dyDescent="0.3">
      <c r="A1062" s="5" t="s">
        <v>43</v>
      </c>
      <c r="B1062" s="6">
        <v>40265</v>
      </c>
      <c r="C1062" s="5">
        <f t="shared" si="83"/>
        <v>14</v>
      </c>
      <c r="D1062" s="5">
        <f t="shared" si="80"/>
        <v>3</v>
      </c>
      <c r="E1062" s="5">
        <f t="shared" si="81"/>
        <v>2010</v>
      </c>
      <c r="F1062" s="5" t="s">
        <v>9</v>
      </c>
      <c r="G1062" s="5" t="s">
        <v>9</v>
      </c>
      <c r="H1062" s="7">
        <v>439219.98</v>
      </c>
      <c r="I1062" s="7">
        <v>512463.58</v>
      </c>
      <c r="J1062" s="7">
        <f t="shared" si="82"/>
        <v>73243.600000000035</v>
      </c>
      <c r="K1062" s="8">
        <f t="shared" si="84"/>
        <v>0.16675835193107572</v>
      </c>
    </row>
    <row r="1063" spans="1:11" x14ac:dyDescent="0.3">
      <c r="A1063" s="5" t="s">
        <v>43</v>
      </c>
      <c r="B1063" s="6">
        <v>40265</v>
      </c>
      <c r="C1063" s="5">
        <f t="shared" si="83"/>
        <v>14</v>
      </c>
      <c r="D1063" s="5">
        <f t="shared" si="80"/>
        <v>3</v>
      </c>
      <c r="E1063" s="5">
        <f t="shared" si="81"/>
        <v>2010</v>
      </c>
      <c r="F1063" s="5" t="s">
        <v>31</v>
      </c>
      <c r="G1063" s="5" t="s">
        <v>7</v>
      </c>
      <c r="H1063" s="7">
        <v>11373.06</v>
      </c>
      <c r="I1063" s="7">
        <v>24994.45</v>
      </c>
      <c r="J1063" s="7">
        <f t="shared" si="82"/>
        <v>13621.390000000001</v>
      </c>
      <c r="K1063" s="8">
        <f t="shared" si="84"/>
        <v>1.1976891003828347</v>
      </c>
    </row>
    <row r="1064" spans="1:11" x14ac:dyDescent="0.3">
      <c r="A1064" s="5" t="s">
        <v>43</v>
      </c>
      <c r="B1064" s="6">
        <v>40265</v>
      </c>
      <c r="C1064" s="5">
        <f t="shared" si="83"/>
        <v>14</v>
      </c>
      <c r="D1064" s="5">
        <f t="shared" si="80"/>
        <v>3</v>
      </c>
      <c r="E1064" s="5">
        <f t="shared" si="81"/>
        <v>2010</v>
      </c>
      <c r="F1064" s="5" t="s">
        <v>32</v>
      </c>
      <c r="G1064" s="5" t="s">
        <v>7</v>
      </c>
      <c r="H1064" s="7">
        <v>7714.95</v>
      </c>
      <c r="I1064" s="7">
        <v>8525.44</v>
      </c>
      <c r="J1064" s="7">
        <f t="shared" si="82"/>
        <v>810.49000000000069</v>
      </c>
      <c r="K1064" s="8">
        <f t="shared" si="84"/>
        <v>0.10505447216119362</v>
      </c>
    </row>
    <row r="1065" spans="1:11" x14ac:dyDescent="0.3">
      <c r="A1065" s="5" t="s">
        <v>43</v>
      </c>
      <c r="B1065" s="6">
        <v>40265</v>
      </c>
      <c r="C1065" s="5">
        <f t="shared" si="83"/>
        <v>14</v>
      </c>
      <c r="D1065" s="5">
        <f t="shared" si="80"/>
        <v>3</v>
      </c>
      <c r="E1065" s="5">
        <f t="shared" si="81"/>
        <v>2010</v>
      </c>
      <c r="F1065" s="5" t="s">
        <v>33</v>
      </c>
      <c r="G1065" s="5" t="s">
        <v>7</v>
      </c>
      <c r="H1065" s="7">
        <v>168456.4</v>
      </c>
      <c r="I1065" s="7">
        <v>330718.96000000002</v>
      </c>
      <c r="J1065" s="7">
        <f t="shared" si="82"/>
        <v>162262.56000000003</v>
      </c>
      <c r="K1065" s="8">
        <f t="shared" si="84"/>
        <v>0.96323179172771134</v>
      </c>
    </row>
    <row r="1066" spans="1:11" x14ac:dyDescent="0.3">
      <c r="A1066" s="5" t="s">
        <v>43</v>
      </c>
      <c r="B1066" s="6">
        <v>40265</v>
      </c>
      <c r="C1066" s="5">
        <f t="shared" si="83"/>
        <v>14</v>
      </c>
      <c r="D1066" s="5">
        <f t="shared" si="80"/>
        <v>3</v>
      </c>
      <c r="E1066" s="5">
        <f t="shared" si="81"/>
        <v>2010</v>
      </c>
      <c r="F1066" s="5" t="s">
        <v>35</v>
      </c>
      <c r="G1066" s="5" t="s">
        <v>11</v>
      </c>
      <c r="H1066" s="7">
        <v>3167.12</v>
      </c>
      <c r="I1066" s="7">
        <v>4118.59</v>
      </c>
      <c r="J1066" s="7">
        <f t="shared" si="82"/>
        <v>951.47000000000025</v>
      </c>
      <c r="K1066" s="8">
        <f t="shared" si="84"/>
        <v>0.30042120285938023</v>
      </c>
    </row>
    <row r="1067" spans="1:11" x14ac:dyDescent="0.3">
      <c r="A1067" s="5" t="s">
        <v>43</v>
      </c>
      <c r="B1067" s="6">
        <v>40265</v>
      </c>
      <c r="C1067" s="5">
        <f t="shared" si="83"/>
        <v>14</v>
      </c>
      <c r="D1067" s="5">
        <f t="shared" si="80"/>
        <v>3</v>
      </c>
      <c r="E1067" s="5">
        <f t="shared" si="81"/>
        <v>2010</v>
      </c>
      <c r="F1067" s="5" t="s">
        <v>36</v>
      </c>
      <c r="G1067" s="5" t="s">
        <v>11</v>
      </c>
      <c r="H1067" s="7">
        <v>151155.26999999999</v>
      </c>
      <c r="I1067" s="7">
        <v>163622.37</v>
      </c>
      <c r="J1067" s="7">
        <f t="shared" si="82"/>
        <v>12467.100000000006</v>
      </c>
      <c r="K1067" s="8">
        <f t="shared" si="84"/>
        <v>8.2478765047358307E-2</v>
      </c>
    </row>
    <row r="1068" spans="1:11" x14ac:dyDescent="0.3">
      <c r="A1068" s="5" t="s">
        <v>43</v>
      </c>
      <c r="B1068" s="6">
        <v>40265</v>
      </c>
      <c r="C1068" s="5">
        <f t="shared" si="83"/>
        <v>14</v>
      </c>
      <c r="D1068" s="5">
        <f t="shared" si="80"/>
        <v>3</v>
      </c>
      <c r="E1068" s="5">
        <f t="shared" si="81"/>
        <v>2010</v>
      </c>
      <c r="F1068" s="5" t="s">
        <v>37</v>
      </c>
      <c r="G1068" s="5" t="s">
        <v>11</v>
      </c>
      <c r="H1068" s="7">
        <v>253268.73</v>
      </c>
      <c r="I1068" s="7">
        <v>274817.23</v>
      </c>
      <c r="J1068" s="7">
        <f t="shared" si="82"/>
        <v>21548.499999999971</v>
      </c>
      <c r="K1068" s="8">
        <f t="shared" si="84"/>
        <v>8.5081565339708426E-2</v>
      </c>
    </row>
    <row r="1069" spans="1:11" x14ac:dyDescent="0.3">
      <c r="A1069" s="5" t="s">
        <v>43</v>
      </c>
      <c r="B1069" s="6">
        <v>40265</v>
      </c>
      <c r="C1069" s="5">
        <f t="shared" si="83"/>
        <v>14</v>
      </c>
      <c r="D1069" s="5">
        <f t="shared" si="80"/>
        <v>3</v>
      </c>
      <c r="E1069" s="5">
        <f t="shared" si="81"/>
        <v>2010</v>
      </c>
      <c r="F1069" s="5" t="s">
        <v>38</v>
      </c>
      <c r="G1069" s="5" t="s">
        <v>11</v>
      </c>
      <c r="H1069" s="7">
        <v>379699.89</v>
      </c>
      <c r="I1069" s="7">
        <v>388923.02</v>
      </c>
      <c r="J1069" s="7">
        <f t="shared" si="82"/>
        <v>9223.1300000000047</v>
      </c>
      <c r="K1069" s="8">
        <f t="shared" si="84"/>
        <v>2.4290578540857633E-2</v>
      </c>
    </row>
    <row r="1070" spans="1:11" x14ac:dyDescent="0.3">
      <c r="A1070" s="5" t="s">
        <v>43</v>
      </c>
      <c r="B1070" s="6">
        <v>40266</v>
      </c>
      <c r="C1070" s="5">
        <f t="shared" si="83"/>
        <v>14</v>
      </c>
      <c r="D1070" s="5">
        <f t="shared" si="80"/>
        <v>3</v>
      </c>
      <c r="E1070" s="5">
        <f t="shared" si="81"/>
        <v>2010</v>
      </c>
      <c r="F1070" s="5" t="s">
        <v>14</v>
      </c>
      <c r="G1070" s="5" t="s">
        <v>6</v>
      </c>
      <c r="H1070" s="7">
        <v>9036.99</v>
      </c>
      <c r="I1070" s="7">
        <v>10822.03</v>
      </c>
      <c r="J1070" s="7">
        <f t="shared" si="82"/>
        <v>1785.0400000000009</v>
      </c>
      <c r="K1070" s="8">
        <f t="shared" si="84"/>
        <v>0.19752594613914598</v>
      </c>
    </row>
    <row r="1071" spans="1:11" x14ac:dyDescent="0.3">
      <c r="A1071" s="5" t="s">
        <v>43</v>
      </c>
      <c r="B1071" s="6">
        <v>40266</v>
      </c>
      <c r="C1071" s="5">
        <f t="shared" si="83"/>
        <v>14</v>
      </c>
      <c r="D1071" s="5">
        <f t="shared" si="80"/>
        <v>3</v>
      </c>
      <c r="E1071" s="5">
        <f t="shared" si="81"/>
        <v>2010</v>
      </c>
      <c r="F1071" s="5" t="s">
        <v>15</v>
      </c>
      <c r="G1071" s="5" t="s">
        <v>6</v>
      </c>
      <c r="H1071" s="7">
        <v>237396.06</v>
      </c>
      <c r="I1071" s="7">
        <v>304162.51</v>
      </c>
      <c r="J1071" s="7">
        <f t="shared" si="82"/>
        <v>66766.450000000012</v>
      </c>
      <c r="K1071" s="8">
        <f t="shared" si="84"/>
        <v>0.28124497938171344</v>
      </c>
    </row>
    <row r="1072" spans="1:11" x14ac:dyDescent="0.3">
      <c r="A1072" s="5" t="s">
        <v>43</v>
      </c>
      <c r="B1072" s="6">
        <v>40266</v>
      </c>
      <c r="C1072" s="5">
        <f t="shared" si="83"/>
        <v>14</v>
      </c>
      <c r="D1072" s="5">
        <f t="shared" si="80"/>
        <v>3</v>
      </c>
      <c r="E1072" s="5">
        <f t="shared" si="81"/>
        <v>2010</v>
      </c>
      <c r="F1072" s="5" t="s">
        <v>16</v>
      </c>
      <c r="G1072" s="5" t="s">
        <v>6</v>
      </c>
      <c r="H1072" s="7">
        <v>74974.740000000005</v>
      </c>
      <c r="I1072" s="7">
        <v>83052.399999999994</v>
      </c>
      <c r="J1072" s="7">
        <f t="shared" si="82"/>
        <v>8077.6599999999889</v>
      </c>
      <c r="K1072" s="8">
        <f t="shared" si="84"/>
        <v>0.10773841963306559</v>
      </c>
    </row>
    <row r="1073" spans="1:11" x14ac:dyDescent="0.3">
      <c r="A1073" s="5" t="s">
        <v>43</v>
      </c>
      <c r="B1073" s="6">
        <v>40266</v>
      </c>
      <c r="C1073" s="5">
        <f t="shared" si="83"/>
        <v>14</v>
      </c>
      <c r="D1073" s="5">
        <f t="shared" si="80"/>
        <v>3</v>
      </c>
      <c r="E1073" s="5">
        <f t="shared" si="81"/>
        <v>2010</v>
      </c>
      <c r="F1073" s="5" t="s">
        <v>17</v>
      </c>
      <c r="G1073" s="5" t="s">
        <v>6</v>
      </c>
      <c r="H1073" s="7">
        <v>574</v>
      </c>
      <c r="I1073" s="7">
        <v>660</v>
      </c>
      <c r="J1073" s="7">
        <f t="shared" si="82"/>
        <v>86</v>
      </c>
      <c r="K1073" s="8">
        <f t="shared" si="84"/>
        <v>0.14982578397212543</v>
      </c>
    </row>
    <row r="1074" spans="1:11" x14ac:dyDescent="0.3">
      <c r="A1074" s="5" t="s">
        <v>43</v>
      </c>
      <c r="B1074" s="6">
        <v>40266</v>
      </c>
      <c r="C1074" s="5">
        <f t="shared" si="83"/>
        <v>14</v>
      </c>
      <c r="D1074" s="5">
        <f t="shared" si="80"/>
        <v>3</v>
      </c>
      <c r="E1074" s="5">
        <f t="shared" si="81"/>
        <v>2010</v>
      </c>
      <c r="F1074" s="5" t="s">
        <v>19</v>
      </c>
      <c r="G1074" s="5" t="s">
        <v>5</v>
      </c>
      <c r="H1074" s="7">
        <v>87587.06</v>
      </c>
      <c r="I1074" s="7">
        <v>96611.38</v>
      </c>
      <c r="J1074" s="7">
        <f t="shared" si="82"/>
        <v>9024.320000000007</v>
      </c>
      <c r="K1074" s="8">
        <f t="shared" si="84"/>
        <v>0.10303257124968011</v>
      </c>
    </row>
    <row r="1075" spans="1:11" x14ac:dyDescent="0.3">
      <c r="A1075" s="5" t="s">
        <v>43</v>
      </c>
      <c r="B1075" s="6">
        <v>40266</v>
      </c>
      <c r="C1075" s="5">
        <f t="shared" si="83"/>
        <v>14</v>
      </c>
      <c r="D1075" s="5">
        <f t="shared" si="80"/>
        <v>3</v>
      </c>
      <c r="E1075" s="5">
        <f t="shared" si="81"/>
        <v>2010</v>
      </c>
      <c r="F1075" s="5" t="s">
        <v>5</v>
      </c>
      <c r="G1075" s="5" t="s">
        <v>5</v>
      </c>
      <c r="H1075" s="7">
        <v>400012.79</v>
      </c>
      <c r="I1075" s="7">
        <v>430109.55</v>
      </c>
      <c r="J1075" s="7">
        <f t="shared" si="82"/>
        <v>30096.760000000009</v>
      </c>
      <c r="K1075" s="8">
        <f t="shared" si="84"/>
        <v>7.5239494217172437E-2</v>
      </c>
    </row>
    <row r="1076" spans="1:11" x14ac:dyDescent="0.3">
      <c r="A1076" s="5" t="s">
        <v>43</v>
      </c>
      <c r="B1076" s="6">
        <v>40266</v>
      </c>
      <c r="C1076" s="5">
        <f t="shared" si="83"/>
        <v>14</v>
      </c>
      <c r="D1076" s="5">
        <f t="shared" si="80"/>
        <v>3</v>
      </c>
      <c r="E1076" s="5">
        <f t="shared" si="81"/>
        <v>2010</v>
      </c>
      <c r="F1076" s="5" t="s">
        <v>20</v>
      </c>
      <c r="G1076" s="5" t="s">
        <v>5</v>
      </c>
      <c r="H1076" s="7">
        <v>88911.62</v>
      </c>
      <c r="I1076" s="7">
        <v>97142.86</v>
      </c>
      <c r="J1076" s="7">
        <f t="shared" si="82"/>
        <v>8231.2400000000052</v>
      </c>
      <c r="K1076" s="8">
        <f t="shared" si="84"/>
        <v>9.2577775548347965E-2</v>
      </c>
    </row>
    <row r="1077" spans="1:11" x14ac:dyDescent="0.3">
      <c r="A1077" s="5" t="s">
        <v>43</v>
      </c>
      <c r="B1077" s="6">
        <v>40266</v>
      </c>
      <c r="C1077" s="5">
        <f t="shared" si="83"/>
        <v>14</v>
      </c>
      <c r="D1077" s="5">
        <f t="shared" si="80"/>
        <v>3</v>
      </c>
      <c r="E1077" s="5">
        <f t="shared" si="81"/>
        <v>2010</v>
      </c>
      <c r="F1077" s="5" t="s">
        <v>21</v>
      </c>
      <c r="G1077" s="5" t="s">
        <v>5</v>
      </c>
      <c r="H1077" s="7">
        <v>118848.59</v>
      </c>
      <c r="I1077" s="7">
        <v>127989.19</v>
      </c>
      <c r="J1077" s="7">
        <f t="shared" si="82"/>
        <v>9140.6000000000058</v>
      </c>
      <c r="K1077" s="8">
        <f t="shared" si="84"/>
        <v>7.6909620888224298E-2</v>
      </c>
    </row>
    <row r="1078" spans="1:11" x14ac:dyDescent="0.3">
      <c r="A1078" s="5" t="s">
        <v>43</v>
      </c>
      <c r="B1078" s="6">
        <v>40266</v>
      </c>
      <c r="C1078" s="5">
        <f t="shared" si="83"/>
        <v>14</v>
      </c>
      <c r="D1078" s="5">
        <f t="shared" si="80"/>
        <v>3</v>
      </c>
      <c r="E1078" s="5">
        <f t="shared" si="81"/>
        <v>2010</v>
      </c>
      <c r="F1078" s="5" t="s">
        <v>22</v>
      </c>
      <c r="G1078" s="5" t="s">
        <v>8</v>
      </c>
      <c r="H1078" s="7">
        <v>233061</v>
      </c>
      <c r="I1078" s="7">
        <v>254141.51</v>
      </c>
      <c r="J1078" s="7">
        <f t="shared" si="82"/>
        <v>21080.510000000009</v>
      </c>
      <c r="K1078" s="8">
        <f t="shared" si="84"/>
        <v>9.0450611642445583E-2</v>
      </c>
    </row>
    <row r="1079" spans="1:11" x14ac:dyDescent="0.3">
      <c r="A1079" s="5" t="s">
        <v>43</v>
      </c>
      <c r="B1079" s="6">
        <v>40266</v>
      </c>
      <c r="C1079" s="5">
        <f t="shared" si="83"/>
        <v>14</v>
      </c>
      <c r="D1079" s="5">
        <f t="shared" si="80"/>
        <v>3</v>
      </c>
      <c r="E1079" s="5">
        <f t="shared" si="81"/>
        <v>2010</v>
      </c>
      <c r="F1079" s="5" t="s">
        <v>23</v>
      </c>
      <c r="G1079" s="5" t="s">
        <v>8</v>
      </c>
      <c r="H1079" s="7">
        <v>232050.24</v>
      </c>
      <c r="I1079" s="7">
        <v>241099.42</v>
      </c>
      <c r="J1079" s="7">
        <f t="shared" si="82"/>
        <v>9049.1800000000221</v>
      </c>
      <c r="K1079" s="8">
        <f t="shared" si="84"/>
        <v>3.899664141696222E-2</v>
      </c>
    </row>
    <row r="1080" spans="1:11" x14ac:dyDescent="0.3">
      <c r="A1080" s="5" t="s">
        <v>43</v>
      </c>
      <c r="B1080" s="6">
        <v>40266</v>
      </c>
      <c r="C1080" s="5">
        <f t="shared" si="83"/>
        <v>14</v>
      </c>
      <c r="D1080" s="5">
        <f t="shared" si="80"/>
        <v>3</v>
      </c>
      <c r="E1080" s="5">
        <f t="shared" si="81"/>
        <v>2010</v>
      </c>
      <c r="F1080" s="5" t="s">
        <v>24</v>
      </c>
      <c r="G1080" s="5" t="s">
        <v>8</v>
      </c>
      <c r="H1080" s="7">
        <v>78733</v>
      </c>
      <c r="I1080" s="7">
        <v>82795.100000000006</v>
      </c>
      <c r="J1080" s="7">
        <f t="shared" si="82"/>
        <v>4062.1000000000058</v>
      </c>
      <c r="K1080" s="8">
        <f t="shared" si="84"/>
        <v>5.1593359836409204E-2</v>
      </c>
    </row>
    <row r="1081" spans="1:11" x14ac:dyDescent="0.3">
      <c r="A1081" s="5" t="s">
        <v>43</v>
      </c>
      <c r="B1081" s="6">
        <v>40266</v>
      </c>
      <c r="C1081" s="5">
        <f t="shared" si="83"/>
        <v>14</v>
      </c>
      <c r="D1081" s="5">
        <f t="shared" si="80"/>
        <v>3</v>
      </c>
      <c r="E1081" s="5">
        <f t="shared" si="81"/>
        <v>2010</v>
      </c>
      <c r="F1081" s="5" t="s">
        <v>25</v>
      </c>
      <c r="G1081" s="5" t="s">
        <v>8</v>
      </c>
      <c r="H1081" s="7">
        <v>17976.2</v>
      </c>
      <c r="I1081" s="7">
        <v>18286.71</v>
      </c>
      <c r="J1081" s="7">
        <f t="shared" si="82"/>
        <v>310.5099999999984</v>
      </c>
      <c r="K1081" s="8">
        <f t="shared" si="84"/>
        <v>1.727339482204239E-2</v>
      </c>
    </row>
    <row r="1082" spans="1:11" x14ac:dyDescent="0.3">
      <c r="A1082" s="5" t="s">
        <v>43</v>
      </c>
      <c r="B1082" s="6">
        <v>40266</v>
      </c>
      <c r="C1082" s="5">
        <f t="shared" si="83"/>
        <v>14</v>
      </c>
      <c r="D1082" s="5">
        <f t="shared" si="80"/>
        <v>3</v>
      </c>
      <c r="E1082" s="5">
        <f t="shared" si="81"/>
        <v>2010</v>
      </c>
      <c r="F1082" s="5" t="s">
        <v>27</v>
      </c>
      <c r="G1082" s="5" t="s">
        <v>10</v>
      </c>
      <c r="H1082" s="7">
        <v>58329.440000000002</v>
      </c>
      <c r="I1082" s="7">
        <v>66297.02</v>
      </c>
      <c r="J1082" s="7">
        <f t="shared" si="82"/>
        <v>7967.5800000000017</v>
      </c>
      <c r="K1082" s="8">
        <f t="shared" si="84"/>
        <v>0.13659620253511778</v>
      </c>
    </row>
    <row r="1083" spans="1:11" x14ac:dyDescent="0.3">
      <c r="A1083" s="5" t="s">
        <v>43</v>
      </c>
      <c r="B1083" s="6">
        <v>40266</v>
      </c>
      <c r="C1083" s="5">
        <f t="shared" si="83"/>
        <v>14</v>
      </c>
      <c r="D1083" s="5">
        <f t="shared" si="80"/>
        <v>3</v>
      </c>
      <c r="E1083" s="5">
        <f t="shared" si="81"/>
        <v>2010</v>
      </c>
      <c r="F1083" s="5" t="s">
        <v>28</v>
      </c>
      <c r="G1083" s="5" t="s">
        <v>10</v>
      </c>
      <c r="H1083" s="7">
        <v>40794.43</v>
      </c>
      <c r="I1083" s="7">
        <v>46658.13</v>
      </c>
      <c r="J1083" s="7">
        <f t="shared" si="82"/>
        <v>5863.6999999999971</v>
      </c>
      <c r="K1083" s="8">
        <f t="shared" si="84"/>
        <v>0.14373776027756724</v>
      </c>
    </row>
    <row r="1084" spans="1:11" x14ac:dyDescent="0.3">
      <c r="A1084" s="5" t="s">
        <v>43</v>
      </c>
      <c r="B1084" s="6">
        <v>40266</v>
      </c>
      <c r="C1084" s="5">
        <f t="shared" si="83"/>
        <v>14</v>
      </c>
      <c r="D1084" s="5">
        <f t="shared" si="80"/>
        <v>3</v>
      </c>
      <c r="E1084" s="5">
        <f t="shared" si="81"/>
        <v>2010</v>
      </c>
      <c r="F1084" s="5" t="s">
        <v>29</v>
      </c>
      <c r="G1084" s="5" t="s">
        <v>10</v>
      </c>
      <c r="H1084" s="7">
        <v>413009.47</v>
      </c>
      <c r="I1084" s="7">
        <v>452554.54</v>
      </c>
      <c r="J1084" s="7">
        <f t="shared" si="82"/>
        <v>39545.070000000007</v>
      </c>
      <c r="K1084" s="8">
        <f t="shared" si="84"/>
        <v>9.5748579324343358E-2</v>
      </c>
    </row>
    <row r="1085" spans="1:11" x14ac:dyDescent="0.3">
      <c r="A1085" s="5" t="s">
        <v>43</v>
      </c>
      <c r="B1085" s="6">
        <v>40266</v>
      </c>
      <c r="C1085" s="5">
        <f t="shared" si="83"/>
        <v>14</v>
      </c>
      <c r="D1085" s="5">
        <f t="shared" si="80"/>
        <v>3</v>
      </c>
      <c r="E1085" s="5">
        <f t="shared" si="81"/>
        <v>2010</v>
      </c>
      <c r="F1085" s="5" t="s">
        <v>30</v>
      </c>
      <c r="G1085" s="5" t="s">
        <v>10</v>
      </c>
      <c r="H1085" s="7">
        <v>67193.72</v>
      </c>
      <c r="I1085" s="7">
        <v>75771.87</v>
      </c>
      <c r="J1085" s="7">
        <f t="shared" si="82"/>
        <v>8578.1499999999942</v>
      </c>
      <c r="K1085" s="8">
        <f t="shared" si="84"/>
        <v>0.12766297207536648</v>
      </c>
    </row>
    <row r="1086" spans="1:11" x14ac:dyDescent="0.3">
      <c r="A1086" s="5" t="s">
        <v>43</v>
      </c>
      <c r="B1086" s="6">
        <v>40266</v>
      </c>
      <c r="C1086" s="5">
        <f t="shared" si="83"/>
        <v>14</v>
      </c>
      <c r="D1086" s="5">
        <f t="shared" si="80"/>
        <v>3</v>
      </c>
      <c r="E1086" s="5">
        <f t="shared" si="81"/>
        <v>2010</v>
      </c>
      <c r="F1086" s="5" t="s">
        <v>9</v>
      </c>
      <c r="G1086" s="5" t="s">
        <v>9</v>
      </c>
      <c r="H1086" s="7">
        <v>349689.82</v>
      </c>
      <c r="I1086" s="7">
        <v>410292.96</v>
      </c>
      <c r="J1086" s="7">
        <f t="shared" si="82"/>
        <v>60603.140000000014</v>
      </c>
      <c r="K1086" s="8">
        <f t="shared" si="84"/>
        <v>0.17330541678336536</v>
      </c>
    </row>
    <row r="1087" spans="1:11" x14ac:dyDescent="0.3">
      <c r="A1087" s="5" t="s">
        <v>43</v>
      </c>
      <c r="B1087" s="6">
        <v>40266</v>
      </c>
      <c r="C1087" s="5">
        <f t="shared" si="83"/>
        <v>14</v>
      </c>
      <c r="D1087" s="5">
        <f t="shared" si="80"/>
        <v>3</v>
      </c>
      <c r="E1087" s="5">
        <f t="shared" si="81"/>
        <v>2010</v>
      </c>
      <c r="F1087" s="5" t="s">
        <v>31</v>
      </c>
      <c r="G1087" s="5" t="s">
        <v>7</v>
      </c>
      <c r="H1087" s="7">
        <v>9001.33</v>
      </c>
      <c r="I1087" s="7">
        <v>19727.47</v>
      </c>
      <c r="J1087" s="7">
        <f t="shared" si="82"/>
        <v>10726.140000000001</v>
      </c>
      <c r="K1087" s="8">
        <f t="shared" si="84"/>
        <v>1.1916172387858239</v>
      </c>
    </row>
    <row r="1088" spans="1:11" x14ac:dyDescent="0.3">
      <c r="A1088" s="5" t="s">
        <v>43</v>
      </c>
      <c r="B1088" s="6">
        <v>40266</v>
      </c>
      <c r="C1088" s="5">
        <f t="shared" si="83"/>
        <v>14</v>
      </c>
      <c r="D1088" s="5">
        <f t="shared" si="80"/>
        <v>3</v>
      </c>
      <c r="E1088" s="5">
        <f t="shared" si="81"/>
        <v>2010</v>
      </c>
      <c r="F1088" s="5" t="s">
        <v>32</v>
      </c>
      <c r="G1088" s="5" t="s">
        <v>7</v>
      </c>
      <c r="H1088" s="7">
        <v>200.14</v>
      </c>
      <c r="I1088" s="7">
        <v>222.37</v>
      </c>
      <c r="J1088" s="7">
        <f t="shared" si="82"/>
        <v>22.230000000000018</v>
      </c>
      <c r="K1088" s="8">
        <f t="shared" si="84"/>
        <v>0.11107224942540232</v>
      </c>
    </row>
    <row r="1089" spans="1:11" x14ac:dyDescent="0.3">
      <c r="A1089" s="5" t="s">
        <v>43</v>
      </c>
      <c r="B1089" s="6">
        <v>40266</v>
      </c>
      <c r="C1089" s="5">
        <f t="shared" si="83"/>
        <v>14</v>
      </c>
      <c r="D1089" s="5">
        <f t="shared" si="80"/>
        <v>3</v>
      </c>
      <c r="E1089" s="5">
        <f t="shared" si="81"/>
        <v>2010</v>
      </c>
      <c r="F1089" s="5" t="s">
        <v>33</v>
      </c>
      <c r="G1089" s="5" t="s">
        <v>7</v>
      </c>
      <c r="H1089" s="7">
        <v>146625.42000000001</v>
      </c>
      <c r="I1089" s="7">
        <v>289802.15000000002</v>
      </c>
      <c r="J1089" s="7">
        <f t="shared" si="82"/>
        <v>143176.73000000001</v>
      </c>
      <c r="K1089" s="8">
        <f t="shared" si="84"/>
        <v>0.97647958996468687</v>
      </c>
    </row>
    <row r="1090" spans="1:11" x14ac:dyDescent="0.3">
      <c r="A1090" s="5" t="s">
        <v>43</v>
      </c>
      <c r="B1090" s="6">
        <v>40266</v>
      </c>
      <c r="C1090" s="5">
        <f t="shared" si="83"/>
        <v>14</v>
      </c>
      <c r="D1090" s="5">
        <f t="shared" ref="D1090:D1153" si="85">MONTH(B1090)</f>
        <v>3</v>
      </c>
      <c r="E1090" s="5">
        <f t="shared" ref="E1090:E1153" si="86">YEAR(B1090)</f>
        <v>2010</v>
      </c>
      <c r="F1090" s="5" t="s">
        <v>34</v>
      </c>
      <c r="G1090" s="5" t="s">
        <v>7</v>
      </c>
      <c r="H1090" s="7">
        <v>76</v>
      </c>
      <c r="I1090" s="7">
        <v>235.77</v>
      </c>
      <c r="J1090" s="7">
        <f t="shared" ref="J1090:J1153" si="87">I1090-H1090</f>
        <v>159.77000000000001</v>
      </c>
      <c r="K1090" s="8">
        <f t="shared" si="84"/>
        <v>2.1022368421052633</v>
      </c>
    </row>
    <row r="1091" spans="1:11" x14ac:dyDescent="0.3">
      <c r="A1091" s="5" t="s">
        <v>43</v>
      </c>
      <c r="B1091" s="6">
        <v>40266</v>
      </c>
      <c r="C1091" s="5">
        <f t="shared" ref="C1091:C1154" si="88">WEEKNUM(B1091,1)</f>
        <v>14</v>
      </c>
      <c r="D1091" s="5">
        <f t="shared" si="85"/>
        <v>3</v>
      </c>
      <c r="E1091" s="5">
        <f t="shared" si="86"/>
        <v>2010</v>
      </c>
      <c r="F1091" s="5" t="s">
        <v>35</v>
      </c>
      <c r="G1091" s="5" t="s">
        <v>11</v>
      </c>
      <c r="H1091" s="7">
        <v>2199.3200000000002</v>
      </c>
      <c r="I1091" s="7">
        <v>2858.78</v>
      </c>
      <c r="J1091" s="7">
        <f t="shared" si="87"/>
        <v>659.46</v>
      </c>
      <c r="K1091" s="8">
        <f t="shared" ref="K1091:K1154" si="89">(I1091-H1091)/H1091</f>
        <v>0.29984722550606552</v>
      </c>
    </row>
    <row r="1092" spans="1:11" x14ac:dyDescent="0.3">
      <c r="A1092" s="5" t="s">
        <v>43</v>
      </c>
      <c r="B1092" s="6">
        <v>40266</v>
      </c>
      <c r="C1092" s="5">
        <f t="shared" si="88"/>
        <v>14</v>
      </c>
      <c r="D1092" s="5">
        <f t="shared" si="85"/>
        <v>3</v>
      </c>
      <c r="E1092" s="5">
        <f t="shared" si="86"/>
        <v>2010</v>
      </c>
      <c r="F1092" s="5" t="s">
        <v>36</v>
      </c>
      <c r="G1092" s="5" t="s">
        <v>11</v>
      </c>
      <c r="H1092" s="7">
        <v>93941.440000000002</v>
      </c>
      <c r="I1092" s="7">
        <v>101951.85</v>
      </c>
      <c r="J1092" s="7">
        <f t="shared" si="87"/>
        <v>8010.4100000000035</v>
      </c>
      <c r="K1092" s="8">
        <f t="shared" si="89"/>
        <v>8.5270249210572066E-2</v>
      </c>
    </row>
    <row r="1093" spans="1:11" x14ac:dyDescent="0.3">
      <c r="A1093" s="5" t="s">
        <v>43</v>
      </c>
      <c r="B1093" s="6">
        <v>40266</v>
      </c>
      <c r="C1093" s="5">
        <f t="shared" si="88"/>
        <v>14</v>
      </c>
      <c r="D1093" s="5">
        <f t="shared" si="85"/>
        <v>3</v>
      </c>
      <c r="E1093" s="5">
        <f t="shared" si="86"/>
        <v>2010</v>
      </c>
      <c r="F1093" s="5" t="s">
        <v>37</v>
      </c>
      <c r="G1093" s="5" t="s">
        <v>11</v>
      </c>
      <c r="H1093" s="7">
        <v>221137.93</v>
      </c>
      <c r="I1093" s="7">
        <v>238363.17</v>
      </c>
      <c r="J1093" s="7">
        <f t="shared" si="87"/>
        <v>17225.24000000002</v>
      </c>
      <c r="K1093" s="8">
        <f t="shared" si="89"/>
        <v>7.7893647643351008E-2</v>
      </c>
    </row>
    <row r="1094" spans="1:11" x14ac:dyDescent="0.3">
      <c r="A1094" s="5" t="s">
        <v>43</v>
      </c>
      <c r="B1094" s="6">
        <v>40266</v>
      </c>
      <c r="C1094" s="5">
        <f t="shared" si="88"/>
        <v>14</v>
      </c>
      <c r="D1094" s="5">
        <f t="shared" si="85"/>
        <v>3</v>
      </c>
      <c r="E1094" s="5">
        <f t="shared" si="86"/>
        <v>2010</v>
      </c>
      <c r="F1094" s="5" t="s">
        <v>38</v>
      </c>
      <c r="G1094" s="5" t="s">
        <v>11</v>
      </c>
      <c r="H1094" s="7">
        <v>300537.75</v>
      </c>
      <c r="I1094" s="7">
        <v>306713.62</v>
      </c>
      <c r="J1094" s="7">
        <f t="shared" si="87"/>
        <v>6175.8699999999953</v>
      </c>
      <c r="K1094" s="8">
        <f t="shared" si="89"/>
        <v>2.0549398536456719E-2</v>
      </c>
    </row>
    <row r="1095" spans="1:11" x14ac:dyDescent="0.3">
      <c r="A1095" s="5" t="s">
        <v>43</v>
      </c>
      <c r="B1095" s="6">
        <v>40267</v>
      </c>
      <c r="C1095" s="5">
        <f t="shared" si="88"/>
        <v>14</v>
      </c>
      <c r="D1095" s="5">
        <f t="shared" si="85"/>
        <v>3</v>
      </c>
      <c r="E1095" s="5">
        <f t="shared" si="86"/>
        <v>2010</v>
      </c>
      <c r="F1095" s="5" t="s">
        <v>14</v>
      </c>
      <c r="G1095" s="5" t="s">
        <v>6</v>
      </c>
      <c r="H1095" s="7">
        <v>6779.97</v>
      </c>
      <c r="I1095" s="7">
        <v>8393.19</v>
      </c>
      <c r="J1095" s="7">
        <f t="shared" si="87"/>
        <v>1613.2200000000003</v>
      </c>
      <c r="K1095" s="8">
        <f t="shared" si="89"/>
        <v>0.23793910592524747</v>
      </c>
    </row>
    <row r="1096" spans="1:11" x14ac:dyDescent="0.3">
      <c r="A1096" s="5" t="s">
        <v>43</v>
      </c>
      <c r="B1096" s="6">
        <v>40267</v>
      </c>
      <c r="C1096" s="5">
        <f t="shared" si="88"/>
        <v>14</v>
      </c>
      <c r="D1096" s="5">
        <f t="shared" si="85"/>
        <v>3</v>
      </c>
      <c r="E1096" s="5">
        <f t="shared" si="86"/>
        <v>2010</v>
      </c>
      <c r="F1096" s="5" t="s">
        <v>15</v>
      </c>
      <c r="G1096" s="5" t="s">
        <v>6</v>
      </c>
      <c r="H1096" s="7">
        <v>180409.55</v>
      </c>
      <c r="I1096" s="7">
        <v>230585.88</v>
      </c>
      <c r="J1096" s="7">
        <f t="shared" si="87"/>
        <v>50176.330000000016</v>
      </c>
      <c r="K1096" s="8">
        <f t="shared" si="89"/>
        <v>0.2781245782166189</v>
      </c>
    </row>
    <row r="1097" spans="1:11" x14ac:dyDescent="0.3">
      <c r="A1097" s="5" t="s">
        <v>43</v>
      </c>
      <c r="B1097" s="6">
        <v>40267</v>
      </c>
      <c r="C1097" s="5">
        <f t="shared" si="88"/>
        <v>14</v>
      </c>
      <c r="D1097" s="5">
        <f t="shared" si="85"/>
        <v>3</v>
      </c>
      <c r="E1097" s="5">
        <f t="shared" si="86"/>
        <v>2010</v>
      </c>
      <c r="F1097" s="5" t="s">
        <v>16</v>
      </c>
      <c r="G1097" s="5" t="s">
        <v>6</v>
      </c>
      <c r="H1097" s="7">
        <v>75598.59</v>
      </c>
      <c r="I1097" s="7">
        <v>82949.070000000007</v>
      </c>
      <c r="J1097" s="7">
        <f t="shared" si="87"/>
        <v>7350.4800000000105</v>
      </c>
      <c r="K1097" s="8">
        <f t="shared" si="89"/>
        <v>9.7230384852416044E-2</v>
      </c>
    </row>
    <row r="1098" spans="1:11" x14ac:dyDescent="0.3">
      <c r="A1098" s="5" t="s">
        <v>43</v>
      </c>
      <c r="B1098" s="6">
        <v>40267</v>
      </c>
      <c r="C1098" s="5">
        <f t="shared" si="88"/>
        <v>14</v>
      </c>
      <c r="D1098" s="5">
        <f t="shared" si="85"/>
        <v>3</v>
      </c>
      <c r="E1098" s="5">
        <f t="shared" si="86"/>
        <v>2010</v>
      </c>
      <c r="F1098" s="5" t="s">
        <v>19</v>
      </c>
      <c r="G1098" s="5" t="s">
        <v>5</v>
      </c>
      <c r="H1098" s="7">
        <v>100698.55</v>
      </c>
      <c r="I1098" s="7">
        <v>109520.07</v>
      </c>
      <c r="J1098" s="7">
        <f t="shared" si="87"/>
        <v>8821.5200000000041</v>
      </c>
      <c r="K1098" s="8">
        <f t="shared" si="89"/>
        <v>8.7603247514487587E-2</v>
      </c>
    </row>
    <row r="1099" spans="1:11" x14ac:dyDescent="0.3">
      <c r="A1099" s="5" t="s">
        <v>43</v>
      </c>
      <c r="B1099" s="6">
        <v>40267</v>
      </c>
      <c r="C1099" s="5">
        <f t="shared" si="88"/>
        <v>14</v>
      </c>
      <c r="D1099" s="5">
        <f t="shared" si="85"/>
        <v>3</v>
      </c>
      <c r="E1099" s="5">
        <f t="shared" si="86"/>
        <v>2010</v>
      </c>
      <c r="F1099" s="5" t="s">
        <v>5</v>
      </c>
      <c r="G1099" s="5" t="s">
        <v>5</v>
      </c>
      <c r="H1099" s="7">
        <v>503250.9</v>
      </c>
      <c r="I1099" s="7">
        <v>532452.86</v>
      </c>
      <c r="J1099" s="7">
        <f t="shared" si="87"/>
        <v>29201.959999999963</v>
      </c>
      <c r="K1099" s="8">
        <f t="shared" si="89"/>
        <v>5.8026642376595772E-2</v>
      </c>
    </row>
    <row r="1100" spans="1:11" x14ac:dyDescent="0.3">
      <c r="A1100" s="5" t="s">
        <v>43</v>
      </c>
      <c r="B1100" s="6">
        <v>40267</v>
      </c>
      <c r="C1100" s="5">
        <f t="shared" si="88"/>
        <v>14</v>
      </c>
      <c r="D1100" s="5">
        <f t="shared" si="85"/>
        <v>3</v>
      </c>
      <c r="E1100" s="5">
        <f t="shared" si="86"/>
        <v>2010</v>
      </c>
      <c r="F1100" s="5" t="s">
        <v>20</v>
      </c>
      <c r="G1100" s="5" t="s">
        <v>5</v>
      </c>
      <c r="H1100" s="7">
        <v>98716.28</v>
      </c>
      <c r="I1100" s="7">
        <v>107604.69</v>
      </c>
      <c r="J1100" s="7">
        <f t="shared" si="87"/>
        <v>8888.4100000000035</v>
      </c>
      <c r="K1100" s="8">
        <f t="shared" si="89"/>
        <v>9.0039960987184725E-2</v>
      </c>
    </row>
    <row r="1101" spans="1:11" x14ac:dyDescent="0.3">
      <c r="A1101" s="5" t="s">
        <v>43</v>
      </c>
      <c r="B1101" s="6">
        <v>40267</v>
      </c>
      <c r="C1101" s="5">
        <f t="shared" si="88"/>
        <v>14</v>
      </c>
      <c r="D1101" s="5">
        <f t="shared" si="85"/>
        <v>3</v>
      </c>
      <c r="E1101" s="5">
        <f t="shared" si="86"/>
        <v>2010</v>
      </c>
      <c r="F1101" s="5" t="s">
        <v>21</v>
      </c>
      <c r="G1101" s="5" t="s">
        <v>5</v>
      </c>
      <c r="H1101" s="7">
        <v>220549.95</v>
      </c>
      <c r="I1101" s="7">
        <v>236022.65</v>
      </c>
      <c r="J1101" s="7">
        <f t="shared" si="87"/>
        <v>15472.699999999983</v>
      </c>
      <c r="K1101" s="8">
        <f t="shared" si="89"/>
        <v>7.0155082782834374E-2</v>
      </c>
    </row>
    <row r="1102" spans="1:11" x14ac:dyDescent="0.3">
      <c r="A1102" s="5" t="s">
        <v>43</v>
      </c>
      <c r="B1102" s="6">
        <v>40267</v>
      </c>
      <c r="C1102" s="5">
        <f t="shared" si="88"/>
        <v>14</v>
      </c>
      <c r="D1102" s="5">
        <f t="shared" si="85"/>
        <v>3</v>
      </c>
      <c r="E1102" s="5">
        <f t="shared" si="86"/>
        <v>2010</v>
      </c>
      <c r="F1102" s="5" t="s">
        <v>22</v>
      </c>
      <c r="G1102" s="5" t="s">
        <v>8</v>
      </c>
      <c r="H1102" s="7">
        <v>214549</v>
      </c>
      <c r="I1102" s="7">
        <v>237780.43</v>
      </c>
      <c r="J1102" s="7">
        <f t="shared" si="87"/>
        <v>23231.429999999993</v>
      </c>
      <c r="K1102" s="8">
        <f t="shared" si="89"/>
        <v>0.10828029960521836</v>
      </c>
    </row>
    <row r="1103" spans="1:11" x14ac:dyDescent="0.3">
      <c r="A1103" s="5" t="s">
        <v>43</v>
      </c>
      <c r="B1103" s="6">
        <v>40267</v>
      </c>
      <c r="C1103" s="5">
        <f t="shared" si="88"/>
        <v>14</v>
      </c>
      <c r="D1103" s="5">
        <f t="shared" si="85"/>
        <v>3</v>
      </c>
      <c r="E1103" s="5">
        <f t="shared" si="86"/>
        <v>2010</v>
      </c>
      <c r="F1103" s="5" t="s">
        <v>23</v>
      </c>
      <c r="G1103" s="5" t="s">
        <v>8</v>
      </c>
      <c r="H1103" s="7">
        <v>170056.97</v>
      </c>
      <c r="I1103" s="7">
        <v>178796.05</v>
      </c>
      <c r="J1103" s="7">
        <f t="shared" si="87"/>
        <v>8739.0799999999872</v>
      </c>
      <c r="K1103" s="8">
        <f t="shared" si="89"/>
        <v>5.1389131536331546E-2</v>
      </c>
    </row>
    <row r="1104" spans="1:11" x14ac:dyDescent="0.3">
      <c r="A1104" s="5" t="s">
        <v>43</v>
      </c>
      <c r="B1104" s="6">
        <v>40267</v>
      </c>
      <c r="C1104" s="5">
        <f t="shared" si="88"/>
        <v>14</v>
      </c>
      <c r="D1104" s="5">
        <f t="shared" si="85"/>
        <v>3</v>
      </c>
      <c r="E1104" s="5">
        <f t="shared" si="86"/>
        <v>2010</v>
      </c>
      <c r="F1104" s="5" t="s">
        <v>24</v>
      </c>
      <c r="G1104" s="5" t="s">
        <v>8</v>
      </c>
      <c r="H1104" s="7">
        <v>82145</v>
      </c>
      <c r="I1104" s="7">
        <v>86868.96</v>
      </c>
      <c r="J1104" s="7">
        <f t="shared" si="87"/>
        <v>4723.9600000000064</v>
      </c>
      <c r="K1104" s="8">
        <f t="shared" si="89"/>
        <v>5.750757806318104E-2</v>
      </c>
    </row>
    <row r="1105" spans="1:11" x14ac:dyDescent="0.3">
      <c r="A1105" s="5" t="s">
        <v>43</v>
      </c>
      <c r="B1105" s="6">
        <v>40267</v>
      </c>
      <c r="C1105" s="5">
        <f t="shared" si="88"/>
        <v>14</v>
      </c>
      <c r="D1105" s="5">
        <f t="shared" si="85"/>
        <v>3</v>
      </c>
      <c r="E1105" s="5">
        <f t="shared" si="86"/>
        <v>2010</v>
      </c>
      <c r="F1105" s="5" t="s">
        <v>25</v>
      </c>
      <c r="G1105" s="5" t="s">
        <v>8</v>
      </c>
      <c r="H1105" s="7">
        <v>11419.8</v>
      </c>
      <c r="I1105" s="7">
        <v>11860.1</v>
      </c>
      <c r="J1105" s="7">
        <f t="shared" si="87"/>
        <v>440.30000000000109</v>
      </c>
      <c r="K1105" s="8">
        <f t="shared" si="89"/>
        <v>3.8555841608434574E-2</v>
      </c>
    </row>
    <row r="1106" spans="1:11" x14ac:dyDescent="0.3">
      <c r="A1106" s="5" t="s">
        <v>43</v>
      </c>
      <c r="B1106" s="6">
        <v>40267</v>
      </c>
      <c r="C1106" s="5">
        <f t="shared" si="88"/>
        <v>14</v>
      </c>
      <c r="D1106" s="5">
        <f t="shared" si="85"/>
        <v>3</v>
      </c>
      <c r="E1106" s="5">
        <f t="shared" si="86"/>
        <v>2010</v>
      </c>
      <c r="F1106" s="5" t="s">
        <v>26</v>
      </c>
      <c r="G1106" s="5" t="s">
        <v>10</v>
      </c>
      <c r="H1106" s="7">
        <v>5850</v>
      </c>
      <c r="I1106" s="7">
        <v>6561.76</v>
      </c>
      <c r="J1106" s="7">
        <f t="shared" si="87"/>
        <v>711.76000000000022</v>
      </c>
      <c r="K1106" s="8">
        <f t="shared" si="89"/>
        <v>0.12166837606837611</v>
      </c>
    </row>
    <row r="1107" spans="1:11" x14ac:dyDescent="0.3">
      <c r="A1107" s="5" t="s">
        <v>43</v>
      </c>
      <c r="B1107" s="6">
        <v>40267</v>
      </c>
      <c r="C1107" s="5">
        <f t="shared" si="88"/>
        <v>14</v>
      </c>
      <c r="D1107" s="5">
        <f t="shared" si="85"/>
        <v>3</v>
      </c>
      <c r="E1107" s="5">
        <f t="shared" si="86"/>
        <v>2010</v>
      </c>
      <c r="F1107" s="5" t="s">
        <v>27</v>
      </c>
      <c r="G1107" s="5" t="s">
        <v>10</v>
      </c>
      <c r="H1107" s="7">
        <v>41434.25</v>
      </c>
      <c r="I1107" s="7">
        <v>47399.31</v>
      </c>
      <c r="J1107" s="7">
        <f t="shared" si="87"/>
        <v>5965.0599999999977</v>
      </c>
      <c r="K1107" s="8">
        <f t="shared" si="89"/>
        <v>0.14396447383505187</v>
      </c>
    </row>
    <row r="1108" spans="1:11" x14ac:dyDescent="0.3">
      <c r="A1108" s="5" t="s">
        <v>43</v>
      </c>
      <c r="B1108" s="6">
        <v>40267</v>
      </c>
      <c r="C1108" s="5">
        <f t="shared" si="88"/>
        <v>14</v>
      </c>
      <c r="D1108" s="5">
        <f t="shared" si="85"/>
        <v>3</v>
      </c>
      <c r="E1108" s="5">
        <f t="shared" si="86"/>
        <v>2010</v>
      </c>
      <c r="F1108" s="5" t="s">
        <v>28</v>
      </c>
      <c r="G1108" s="5" t="s">
        <v>10</v>
      </c>
      <c r="H1108" s="7">
        <v>55332.46</v>
      </c>
      <c r="I1108" s="7">
        <v>59995.06</v>
      </c>
      <c r="J1108" s="7">
        <f t="shared" si="87"/>
        <v>4662.5999999999985</v>
      </c>
      <c r="K1108" s="8">
        <f t="shared" si="89"/>
        <v>8.4265185390275416E-2</v>
      </c>
    </row>
    <row r="1109" spans="1:11" x14ac:dyDescent="0.3">
      <c r="A1109" s="5" t="s">
        <v>43</v>
      </c>
      <c r="B1109" s="6">
        <v>40267</v>
      </c>
      <c r="C1109" s="5">
        <f t="shared" si="88"/>
        <v>14</v>
      </c>
      <c r="D1109" s="5">
        <f t="shared" si="85"/>
        <v>3</v>
      </c>
      <c r="E1109" s="5">
        <f t="shared" si="86"/>
        <v>2010</v>
      </c>
      <c r="F1109" s="5" t="s">
        <v>29</v>
      </c>
      <c r="G1109" s="5" t="s">
        <v>10</v>
      </c>
      <c r="H1109" s="7">
        <v>479505.03</v>
      </c>
      <c r="I1109" s="7">
        <v>523456.13</v>
      </c>
      <c r="J1109" s="7">
        <f t="shared" si="87"/>
        <v>43951.099999999977</v>
      </c>
      <c r="K1109" s="8">
        <f t="shared" si="89"/>
        <v>9.1659309600985783E-2</v>
      </c>
    </row>
    <row r="1110" spans="1:11" x14ac:dyDescent="0.3">
      <c r="A1110" s="5" t="s">
        <v>43</v>
      </c>
      <c r="B1110" s="6">
        <v>40267</v>
      </c>
      <c r="C1110" s="5">
        <f t="shared" si="88"/>
        <v>14</v>
      </c>
      <c r="D1110" s="5">
        <f t="shared" si="85"/>
        <v>3</v>
      </c>
      <c r="E1110" s="5">
        <f t="shared" si="86"/>
        <v>2010</v>
      </c>
      <c r="F1110" s="5" t="s">
        <v>30</v>
      </c>
      <c r="G1110" s="5" t="s">
        <v>10</v>
      </c>
      <c r="H1110" s="7">
        <v>83807.86</v>
      </c>
      <c r="I1110" s="7">
        <v>95925.02</v>
      </c>
      <c r="J1110" s="7">
        <f t="shared" si="87"/>
        <v>12117.160000000003</v>
      </c>
      <c r="K1110" s="8">
        <f t="shared" si="89"/>
        <v>0.14458262029360974</v>
      </c>
    </row>
    <row r="1111" spans="1:11" x14ac:dyDescent="0.3">
      <c r="A1111" s="5" t="s">
        <v>43</v>
      </c>
      <c r="B1111" s="6">
        <v>40267</v>
      </c>
      <c r="C1111" s="5">
        <f t="shared" si="88"/>
        <v>14</v>
      </c>
      <c r="D1111" s="5">
        <f t="shared" si="85"/>
        <v>3</v>
      </c>
      <c r="E1111" s="5">
        <f t="shared" si="86"/>
        <v>2010</v>
      </c>
      <c r="F1111" s="5" t="s">
        <v>9</v>
      </c>
      <c r="G1111" s="5" t="s">
        <v>9</v>
      </c>
      <c r="H1111" s="7">
        <v>492061.43</v>
      </c>
      <c r="I1111" s="7">
        <v>574410.26</v>
      </c>
      <c r="J1111" s="7">
        <f t="shared" si="87"/>
        <v>82348.830000000016</v>
      </c>
      <c r="K1111" s="8">
        <f t="shared" si="89"/>
        <v>0.16735477519544667</v>
      </c>
    </row>
    <row r="1112" spans="1:11" x14ac:dyDescent="0.3">
      <c r="A1112" s="5" t="s">
        <v>43</v>
      </c>
      <c r="B1112" s="6">
        <v>40267</v>
      </c>
      <c r="C1112" s="5">
        <f t="shared" si="88"/>
        <v>14</v>
      </c>
      <c r="D1112" s="5">
        <f t="shared" si="85"/>
        <v>3</v>
      </c>
      <c r="E1112" s="5">
        <f t="shared" si="86"/>
        <v>2010</v>
      </c>
      <c r="F1112" s="5" t="s">
        <v>31</v>
      </c>
      <c r="G1112" s="5" t="s">
        <v>7</v>
      </c>
      <c r="H1112" s="7">
        <v>10272.02</v>
      </c>
      <c r="I1112" s="7">
        <v>22945.7</v>
      </c>
      <c r="J1112" s="7">
        <f t="shared" si="87"/>
        <v>12673.68</v>
      </c>
      <c r="K1112" s="8">
        <f t="shared" si="89"/>
        <v>1.2338060089446865</v>
      </c>
    </row>
    <row r="1113" spans="1:11" x14ac:dyDescent="0.3">
      <c r="A1113" s="5" t="s">
        <v>43</v>
      </c>
      <c r="B1113" s="6">
        <v>40267</v>
      </c>
      <c r="C1113" s="5">
        <f t="shared" si="88"/>
        <v>14</v>
      </c>
      <c r="D1113" s="5">
        <f t="shared" si="85"/>
        <v>3</v>
      </c>
      <c r="E1113" s="5">
        <f t="shared" si="86"/>
        <v>2010</v>
      </c>
      <c r="F1113" s="5" t="s">
        <v>32</v>
      </c>
      <c r="G1113" s="5" t="s">
        <v>7</v>
      </c>
      <c r="H1113" s="7">
        <v>2835</v>
      </c>
      <c r="I1113" s="7">
        <v>3158.39</v>
      </c>
      <c r="J1113" s="7">
        <f t="shared" si="87"/>
        <v>323.38999999999987</v>
      </c>
      <c r="K1113" s="8">
        <f t="shared" si="89"/>
        <v>0.11407054673721335</v>
      </c>
    </row>
    <row r="1114" spans="1:11" x14ac:dyDescent="0.3">
      <c r="A1114" s="5" t="s">
        <v>43</v>
      </c>
      <c r="B1114" s="6">
        <v>40267</v>
      </c>
      <c r="C1114" s="5">
        <f t="shared" si="88"/>
        <v>14</v>
      </c>
      <c r="D1114" s="5">
        <f t="shared" si="85"/>
        <v>3</v>
      </c>
      <c r="E1114" s="5">
        <f t="shared" si="86"/>
        <v>2010</v>
      </c>
      <c r="F1114" s="5" t="s">
        <v>33</v>
      </c>
      <c r="G1114" s="5" t="s">
        <v>7</v>
      </c>
      <c r="H1114" s="7">
        <v>166987.84</v>
      </c>
      <c r="I1114" s="7">
        <v>324966.27</v>
      </c>
      <c r="J1114" s="7">
        <f t="shared" si="87"/>
        <v>157978.43000000002</v>
      </c>
      <c r="K1114" s="8">
        <f t="shared" si="89"/>
        <v>0.94604750860901021</v>
      </c>
    </row>
    <row r="1115" spans="1:11" x14ac:dyDescent="0.3">
      <c r="A1115" s="5" t="s">
        <v>43</v>
      </c>
      <c r="B1115" s="6">
        <v>40267</v>
      </c>
      <c r="C1115" s="5">
        <f t="shared" si="88"/>
        <v>14</v>
      </c>
      <c r="D1115" s="5">
        <f t="shared" si="85"/>
        <v>3</v>
      </c>
      <c r="E1115" s="5">
        <f t="shared" si="86"/>
        <v>2010</v>
      </c>
      <c r="F1115" s="5" t="s">
        <v>35</v>
      </c>
      <c r="G1115" s="5" t="s">
        <v>11</v>
      </c>
      <c r="H1115" s="7">
        <v>665.88</v>
      </c>
      <c r="I1115" s="7">
        <v>787.12</v>
      </c>
      <c r="J1115" s="7">
        <f t="shared" si="87"/>
        <v>121.24000000000001</v>
      </c>
      <c r="K1115" s="8">
        <f t="shared" si="89"/>
        <v>0.18207484832101881</v>
      </c>
    </row>
    <row r="1116" spans="1:11" x14ac:dyDescent="0.3">
      <c r="A1116" s="5" t="s">
        <v>43</v>
      </c>
      <c r="B1116" s="6">
        <v>40267</v>
      </c>
      <c r="C1116" s="5">
        <f t="shared" si="88"/>
        <v>14</v>
      </c>
      <c r="D1116" s="5">
        <f t="shared" si="85"/>
        <v>3</v>
      </c>
      <c r="E1116" s="5">
        <f t="shared" si="86"/>
        <v>2010</v>
      </c>
      <c r="F1116" s="5" t="s">
        <v>36</v>
      </c>
      <c r="G1116" s="5" t="s">
        <v>11</v>
      </c>
      <c r="H1116" s="7">
        <v>104593.91</v>
      </c>
      <c r="I1116" s="7">
        <v>115267.87</v>
      </c>
      <c r="J1116" s="7">
        <f t="shared" si="87"/>
        <v>10673.959999999992</v>
      </c>
      <c r="K1116" s="8">
        <f t="shared" si="89"/>
        <v>0.10205144831090061</v>
      </c>
    </row>
    <row r="1117" spans="1:11" x14ac:dyDescent="0.3">
      <c r="A1117" s="5" t="s">
        <v>43</v>
      </c>
      <c r="B1117" s="6">
        <v>40267</v>
      </c>
      <c r="C1117" s="5">
        <f t="shared" si="88"/>
        <v>14</v>
      </c>
      <c r="D1117" s="5">
        <f t="shared" si="85"/>
        <v>3</v>
      </c>
      <c r="E1117" s="5">
        <f t="shared" si="86"/>
        <v>2010</v>
      </c>
      <c r="F1117" s="5" t="s">
        <v>37</v>
      </c>
      <c r="G1117" s="5" t="s">
        <v>11</v>
      </c>
      <c r="H1117" s="7">
        <v>253017.36</v>
      </c>
      <c r="I1117" s="7">
        <v>278465.94</v>
      </c>
      <c r="J1117" s="7">
        <f t="shared" si="87"/>
        <v>25448.580000000016</v>
      </c>
      <c r="K1117" s="8">
        <f t="shared" si="89"/>
        <v>0.10058037124409178</v>
      </c>
    </row>
    <row r="1118" spans="1:11" x14ac:dyDescent="0.3">
      <c r="A1118" s="5" t="s">
        <v>43</v>
      </c>
      <c r="B1118" s="6">
        <v>40267</v>
      </c>
      <c r="C1118" s="5">
        <f t="shared" si="88"/>
        <v>14</v>
      </c>
      <c r="D1118" s="5">
        <f t="shared" si="85"/>
        <v>3</v>
      </c>
      <c r="E1118" s="5">
        <f t="shared" si="86"/>
        <v>2010</v>
      </c>
      <c r="F1118" s="5" t="s">
        <v>38</v>
      </c>
      <c r="G1118" s="5" t="s">
        <v>11</v>
      </c>
      <c r="H1118" s="7">
        <v>332855.11</v>
      </c>
      <c r="I1118" s="7">
        <v>340003.16</v>
      </c>
      <c r="J1118" s="7">
        <f t="shared" si="87"/>
        <v>7148.0499999999884</v>
      </c>
      <c r="K1118" s="8">
        <f t="shared" si="89"/>
        <v>2.1474959480117305E-2</v>
      </c>
    </row>
    <row r="1119" spans="1:11" x14ac:dyDescent="0.3">
      <c r="A1119" s="5" t="s">
        <v>43</v>
      </c>
      <c r="B1119" s="6">
        <v>40268</v>
      </c>
      <c r="C1119" s="5">
        <f t="shared" si="88"/>
        <v>14</v>
      </c>
      <c r="D1119" s="5">
        <f t="shared" si="85"/>
        <v>3</v>
      </c>
      <c r="E1119" s="5">
        <f t="shared" si="86"/>
        <v>2010</v>
      </c>
      <c r="F1119" s="5" t="s">
        <v>14</v>
      </c>
      <c r="G1119" s="5" t="s">
        <v>6</v>
      </c>
      <c r="H1119" s="7">
        <v>7214.99</v>
      </c>
      <c r="I1119" s="7">
        <v>8877.42</v>
      </c>
      <c r="J1119" s="7">
        <f t="shared" si="87"/>
        <v>1662.4300000000003</v>
      </c>
      <c r="K1119" s="8">
        <f t="shared" si="89"/>
        <v>0.23041334776624781</v>
      </c>
    </row>
    <row r="1120" spans="1:11" x14ac:dyDescent="0.3">
      <c r="A1120" s="5" t="s">
        <v>43</v>
      </c>
      <c r="B1120" s="6">
        <v>40268</v>
      </c>
      <c r="C1120" s="5">
        <f t="shared" si="88"/>
        <v>14</v>
      </c>
      <c r="D1120" s="5">
        <f t="shared" si="85"/>
        <v>3</v>
      </c>
      <c r="E1120" s="5">
        <f t="shared" si="86"/>
        <v>2010</v>
      </c>
      <c r="F1120" s="5" t="s">
        <v>15</v>
      </c>
      <c r="G1120" s="5" t="s">
        <v>6</v>
      </c>
      <c r="H1120" s="7">
        <v>205531.9</v>
      </c>
      <c r="I1120" s="7">
        <v>281441.98</v>
      </c>
      <c r="J1120" s="7">
        <f t="shared" si="87"/>
        <v>75910.079999999987</v>
      </c>
      <c r="K1120" s="8">
        <f t="shared" si="89"/>
        <v>0.36933478452736529</v>
      </c>
    </row>
    <row r="1121" spans="1:11" x14ac:dyDescent="0.3">
      <c r="A1121" s="5" t="s">
        <v>43</v>
      </c>
      <c r="B1121" s="6">
        <v>40268</v>
      </c>
      <c r="C1121" s="5">
        <f t="shared" si="88"/>
        <v>14</v>
      </c>
      <c r="D1121" s="5">
        <f t="shared" si="85"/>
        <v>3</v>
      </c>
      <c r="E1121" s="5">
        <f t="shared" si="86"/>
        <v>2010</v>
      </c>
      <c r="F1121" s="5" t="s">
        <v>16</v>
      </c>
      <c r="G1121" s="5" t="s">
        <v>6</v>
      </c>
      <c r="H1121" s="7">
        <v>72783.02</v>
      </c>
      <c r="I1121" s="7">
        <v>79643.45</v>
      </c>
      <c r="J1121" s="7">
        <f t="shared" si="87"/>
        <v>6860.429999999993</v>
      </c>
      <c r="K1121" s="8">
        <f t="shared" si="89"/>
        <v>9.4258660879968884E-2</v>
      </c>
    </row>
    <row r="1122" spans="1:11" x14ac:dyDescent="0.3">
      <c r="A1122" s="5" t="s">
        <v>43</v>
      </c>
      <c r="B1122" s="6">
        <v>40268</v>
      </c>
      <c r="C1122" s="5">
        <f t="shared" si="88"/>
        <v>14</v>
      </c>
      <c r="D1122" s="5">
        <f t="shared" si="85"/>
        <v>3</v>
      </c>
      <c r="E1122" s="5">
        <f t="shared" si="86"/>
        <v>2010</v>
      </c>
      <c r="F1122" s="5" t="s">
        <v>17</v>
      </c>
      <c r="G1122" s="5" t="s">
        <v>6</v>
      </c>
      <c r="H1122" s="7">
        <v>994</v>
      </c>
      <c r="I1122" s="7">
        <v>1142.94</v>
      </c>
      <c r="J1122" s="7">
        <f t="shared" si="87"/>
        <v>148.94000000000005</v>
      </c>
      <c r="K1122" s="8">
        <f t="shared" si="89"/>
        <v>0.14983903420523145</v>
      </c>
    </row>
    <row r="1123" spans="1:11" x14ac:dyDescent="0.3">
      <c r="A1123" s="5" t="s">
        <v>43</v>
      </c>
      <c r="B1123" s="6">
        <v>40268</v>
      </c>
      <c r="C1123" s="5">
        <f t="shared" si="88"/>
        <v>14</v>
      </c>
      <c r="D1123" s="5">
        <f t="shared" si="85"/>
        <v>3</v>
      </c>
      <c r="E1123" s="5">
        <f t="shared" si="86"/>
        <v>2010</v>
      </c>
      <c r="F1123" s="5" t="s">
        <v>19</v>
      </c>
      <c r="G1123" s="5" t="s">
        <v>5</v>
      </c>
      <c r="H1123" s="7">
        <v>110244.68</v>
      </c>
      <c r="I1123" s="7">
        <v>119843.58</v>
      </c>
      <c r="J1123" s="7">
        <f t="shared" si="87"/>
        <v>9598.9000000000087</v>
      </c>
      <c r="K1123" s="8">
        <f t="shared" si="89"/>
        <v>8.7069054035079141E-2</v>
      </c>
    </row>
    <row r="1124" spans="1:11" x14ac:dyDescent="0.3">
      <c r="A1124" s="5" t="s">
        <v>43</v>
      </c>
      <c r="B1124" s="6">
        <v>40268</v>
      </c>
      <c r="C1124" s="5">
        <f t="shared" si="88"/>
        <v>14</v>
      </c>
      <c r="D1124" s="5">
        <f t="shared" si="85"/>
        <v>3</v>
      </c>
      <c r="E1124" s="5">
        <f t="shared" si="86"/>
        <v>2010</v>
      </c>
      <c r="F1124" s="5" t="s">
        <v>5</v>
      </c>
      <c r="G1124" s="5" t="s">
        <v>5</v>
      </c>
      <c r="H1124" s="7">
        <v>656217.67000000004</v>
      </c>
      <c r="I1124" s="7">
        <v>685443.87</v>
      </c>
      <c r="J1124" s="7">
        <f t="shared" si="87"/>
        <v>29226.199999999953</v>
      </c>
      <c r="K1124" s="8">
        <f t="shared" si="89"/>
        <v>4.4537356027002366E-2</v>
      </c>
    </row>
    <row r="1125" spans="1:11" x14ac:dyDescent="0.3">
      <c r="A1125" s="5" t="s">
        <v>43</v>
      </c>
      <c r="B1125" s="6">
        <v>40268</v>
      </c>
      <c r="C1125" s="5">
        <f t="shared" si="88"/>
        <v>14</v>
      </c>
      <c r="D1125" s="5">
        <f t="shared" si="85"/>
        <v>3</v>
      </c>
      <c r="E1125" s="5">
        <f t="shared" si="86"/>
        <v>2010</v>
      </c>
      <c r="F1125" s="5" t="s">
        <v>20</v>
      </c>
      <c r="G1125" s="5" t="s">
        <v>5</v>
      </c>
      <c r="H1125" s="7">
        <v>96405</v>
      </c>
      <c r="I1125" s="7">
        <v>105352.29</v>
      </c>
      <c r="J1125" s="7">
        <f t="shared" si="87"/>
        <v>8947.2899999999936</v>
      </c>
      <c r="K1125" s="8">
        <f t="shared" si="89"/>
        <v>9.2809397852808395E-2</v>
      </c>
    </row>
    <row r="1126" spans="1:11" x14ac:dyDescent="0.3">
      <c r="A1126" s="5" t="s">
        <v>43</v>
      </c>
      <c r="B1126" s="6">
        <v>40268</v>
      </c>
      <c r="C1126" s="5">
        <f t="shared" si="88"/>
        <v>14</v>
      </c>
      <c r="D1126" s="5">
        <f t="shared" si="85"/>
        <v>3</v>
      </c>
      <c r="E1126" s="5">
        <f t="shared" si="86"/>
        <v>2010</v>
      </c>
      <c r="F1126" s="5" t="s">
        <v>21</v>
      </c>
      <c r="G1126" s="5" t="s">
        <v>5</v>
      </c>
      <c r="H1126" s="7">
        <v>232057.16</v>
      </c>
      <c r="I1126" s="7">
        <v>245873.49</v>
      </c>
      <c r="J1126" s="7">
        <f t="shared" si="87"/>
        <v>13816.329999999987</v>
      </c>
      <c r="K1126" s="8">
        <f t="shared" si="89"/>
        <v>5.9538477502697987E-2</v>
      </c>
    </row>
    <row r="1127" spans="1:11" x14ac:dyDescent="0.3">
      <c r="A1127" s="5" t="s">
        <v>43</v>
      </c>
      <c r="B1127" s="6">
        <v>40268</v>
      </c>
      <c r="C1127" s="5">
        <f t="shared" si="88"/>
        <v>14</v>
      </c>
      <c r="D1127" s="5">
        <f t="shared" si="85"/>
        <v>3</v>
      </c>
      <c r="E1127" s="5">
        <f t="shared" si="86"/>
        <v>2010</v>
      </c>
      <c r="F1127" s="5" t="s">
        <v>22</v>
      </c>
      <c r="G1127" s="5" t="s">
        <v>8</v>
      </c>
      <c r="H1127" s="7">
        <v>297658.96999999997</v>
      </c>
      <c r="I1127" s="7">
        <v>320813.05</v>
      </c>
      <c r="J1127" s="7">
        <f t="shared" si="87"/>
        <v>23154.080000000016</v>
      </c>
      <c r="K1127" s="8">
        <f t="shared" si="89"/>
        <v>7.7787274477231508E-2</v>
      </c>
    </row>
    <row r="1128" spans="1:11" x14ac:dyDescent="0.3">
      <c r="A1128" s="5" t="s">
        <v>43</v>
      </c>
      <c r="B1128" s="6">
        <v>40268</v>
      </c>
      <c r="C1128" s="5">
        <f t="shared" si="88"/>
        <v>14</v>
      </c>
      <c r="D1128" s="5">
        <f t="shared" si="85"/>
        <v>3</v>
      </c>
      <c r="E1128" s="5">
        <f t="shared" si="86"/>
        <v>2010</v>
      </c>
      <c r="F1128" s="5" t="s">
        <v>23</v>
      </c>
      <c r="G1128" s="5" t="s">
        <v>8</v>
      </c>
      <c r="H1128" s="7">
        <v>155873.24</v>
      </c>
      <c r="I1128" s="7">
        <v>162726.03</v>
      </c>
      <c r="J1128" s="7">
        <f t="shared" si="87"/>
        <v>6852.7900000000081</v>
      </c>
      <c r="K1128" s="8">
        <f t="shared" si="89"/>
        <v>4.3963864483730554E-2</v>
      </c>
    </row>
    <row r="1129" spans="1:11" x14ac:dyDescent="0.3">
      <c r="A1129" s="5" t="s">
        <v>43</v>
      </c>
      <c r="B1129" s="6">
        <v>40268</v>
      </c>
      <c r="C1129" s="5">
        <f t="shared" si="88"/>
        <v>14</v>
      </c>
      <c r="D1129" s="5">
        <f t="shared" si="85"/>
        <v>3</v>
      </c>
      <c r="E1129" s="5">
        <f t="shared" si="86"/>
        <v>2010</v>
      </c>
      <c r="F1129" s="5" t="s">
        <v>24</v>
      </c>
      <c r="G1129" s="5" t="s">
        <v>8</v>
      </c>
      <c r="H1129" s="7">
        <v>101402.99</v>
      </c>
      <c r="I1129" s="7">
        <v>106601.1</v>
      </c>
      <c r="J1129" s="7">
        <f t="shared" si="87"/>
        <v>5198.1100000000006</v>
      </c>
      <c r="K1129" s="8">
        <f t="shared" si="89"/>
        <v>5.1261900659931234E-2</v>
      </c>
    </row>
    <row r="1130" spans="1:11" x14ac:dyDescent="0.3">
      <c r="A1130" s="5" t="s">
        <v>43</v>
      </c>
      <c r="B1130" s="6">
        <v>40268</v>
      </c>
      <c r="C1130" s="5">
        <f t="shared" si="88"/>
        <v>14</v>
      </c>
      <c r="D1130" s="5">
        <f t="shared" si="85"/>
        <v>3</v>
      </c>
      <c r="E1130" s="5">
        <f t="shared" si="86"/>
        <v>2010</v>
      </c>
      <c r="F1130" s="5" t="s">
        <v>25</v>
      </c>
      <c r="G1130" s="5" t="s">
        <v>8</v>
      </c>
      <c r="H1130" s="7">
        <v>11618.4</v>
      </c>
      <c r="I1130" s="7">
        <v>11832.76</v>
      </c>
      <c r="J1130" s="7">
        <f t="shared" si="87"/>
        <v>214.36000000000058</v>
      </c>
      <c r="K1130" s="8">
        <f t="shared" si="89"/>
        <v>1.845004475659304E-2</v>
      </c>
    </row>
    <row r="1131" spans="1:11" x14ac:dyDescent="0.3">
      <c r="A1131" s="5" t="s">
        <v>43</v>
      </c>
      <c r="B1131" s="6">
        <v>40268</v>
      </c>
      <c r="C1131" s="5">
        <f t="shared" si="88"/>
        <v>14</v>
      </c>
      <c r="D1131" s="5">
        <f t="shared" si="85"/>
        <v>3</v>
      </c>
      <c r="E1131" s="5">
        <f t="shared" si="86"/>
        <v>2010</v>
      </c>
      <c r="F1131" s="5" t="s">
        <v>26</v>
      </c>
      <c r="G1131" s="5" t="s">
        <v>10</v>
      </c>
      <c r="H1131" s="7">
        <v>1300</v>
      </c>
      <c r="I1131" s="7">
        <v>1495.48</v>
      </c>
      <c r="J1131" s="7">
        <f t="shared" si="87"/>
        <v>195.48000000000002</v>
      </c>
      <c r="K1131" s="8">
        <f t="shared" si="89"/>
        <v>0.15036923076923078</v>
      </c>
    </row>
    <row r="1132" spans="1:11" x14ac:dyDescent="0.3">
      <c r="A1132" s="5" t="s">
        <v>43</v>
      </c>
      <c r="B1132" s="6">
        <v>40268</v>
      </c>
      <c r="C1132" s="5">
        <f t="shared" si="88"/>
        <v>14</v>
      </c>
      <c r="D1132" s="5">
        <f t="shared" si="85"/>
        <v>3</v>
      </c>
      <c r="E1132" s="5">
        <f t="shared" si="86"/>
        <v>2010</v>
      </c>
      <c r="F1132" s="5" t="s">
        <v>27</v>
      </c>
      <c r="G1132" s="5" t="s">
        <v>10</v>
      </c>
      <c r="H1132" s="7">
        <v>103842.14</v>
      </c>
      <c r="I1132" s="7">
        <v>118511.85</v>
      </c>
      <c r="J1132" s="7">
        <f t="shared" si="87"/>
        <v>14669.710000000006</v>
      </c>
      <c r="K1132" s="8">
        <f t="shared" si="89"/>
        <v>0.14126933439545841</v>
      </c>
    </row>
    <row r="1133" spans="1:11" x14ac:dyDescent="0.3">
      <c r="A1133" s="5" t="s">
        <v>43</v>
      </c>
      <c r="B1133" s="6">
        <v>40268</v>
      </c>
      <c r="C1133" s="5">
        <f t="shared" si="88"/>
        <v>14</v>
      </c>
      <c r="D1133" s="5">
        <f t="shared" si="85"/>
        <v>3</v>
      </c>
      <c r="E1133" s="5">
        <f t="shared" si="86"/>
        <v>2010</v>
      </c>
      <c r="F1133" s="5" t="s">
        <v>28</v>
      </c>
      <c r="G1133" s="5" t="s">
        <v>10</v>
      </c>
      <c r="H1133" s="7">
        <v>58329.46</v>
      </c>
      <c r="I1133" s="7">
        <v>60152.26</v>
      </c>
      <c r="J1133" s="7">
        <f t="shared" si="87"/>
        <v>1822.8000000000029</v>
      </c>
      <c r="K1133" s="8">
        <f t="shared" si="89"/>
        <v>3.1250075004980379E-2</v>
      </c>
    </row>
    <row r="1134" spans="1:11" x14ac:dyDescent="0.3">
      <c r="A1134" s="5" t="s">
        <v>43</v>
      </c>
      <c r="B1134" s="6">
        <v>40268</v>
      </c>
      <c r="C1134" s="5">
        <f t="shared" si="88"/>
        <v>14</v>
      </c>
      <c r="D1134" s="5">
        <f t="shared" si="85"/>
        <v>3</v>
      </c>
      <c r="E1134" s="5">
        <f t="shared" si="86"/>
        <v>2010</v>
      </c>
      <c r="F1134" s="5" t="s">
        <v>29</v>
      </c>
      <c r="G1134" s="5" t="s">
        <v>10</v>
      </c>
      <c r="H1134" s="7">
        <v>537855.62</v>
      </c>
      <c r="I1134" s="7">
        <v>587201.15</v>
      </c>
      <c r="J1134" s="7">
        <f t="shared" si="87"/>
        <v>49345.530000000028</v>
      </c>
      <c r="K1134" s="8">
        <f t="shared" si="89"/>
        <v>9.1744937052066183E-2</v>
      </c>
    </row>
    <row r="1135" spans="1:11" x14ac:dyDescent="0.3">
      <c r="A1135" s="5" t="s">
        <v>43</v>
      </c>
      <c r="B1135" s="6">
        <v>40268</v>
      </c>
      <c r="C1135" s="5">
        <f t="shared" si="88"/>
        <v>14</v>
      </c>
      <c r="D1135" s="5">
        <f t="shared" si="85"/>
        <v>3</v>
      </c>
      <c r="E1135" s="5">
        <f t="shared" si="86"/>
        <v>2010</v>
      </c>
      <c r="F1135" s="5" t="s">
        <v>30</v>
      </c>
      <c r="G1135" s="5" t="s">
        <v>10</v>
      </c>
      <c r="H1135" s="7">
        <v>66996.36</v>
      </c>
      <c r="I1135" s="7">
        <v>75435.62</v>
      </c>
      <c r="J1135" s="7">
        <f t="shared" si="87"/>
        <v>8439.2599999999948</v>
      </c>
      <c r="K1135" s="8">
        <f t="shared" si="89"/>
        <v>0.12596594800075697</v>
      </c>
    </row>
    <row r="1136" spans="1:11" x14ac:dyDescent="0.3">
      <c r="A1136" s="5" t="s">
        <v>43</v>
      </c>
      <c r="B1136" s="6">
        <v>40268</v>
      </c>
      <c r="C1136" s="5">
        <f t="shared" si="88"/>
        <v>14</v>
      </c>
      <c r="D1136" s="5">
        <f t="shared" si="85"/>
        <v>3</v>
      </c>
      <c r="E1136" s="5">
        <f t="shared" si="86"/>
        <v>2010</v>
      </c>
      <c r="F1136" s="5" t="s">
        <v>9</v>
      </c>
      <c r="G1136" s="5" t="s">
        <v>9</v>
      </c>
      <c r="H1136" s="7">
        <v>509377.86</v>
      </c>
      <c r="I1136" s="7">
        <v>586235.26</v>
      </c>
      <c r="J1136" s="7">
        <f t="shared" si="87"/>
        <v>76857.400000000023</v>
      </c>
      <c r="K1136" s="8">
        <f t="shared" si="89"/>
        <v>0.15088484607477839</v>
      </c>
    </row>
    <row r="1137" spans="1:11" x14ac:dyDescent="0.3">
      <c r="A1137" s="5" t="s">
        <v>43</v>
      </c>
      <c r="B1137" s="6">
        <v>40268</v>
      </c>
      <c r="C1137" s="5">
        <f t="shared" si="88"/>
        <v>14</v>
      </c>
      <c r="D1137" s="5">
        <f t="shared" si="85"/>
        <v>3</v>
      </c>
      <c r="E1137" s="5">
        <f t="shared" si="86"/>
        <v>2010</v>
      </c>
      <c r="F1137" s="5" t="s">
        <v>31</v>
      </c>
      <c r="G1137" s="5" t="s">
        <v>7</v>
      </c>
      <c r="H1137" s="7">
        <v>10565.55</v>
      </c>
      <c r="I1137" s="7">
        <v>23485.61</v>
      </c>
      <c r="J1137" s="7">
        <f t="shared" si="87"/>
        <v>12920.060000000001</v>
      </c>
      <c r="K1137" s="8">
        <f t="shared" si="89"/>
        <v>1.2228478403869181</v>
      </c>
    </row>
    <row r="1138" spans="1:11" x14ac:dyDescent="0.3">
      <c r="A1138" s="5" t="s">
        <v>43</v>
      </c>
      <c r="B1138" s="6">
        <v>40268</v>
      </c>
      <c r="C1138" s="5">
        <f t="shared" si="88"/>
        <v>14</v>
      </c>
      <c r="D1138" s="5">
        <f t="shared" si="85"/>
        <v>3</v>
      </c>
      <c r="E1138" s="5">
        <f t="shared" si="86"/>
        <v>2010</v>
      </c>
      <c r="F1138" s="5" t="s">
        <v>32</v>
      </c>
      <c r="G1138" s="5" t="s">
        <v>7</v>
      </c>
      <c r="H1138" s="7">
        <v>8995.1299999999992</v>
      </c>
      <c r="I1138" s="7">
        <v>10019.26</v>
      </c>
      <c r="J1138" s="7">
        <f t="shared" si="87"/>
        <v>1024.130000000001</v>
      </c>
      <c r="K1138" s="8">
        <f t="shared" si="89"/>
        <v>0.11385382979456674</v>
      </c>
    </row>
    <row r="1139" spans="1:11" x14ac:dyDescent="0.3">
      <c r="A1139" s="5" t="s">
        <v>43</v>
      </c>
      <c r="B1139" s="6">
        <v>40268</v>
      </c>
      <c r="C1139" s="5">
        <f t="shared" si="88"/>
        <v>14</v>
      </c>
      <c r="D1139" s="5">
        <f t="shared" si="85"/>
        <v>3</v>
      </c>
      <c r="E1139" s="5">
        <f t="shared" si="86"/>
        <v>2010</v>
      </c>
      <c r="F1139" s="5" t="s">
        <v>33</v>
      </c>
      <c r="G1139" s="5" t="s">
        <v>7</v>
      </c>
      <c r="H1139" s="7">
        <v>165050.79</v>
      </c>
      <c r="I1139" s="7">
        <v>327760.88</v>
      </c>
      <c r="J1139" s="7">
        <f t="shared" si="87"/>
        <v>162710.09</v>
      </c>
      <c r="K1139" s="8">
        <f t="shared" si="89"/>
        <v>0.98581830477757781</v>
      </c>
    </row>
    <row r="1140" spans="1:11" x14ac:dyDescent="0.3">
      <c r="A1140" s="5" t="s">
        <v>43</v>
      </c>
      <c r="B1140" s="6">
        <v>40268</v>
      </c>
      <c r="C1140" s="5">
        <f t="shared" si="88"/>
        <v>14</v>
      </c>
      <c r="D1140" s="5">
        <f t="shared" si="85"/>
        <v>3</v>
      </c>
      <c r="E1140" s="5">
        <f t="shared" si="86"/>
        <v>2010</v>
      </c>
      <c r="F1140" s="5" t="s">
        <v>34</v>
      </c>
      <c r="G1140" s="5" t="s">
        <v>7</v>
      </c>
      <c r="H1140" s="7">
        <v>19</v>
      </c>
      <c r="I1140" s="7">
        <v>58.99</v>
      </c>
      <c r="J1140" s="7">
        <f t="shared" si="87"/>
        <v>39.99</v>
      </c>
      <c r="K1140" s="8">
        <f t="shared" si="89"/>
        <v>2.1047368421052632</v>
      </c>
    </row>
    <row r="1141" spans="1:11" x14ac:dyDescent="0.3">
      <c r="A1141" s="5" t="s">
        <v>43</v>
      </c>
      <c r="B1141" s="6">
        <v>40268</v>
      </c>
      <c r="C1141" s="5">
        <f t="shared" si="88"/>
        <v>14</v>
      </c>
      <c r="D1141" s="5">
        <f t="shared" si="85"/>
        <v>3</v>
      </c>
      <c r="E1141" s="5">
        <f t="shared" si="86"/>
        <v>2010</v>
      </c>
      <c r="F1141" s="5" t="s">
        <v>35</v>
      </c>
      <c r="G1141" s="5" t="s">
        <v>11</v>
      </c>
      <c r="H1141" s="7">
        <v>3203.28</v>
      </c>
      <c r="I1141" s="7">
        <v>4163.37</v>
      </c>
      <c r="J1141" s="7">
        <f t="shared" si="87"/>
        <v>960.08999999999969</v>
      </c>
      <c r="K1141" s="8">
        <f t="shared" si="89"/>
        <v>0.29972091106615706</v>
      </c>
    </row>
    <row r="1142" spans="1:11" x14ac:dyDescent="0.3">
      <c r="A1142" s="5" t="s">
        <v>43</v>
      </c>
      <c r="B1142" s="6">
        <v>40268</v>
      </c>
      <c r="C1142" s="5">
        <f t="shared" si="88"/>
        <v>14</v>
      </c>
      <c r="D1142" s="5">
        <f t="shared" si="85"/>
        <v>3</v>
      </c>
      <c r="E1142" s="5">
        <f t="shared" si="86"/>
        <v>2010</v>
      </c>
      <c r="F1142" s="5" t="s">
        <v>36</v>
      </c>
      <c r="G1142" s="5" t="s">
        <v>11</v>
      </c>
      <c r="H1142" s="7">
        <v>123448.9</v>
      </c>
      <c r="I1142" s="7">
        <v>133502.41</v>
      </c>
      <c r="J1142" s="7">
        <f t="shared" si="87"/>
        <v>10053.510000000009</v>
      </c>
      <c r="K1142" s="8">
        <f t="shared" si="89"/>
        <v>8.1438635743210433E-2</v>
      </c>
    </row>
    <row r="1143" spans="1:11" x14ac:dyDescent="0.3">
      <c r="A1143" s="5" t="s">
        <v>43</v>
      </c>
      <c r="B1143" s="6">
        <v>40268</v>
      </c>
      <c r="C1143" s="5">
        <f t="shared" si="88"/>
        <v>14</v>
      </c>
      <c r="D1143" s="5">
        <f t="shared" si="85"/>
        <v>3</v>
      </c>
      <c r="E1143" s="5">
        <f t="shared" si="86"/>
        <v>2010</v>
      </c>
      <c r="F1143" s="5" t="s">
        <v>37</v>
      </c>
      <c r="G1143" s="5" t="s">
        <v>11</v>
      </c>
      <c r="H1143" s="7">
        <v>275552.21999999997</v>
      </c>
      <c r="I1143" s="7">
        <v>303593.34999999998</v>
      </c>
      <c r="J1143" s="7">
        <f t="shared" si="87"/>
        <v>28041.130000000005</v>
      </c>
      <c r="K1143" s="8">
        <f t="shared" si="89"/>
        <v>0.10176339715208975</v>
      </c>
    </row>
    <row r="1144" spans="1:11" x14ac:dyDescent="0.3">
      <c r="A1144" s="5" t="s">
        <v>43</v>
      </c>
      <c r="B1144" s="6">
        <v>40268</v>
      </c>
      <c r="C1144" s="5">
        <f t="shared" si="88"/>
        <v>14</v>
      </c>
      <c r="D1144" s="5">
        <f t="shared" si="85"/>
        <v>3</v>
      </c>
      <c r="E1144" s="5">
        <f t="shared" si="86"/>
        <v>2010</v>
      </c>
      <c r="F1144" s="5" t="s">
        <v>38</v>
      </c>
      <c r="G1144" s="5" t="s">
        <v>11</v>
      </c>
      <c r="H1144" s="7">
        <v>333526.32</v>
      </c>
      <c r="I1144" s="7">
        <v>334104.74</v>
      </c>
      <c r="J1144" s="7">
        <f t="shared" si="87"/>
        <v>578.4199999999837</v>
      </c>
      <c r="K1144" s="8">
        <f t="shared" si="89"/>
        <v>1.734255935183717E-3</v>
      </c>
    </row>
    <row r="1145" spans="1:11" x14ac:dyDescent="0.3">
      <c r="A1145" s="5" t="s">
        <v>43</v>
      </c>
      <c r="B1145" s="6">
        <v>40269</v>
      </c>
      <c r="C1145" s="5">
        <f t="shared" si="88"/>
        <v>14</v>
      </c>
      <c r="D1145" s="5">
        <f t="shared" si="85"/>
        <v>4</v>
      </c>
      <c r="E1145" s="5">
        <f t="shared" si="86"/>
        <v>2010</v>
      </c>
      <c r="F1145" s="5" t="s">
        <v>14</v>
      </c>
      <c r="G1145" s="5" t="s">
        <v>6</v>
      </c>
      <c r="H1145" s="7">
        <v>13855</v>
      </c>
      <c r="I1145" s="7">
        <v>16282.44</v>
      </c>
      <c r="J1145" s="7">
        <f t="shared" si="87"/>
        <v>2427.4400000000005</v>
      </c>
      <c r="K1145" s="8">
        <f t="shared" si="89"/>
        <v>0.17520317574882718</v>
      </c>
    </row>
    <row r="1146" spans="1:11" x14ac:dyDescent="0.3">
      <c r="A1146" s="5" t="s">
        <v>43</v>
      </c>
      <c r="B1146" s="6">
        <v>40269</v>
      </c>
      <c r="C1146" s="5">
        <f t="shared" si="88"/>
        <v>14</v>
      </c>
      <c r="D1146" s="5">
        <f t="shared" si="85"/>
        <v>4</v>
      </c>
      <c r="E1146" s="5">
        <f t="shared" si="86"/>
        <v>2010</v>
      </c>
      <c r="F1146" s="5" t="s">
        <v>15</v>
      </c>
      <c r="G1146" s="5" t="s">
        <v>6</v>
      </c>
      <c r="H1146" s="7">
        <v>193677.15</v>
      </c>
      <c r="I1146" s="7">
        <v>259000.3</v>
      </c>
      <c r="J1146" s="7">
        <f t="shared" si="87"/>
        <v>65323.149999999994</v>
      </c>
      <c r="K1146" s="8">
        <f t="shared" si="89"/>
        <v>0.33727855867354511</v>
      </c>
    </row>
    <row r="1147" spans="1:11" x14ac:dyDescent="0.3">
      <c r="A1147" s="5" t="s">
        <v>43</v>
      </c>
      <c r="B1147" s="6">
        <v>40269</v>
      </c>
      <c r="C1147" s="5">
        <f t="shared" si="88"/>
        <v>14</v>
      </c>
      <c r="D1147" s="5">
        <f t="shared" si="85"/>
        <v>4</v>
      </c>
      <c r="E1147" s="5">
        <f t="shared" si="86"/>
        <v>2010</v>
      </c>
      <c r="F1147" s="5" t="s">
        <v>16</v>
      </c>
      <c r="G1147" s="5" t="s">
        <v>6</v>
      </c>
      <c r="H1147" s="7">
        <v>67578.070000000007</v>
      </c>
      <c r="I1147" s="7">
        <v>76493.279999999999</v>
      </c>
      <c r="J1147" s="7">
        <f t="shared" si="87"/>
        <v>8915.2099999999919</v>
      </c>
      <c r="K1147" s="8">
        <f t="shared" si="89"/>
        <v>0.13192460216753735</v>
      </c>
    </row>
    <row r="1148" spans="1:11" x14ac:dyDescent="0.3">
      <c r="A1148" s="5" t="s">
        <v>43</v>
      </c>
      <c r="B1148" s="6">
        <v>40269</v>
      </c>
      <c r="C1148" s="5">
        <f t="shared" si="88"/>
        <v>14</v>
      </c>
      <c r="D1148" s="5">
        <f t="shared" si="85"/>
        <v>4</v>
      </c>
      <c r="E1148" s="5">
        <f t="shared" si="86"/>
        <v>2010</v>
      </c>
      <c r="F1148" s="5" t="s">
        <v>19</v>
      </c>
      <c r="G1148" s="5" t="s">
        <v>5</v>
      </c>
      <c r="H1148" s="7">
        <v>109467.36</v>
      </c>
      <c r="I1148" s="7">
        <v>120942.41</v>
      </c>
      <c r="J1148" s="7">
        <f t="shared" si="87"/>
        <v>11475.050000000003</v>
      </c>
      <c r="K1148" s="8">
        <f t="shared" si="89"/>
        <v>0.1048262239995557</v>
      </c>
    </row>
    <row r="1149" spans="1:11" x14ac:dyDescent="0.3">
      <c r="A1149" s="5" t="s">
        <v>43</v>
      </c>
      <c r="B1149" s="6">
        <v>40269</v>
      </c>
      <c r="C1149" s="5">
        <f t="shared" si="88"/>
        <v>14</v>
      </c>
      <c r="D1149" s="5">
        <f t="shared" si="85"/>
        <v>4</v>
      </c>
      <c r="E1149" s="5">
        <f t="shared" si="86"/>
        <v>2010</v>
      </c>
      <c r="F1149" s="5" t="s">
        <v>5</v>
      </c>
      <c r="G1149" s="5" t="s">
        <v>5</v>
      </c>
      <c r="H1149" s="7">
        <v>624742.47</v>
      </c>
      <c r="I1149" s="7">
        <v>658486.61</v>
      </c>
      <c r="J1149" s="7">
        <f t="shared" si="87"/>
        <v>33744.140000000014</v>
      </c>
      <c r="K1149" s="8">
        <f t="shared" si="89"/>
        <v>5.4012879899136702E-2</v>
      </c>
    </row>
    <row r="1150" spans="1:11" x14ac:dyDescent="0.3">
      <c r="A1150" s="5" t="s">
        <v>43</v>
      </c>
      <c r="B1150" s="6">
        <v>40269</v>
      </c>
      <c r="C1150" s="5">
        <f t="shared" si="88"/>
        <v>14</v>
      </c>
      <c r="D1150" s="5">
        <f t="shared" si="85"/>
        <v>4</v>
      </c>
      <c r="E1150" s="5">
        <f t="shared" si="86"/>
        <v>2010</v>
      </c>
      <c r="F1150" s="5" t="s">
        <v>20</v>
      </c>
      <c r="G1150" s="5" t="s">
        <v>5</v>
      </c>
      <c r="H1150" s="7">
        <v>91977.84</v>
      </c>
      <c r="I1150" s="7">
        <v>101282.2</v>
      </c>
      <c r="J1150" s="7">
        <f t="shared" si="87"/>
        <v>9304.36</v>
      </c>
      <c r="K1150" s="8">
        <f t="shared" si="89"/>
        <v>0.10115871388151756</v>
      </c>
    </row>
    <row r="1151" spans="1:11" x14ac:dyDescent="0.3">
      <c r="A1151" s="5" t="s">
        <v>43</v>
      </c>
      <c r="B1151" s="6">
        <v>40269</v>
      </c>
      <c r="C1151" s="5">
        <f t="shared" si="88"/>
        <v>14</v>
      </c>
      <c r="D1151" s="5">
        <f t="shared" si="85"/>
        <v>4</v>
      </c>
      <c r="E1151" s="5">
        <f t="shared" si="86"/>
        <v>2010</v>
      </c>
      <c r="F1151" s="5" t="s">
        <v>21</v>
      </c>
      <c r="G1151" s="5" t="s">
        <v>5</v>
      </c>
      <c r="H1151" s="7">
        <v>217825.59</v>
      </c>
      <c r="I1151" s="7">
        <v>231567.8</v>
      </c>
      <c r="J1151" s="7">
        <f t="shared" si="87"/>
        <v>13742.209999999992</v>
      </c>
      <c r="K1151" s="8">
        <f t="shared" si="89"/>
        <v>6.3088133951571035E-2</v>
      </c>
    </row>
    <row r="1152" spans="1:11" x14ac:dyDescent="0.3">
      <c r="A1152" s="5" t="s">
        <v>43</v>
      </c>
      <c r="B1152" s="6">
        <v>40269</v>
      </c>
      <c r="C1152" s="5">
        <f t="shared" si="88"/>
        <v>14</v>
      </c>
      <c r="D1152" s="5">
        <f t="shared" si="85"/>
        <v>4</v>
      </c>
      <c r="E1152" s="5">
        <f t="shared" si="86"/>
        <v>2010</v>
      </c>
      <c r="F1152" s="5" t="s">
        <v>22</v>
      </c>
      <c r="G1152" s="5" t="s">
        <v>8</v>
      </c>
      <c r="H1152" s="7">
        <v>316703.93</v>
      </c>
      <c r="I1152" s="7">
        <v>344194.65</v>
      </c>
      <c r="J1152" s="7">
        <f t="shared" si="87"/>
        <v>27490.72000000003</v>
      </c>
      <c r="K1152" s="8">
        <f t="shared" si="89"/>
        <v>8.6802585619951203E-2</v>
      </c>
    </row>
    <row r="1153" spans="1:11" x14ac:dyDescent="0.3">
      <c r="A1153" s="5" t="s">
        <v>43</v>
      </c>
      <c r="B1153" s="6">
        <v>40269</v>
      </c>
      <c r="C1153" s="5">
        <f t="shared" si="88"/>
        <v>14</v>
      </c>
      <c r="D1153" s="5">
        <f t="shared" si="85"/>
        <v>4</v>
      </c>
      <c r="E1153" s="5">
        <f t="shared" si="86"/>
        <v>2010</v>
      </c>
      <c r="F1153" s="5" t="s">
        <v>23</v>
      </c>
      <c r="G1153" s="5" t="s">
        <v>8</v>
      </c>
      <c r="H1153" s="7">
        <v>199146.58</v>
      </c>
      <c r="I1153" s="7">
        <v>208475.84</v>
      </c>
      <c r="J1153" s="7">
        <f t="shared" si="87"/>
        <v>9329.2600000000093</v>
      </c>
      <c r="K1153" s="8">
        <f t="shared" si="89"/>
        <v>4.6846197408963841E-2</v>
      </c>
    </row>
    <row r="1154" spans="1:11" x14ac:dyDescent="0.3">
      <c r="A1154" s="5" t="s">
        <v>43</v>
      </c>
      <c r="B1154" s="6">
        <v>40269</v>
      </c>
      <c r="C1154" s="5">
        <f t="shared" si="88"/>
        <v>14</v>
      </c>
      <c r="D1154" s="5">
        <f t="shared" ref="D1154:D1217" si="90">MONTH(B1154)</f>
        <v>4</v>
      </c>
      <c r="E1154" s="5">
        <f t="shared" ref="E1154:E1217" si="91">YEAR(B1154)</f>
        <v>2010</v>
      </c>
      <c r="F1154" s="5" t="s">
        <v>24</v>
      </c>
      <c r="G1154" s="5" t="s">
        <v>8</v>
      </c>
      <c r="H1154" s="7">
        <v>75259.990000000005</v>
      </c>
      <c r="I1154" s="7">
        <v>79677.919999999998</v>
      </c>
      <c r="J1154" s="7">
        <f t="shared" ref="J1154:J1217" si="92">I1154-H1154</f>
        <v>4417.929999999993</v>
      </c>
      <c r="K1154" s="8">
        <f t="shared" si="89"/>
        <v>5.8702240061418991E-2</v>
      </c>
    </row>
    <row r="1155" spans="1:11" x14ac:dyDescent="0.3">
      <c r="A1155" s="5" t="s">
        <v>43</v>
      </c>
      <c r="B1155" s="6">
        <v>40269</v>
      </c>
      <c r="C1155" s="5">
        <f t="shared" ref="C1155:C1218" si="93">WEEKNUM(B1155,1)</f>
        <v>14</v>
      </c>
      <c r="D1155" s="5">
        <f t="shared" si="90"/>
        <v>4</v>
      </c>
      <c r="E1155" s="5">
        <f t="shared" si="91"/>
        <v>2010</v>
      </c>
      <c r="F1155" s="5" t="s">
        <v>25</v>
      </c>
      <c r="G1155" s="5" t="s">
        <v>8</v>
      </c>
      <c r="H1155" s="7">
        <v>8963.2000000000007</v>
      </c>
      <c r="I1155" s="7">
        <v>9097.86</v>
      </c>
      <c r="J1155" s="7">
        <f t="shared" si="92"/>
        <v>134.65999999999985</v>
      </c>
      <c r="K1155" s="8">
        <f t="shared" ref="K1155:K1218" si="94">(I1155-H1155)/H1155</f>
        <v>1.5023652267047466E-2</v>
      </c>
    </row>
    <row r="1156" spans="1:11" x14ac:dyDescent="0.3">
      <c r="A1156" s="5" t="s">
        <v>43</v>
      </c>
      <c r="B1156" s="6">
        <v>40269</v>
      </c>
      <c r="C1156" s="5">
        <f t="shared" si="93"/>
        <v>14</v>
      </c>
      <c r="D1156" s="5">
        <f t="shared" si="90"/>
        <v>4</v>
      </c>
      <c r="E1156" s="5">
        <f t="shared" si="91"/>
        <v>2010</v>
      </c>
      <c r="F1156" s="5" t="s">
        <v>26</v>
      </c>
      <c r="G1156" s="5" t="s">
        <v>10</v>
      </c>
      <c r="H1156" s="7">
        <v>650</v>
      </c>
      <c r="I1156" s="7">
        <v>747.98</v>
      </c>
      <c r="J1156" s="7">
        <f t="shared" si="92"/>
        <v>97.980000000000018</v>
      </c>
      <c r="K1156" s="8">
        <f t="shared" si="94"/>
        <v>0.15073846153846157</v>
      </c>
    </row>
    <row r="1157" spans="1:11" x14ac:dyDescent="0.3">
      <c r="A1157" s="5" t="s">
        <v>43</v>
      </c>
      <c r="B1157" s="6">
        <v>40269</v>
      </c>
      <c r="C1157" s="5">
        <f t="shared" si="93"/>
        <v>14</v>
      </c>
      <c r="D1157" s="5">
        <f t="shared" si="90"/>
        <v>4</v>
      </c>
      <c r="E1157" s="5">
        <f t="shared" si="91"/>
        <v>2010</v>
      </c>
      <c r="F1157" s="5" t="s">
        <v>27</v>
      </c>
      <c r="G1157" s="5" t="s">
        <v>10</v>
      </c>
      <c r="H1157" s="7">
        <v>80620.63</v>
      </c>
      <c r="I1157" s="7">
        <v>92059.43</v>
      </c>
      <c r="J1157" s="7">
        <f t="shared" si="92"/>
        <v>11438.799999999988</v>
      </c>
      <c r="K1157" s="8">
        <f t="shared" si="94"/>
        <v>0.14188427949521093</v>
      </c>
    </row>
    <row r="1158" spans="1:11" x14ac:dyDescent="0.3">
      <c r="A1158" s="5" t="s">
        <v>43</v>
      </c>
      <c r="B1158" s="6">
        <v>40269</v>
      </c>
      <c r="C1158" s="5">
        <f t="shared" si="93"/>
        <v>14</v>
      </c>
      <c r="D1158" s="5">
        <f t="shared" si="90"/>
        <v>4</v>
      </c>
      <c r="E1158" s="5">
        <f t="shared" si="91"/>
        <v>2010</v>
      </c>
      <c r="F1158" s="5" t="s">
        <v>28</v>
      </c>
      <c r="G1158" s="5" t="s">
        <v>10</v>
      </c>
      <c r="H1158" s="7">
        <v>74144.289999999994</v>
      </c>
      <c r="I1158" s="7">
        <v>82432.429999999993</v>
      </c>
      <c r="J1158" s="7">
        <f t="shared" si="92"/>
        <v>8288.14</v>
      </c>
      <c r="K1158" s="8">
        <f t="shared" si="94"/>
        <v>0.11178392833756989</v>
      </c>
    </row>
    <row r="1159" spans="1:11" x14ac:dyDescent="0.3">
      <c r="A1159" s="5" t="s">
        <v>43</v>
      </c>
      <c r="B1159" s="6">
        <v>40269</v>
      </c>
      <c r="C1159" s="5">
        <f t="shared" si="93"/>
        <v>14</v>
      </c>
      <c r="D1159" s="5">
        <f t="shared" si="90"/>
        <v>4</v>
      </c>
      <c r="E1159" s="5">
        <f t="shared" si="91"/>
        <v>2010</v>
      </c>
      <c r="F1159" s="5" t="s">
        <v>29</v>
      </c>
      <c r="G1159" s="5" t="s">
        <v>10</v>
      </c>
      <c r="H1159" s="7">
        <v>609553.02</v>
      </c>
      <c r="I1159" s="7">
        <v>662821.80000000005</v>
      </c>
      <c r="J1159" s="7">
        <f t="shared" si="92"/>
        <v>53268.780000000028</v>
      </c>
      <c r="K1159" s="8">
        <f t="shared" si="94"/>
        <v>8.7389904162889762E-2</v>
      </c>
    </row>
    <row r="1160" spans="1:11" x14ac:dyDescent="0.3">
      <c r="A1160" s="5" t="s">
        <v>43</v>
      </c>
      <c r="B1160" s="6">
        <v>40269</v>
      </c>
      <c r="C1160" s="5">
        <f t="shared" si="93"/>
        <v>14</v>
      </c>
      <c r="D1160" s="5">
        <f t="shared" si="90"/>
        <v>4</v>
      </c>
      <c r="E1160" s="5">
        <f t="shared" si="91"/>
        <v>2010</v>
      </c>
      <c r="F1160" s="5" t="s">
        <v>30</v>
      </c>
      <c r="G1160" s="5" t="s">
        <v>10</v>
      </c>
      <c r="H1160" s="7">
        <v>64988.14</v>
      </c>
      <c r="I1160" s="7">
        <v>73718.240000000005</v>
      </c>
      <c r="J1160" s="7">
        <f t="shared" si="92"/>
        <v>8730.1000000000058</v>
      </c>
      <c r="K1160" s="8">
        <f t="shared" si="94"/>
        <v>0.13433374151037414</v>
      </c>
    </row>
    <row r="1161" spans="1:11" x14ac:dyDescent="0.3">
      <c r="A1161" s="5" t="s">
        <v>43</v>
      </c>
      <c r="B1161" s="6">
        <v>40269</v>
      </c>
      <c r="C1161" s="5">
        <f t="shared" si="93"/>
        <v>14</v>
      </c>
      <c r="D1161" s="5">
        <f t="shared" si="90"/>
        <v>4</v>
      </c>
      <c r="E1161" s="5">
        <f t="shared" si="91"/>
        <v>2010</v>
      </c>
      <c r="F1161" s="5" t="s">
        <v>9</v>
      </c>
      <c r="G1161" s="5" t="s">
        <v>9</v>
      </c>
      <c r="H1161" s="7">
        <v>543813.24</v>
      </c>
      <c r="I1161" s="7">
        <v>626774.13</v>
      </c>
      <c r="J1161" s="7">
        <f t="shared" si="92"/>
        <v>82960.890000000014</v>
      </c>
      <c r="K1161" s="8">
        <f t="shared" si="94"/>
        <v>0.15255400916682355</v>
      </c>
    </row>
    <row r="1162" spans="1:11" x14ac:dyDescent="0.3">
      <c r="A1162" s="5" t="s">
        <v>43</v>
      </c>
      <c r="B1162" s="6">
        <v>40269</v>
      </c>
      <c r="C1162" s="5">
        <f t="shared" si="93"/>
        <v>14</v>
      </c>
      <c r="D1162" s="5">
        <f t="shared" si="90"/>
        <v>4</v>
      </c>
      <c r="E1162" s="5">
        <f t="shared" si="91"/>
        <v>2010</v>
      </c>
      <c r="F1162" s="5" t="s">
        <v>31</v>
      </c>
      <c r="G1162" s="5" t="s">
        <v>7</v>
      </c>
      <c r="H1162" s="7">
        <v>11261.98</v>
      </c>
      <c r="I1162" s="7">
        <v>25010.63</v>
      </c>
      <c r="J1162" s="7">
        <f t="shared" si="92"/>
        <v>13748.650000000001</v>
      </c>
      <c r="K1162" s="8">
        <f t="shared" si="94"/>
        <v>1.2208022035201627</v>
      </c>
    </row>
    <row r="1163" spans="1:11" x14ac:dyDescent="0.3">
      <c r="A1163" s="5" t="s">
        <v>43</v>
      </c>
      <c r="B1163" s="6">
        <v>40269</v>
      </c>
      <c r="C1163" s="5">
        <f t="shared" si="93"/>
        <v>14</v>
      </c>
      <c r="D1163" s="5">
        <f t="shared" si="90"/>
        <v>4</v>
      </c>
      <c r="E1163" s="5">
        <f t="shared" si="91"/>
        <v>2010</v>
      </c>
      <c r="F1163" s="5" t="s">
        <v>32</v>
      </c>
      <c r="G1163" s="5" t="s">
        <v>7</v>
      </c>
      <c r="H1163" s="7">
        <v>7633.5</v>
      </c>
      <c r="I1163" s="7">
        <v>8503.9</v>
      </c>
      <c r="J1163" s="7">
        <f t="shared" si="92"/>
        <v>870.39999999999964</v>
      </c>
      <c r="K1163" s="8">
        <f t="shared" si="94"/>
        <v>0.11402371127267959</v>
      </c>
    </row>
    <row r="1164" spans="1:11" x14ac:dyDescent="0.3">
      <c r="A1164" s="5" t="s">
        <v>43</v>
      </c>
      <c r="B1164" s="6">
        <v>40269</v>
      </c>
      <c r="C1164" s="5">
        <f t="shared" si="93"/>
        <v>14</v>
      </c>
      <c r="D1164" s="5">
        <f t="shared" si="90"/>
        <v>4</v>
      </c>
      <c r="E1164" s="5">
        <f t="shared" si="91"/>
        <v>2010</v>
      </c>
      <c r="F1164" s="5" t="s">
        <v>33</v>
      </c>
      <c r="G1164" s="5" t="s">
        <v>7</v>
      </c>
      <c r="H1164" s="7">
        <v>169018.41</v>
      </c>
      <c r="I1164" s="7">
        <v>318211.74</v>
      </c>
      <c r="J1164" s="7">
        <f t="shared" si="92"/>
        <v>149193.32999999999</v>
      </c>
      <c r="K1164" s="8">
        <f t="shared" si="94"/>
        <v>0.88270461188222027</v>
      </c>
    </row>
    <row r="1165" spans="1:11" x14ac:dyDescent="0.3">
      <c r="A1165" s="5" t="s">
        <v>43</v>
      </c>
      <c r="B1165" s="6">
        <v>40269</v>
      </c>
      <c r="C1165" s="5">
        <f t="shared" si="93"/>
        <v>14</v>
      </c>
      <c r="D1165" s="5">
        <f t="shared" si="90"/>
        <v>4</v>
      </c>
      <c r="E1165" s="5">
        <f t="shared" si="91"/>
        <v>2010</v>
      </c>
      <c r="F1165" s="5" t="s">
        <v>34</v>
      </c>
      <c r="G1165" s="5" t="s">
        <v>7</v>
      </c>
      <c r="H1165" s="7">
        <v>209.75</v>
      </c>
      <c r="I1165" s="7">
        <v>438</v>
      </c>
      <c r="J1165" s="7">
        <f t="shared" si="92"/>
        <v>228.25</v>
      </c>
      <c r="K1165" s="8">
        <f t="shared" si="94"/>
        <v>1.0882002383790226</v>
      </c>
    </row>
    <row r="1166" spans="1:11" x14ac:dyDescent="0.3">
      <c r="A1166" s="5" t="s">
        <v>43</v>
      </c>
      <c r="B1166" s="6">
        <v>40269</v>
      </c>
      <c r="C1166" s="5">
        <f t="shared" si="93"/>
        <v>14</v>
      </c>
      <c r="D1166" s="5">
        <f t="shared" si="90"/>
        <v>4</v>
      </c>
      <c r="E1166" s="5">
        <f t="shared" si="91"/>
        <v>2010</v>
      </c>
      <c r="F1166" s="5" t="s">
        <v>35</v>
      </c>
      <c r="G1166" s="5" t="s">
        <v>11</v>
      </c>
      <c r="H1166" s="7">
        <v>374.2</v>
      </c>
      <c r="I1166" s="7">
        <v>486.38</v>
      </c>
      <c r="J1166" s="7">
        <f t="shared" si="92"/>
        <v>112.18</v>
      </c>
      <c r="K1166" s="8">
        <f t="shared" si="94"/>
        <v>0.29978621058257621</v>
      </c>
    </row>
    <row r="1167" spans="1:11" x14ac:dyDescent="0.3">
      <c r="A1167" s="5" t="s">
        <v>43</v>
      </c>
      <c r="B1167" s="6">
        <v>40269</v>
      </c>
      <c r="C1167" s="5">
        <f t="shared" si="93"/>
        <v>14</v>
      </c>
      <c r="D1167" s="5">
        <f t="shared" si="90"/>
        <v>4</v>
      </c>
      <c r="E1167" s="5">
        <f t="shared" si="91"/>
        <v>2010</v>
      </c>
      <c r="F1167" s="5" t="s">
        <v>36</v>
      </c>
      <c r="G1167" s="5" t="s">
        <v>11</v>
      </c>
      <c r="H1167" s="7">
        <v>161348.13</v>
      </c>
      <c r="I1167" s="7">
        <v>176432.87</v>
      </c>
      <c r="J1167" s="7">
        <f t="shared" si="92"/>
        <v>15084.739999999991</v>
      </c>
      <c r="K1167" s="8">
        <f t="shared" si="94"/>
        <v>9.3491879949274839E-2</v>
      </c>
    </row>
    <row r="1168" spans="1:11" x14ac:dyDescent="0.3">
      <c r="A1168" s="5" t="s">
        <v>43</v>
      </c>
      <c r="B1168" s="6">
        <v>40269</v>
      </c>
      <c r="C1168" s="5">
        <f t="shared" si="93"/>
        <v>14</v>
      </c>
      <c r="D1168" s="5">
        <f t="shared" si="90"/>
        <v>4</v>
      </c>
      <c r="E1168" s="5">
        <f t="shared" si="91"/>
        <v>2010</v>
      </c>
      <c r="F1168" s="5" t="s">
        <v>37</v>
      </c>
      <c r="G1168" s="5" t="s">
        <v>11</v>
      </c>
      <c r="H1168" s="7">
        <v>349705.99</v>
      </c>
      <c r="I1168" s="7">
        <v>386885.62</v>
      </c>
      <c r="J1168" s="7">
        <f t="shared" si="92"/>
        <v>37179.630000000005</v>
      </c>
      <c r="K1168" s="8">
        <f t="shared" si="94"/>
        <v>0.10631682345504007</v>
      </c>
    </row>
    <row r="1169" spans="1:11" x14ac:dyDescent="0.3">
      <c r="A1169" s="5" t="s">
        <v>43</v>
      </c>
      <c r="B1169" s="6">
        <v>40269</v>
      </c>
      <c r="C1169" s="5">
        <f t="shared" si="93"/>
        <v>14</v>
      </c>
      <c r="D1169" s="5">
        <f t="shared" si="90"/>
        <v>4</v>
      </c>
      <c r="E1169" s="5">
        <f t="shared" si="91"/>
        <v>2010</v>
      </c>
      <c r="F1169" s="5" t="s">
        <v>38</v>
      </c>
      <c r="G1169" s="5" t="s">
        <v>11</v>
      </c>
      <c r="H1169" s="7">
        <v>326927.98</v>
      </c>
      <c r="I1169" s="7">
        <v>340077.59</v>
      </c>
      <c r="J1169" s="7">
        <f t="shared" si="92"/>
        <v>13149.610000000044</v>
      </c>
      <c r="K1169" s="8">
        <f t="shared" si="94"/>
        <v>4.022173323922916E-2</v>
      </c>
    </row>
    <row r="1170" spans="1:11" x14ac:dyDescent="0.3">
      <c r="A1170" s="5" t="s">
        <v>43</v>
      </c>
      <c r="B1170" s="6">
        <v>40270</v>
      </c>
      <c r="C1170" s="5">
        <f t="shared" si="93"/>
        <v>14</v>
      </c>
      <c r="D1170" s="5">
        <f t="shared" si="90"/>
        <v>4</v>
      </c>
      <c r="E1170" s="5">
        <f t="shared" si="91"/>
        <v>2010</v>
      </c>
      <c r="F1170" s="5" t="s">
        <v>14</v>
      </c>
      <c r="G1170" s="5" t="s">
        <v>6</v>
      </c>
      <c r="H1170" s="7">
        <v>10452.99</v>
      </c>
      <c r="I1170" s="7">
        <v>12405.2</v>
      </c>
      <c r="J1170" s="7">
        <f t="shared" si="92"/>
        <v>1952.2100000000009</v>
      </c>
      <c r="K1170" s="8">
        <f t="shared" si="94"/>
        <v>0.1867609172112478</v>
      </c>
    </row>
    <row r="1171" spans="1:11" x14ac:dyDescent="0.3">
      <c r="A1171" s="5" t="s">
        <v>43</v>
      </c>
      <c r="B1171" s="6">
        <v>40270</v>
      </c>
      <c r="C1171" s="5">
        <f t="shared" si="93"/>
        <v>14</v>
      </c>
      <c r="D1171" s="5">
        <f t="shared" si="90"/>
        <v>4</v>
      </c>
      <c r="E1171" s="5">
        <f t="shared" si="91"/>
        <v>2010</v>
      </c>
      <c r="F1171" s="5" t="s">
        <v>15</v>
      </c>
      <c r="G1171" s="5" t="s">
        <v>6</v>
      </c>
      <c r="H1171" s="7">
        <v>224915.24</v>
      </c>
      <c r="I1171" s="7">
        <v>292655.06</v>
      </c>
      <c r="J1171" s="7">
        <f t="shared" si="92"/>
        <v>67739.820000000007</v>
      </c>
      <c r="K1171" s="8">
        <f t="shared" si="94"/>
        <v>0.30117932426455413</v>
      </c>
    </row>
    <row r="1172" spans="1:11" x14ac:dyDescent="0.3">
      <c r="A1172" s="5" t="s">
        <v>43</v>
      </c>
      <c r="B1172" s="6">
        <v>40270</v>
      </c>
      <c r="C1172" s="5">
        <f t="shared" si="93"/>
        <v>14</v>
      </c>
      <c r="D1172" s="5">
        <f t="shared" si="90"/>
        <v>4</v>
      </c>
      <c r="E1172" s="5">
        <f t="shared" si="91"/>
        <v>2010</v>
      </c>
      <c r="F1172" s="5" t="s">
        <v>16</v>
      </c>
      <c r="G1172" s="5" t="s">
        <v>6</v>
      </c>
      <c r="H1172" s="7">
        <v>129995.58</v>
      </c>
      <c r="I1172" s="7">
        <v>146547.38</v>
      </c>
      <c r="J1172" s="7">
        <f t="shared" si="92"/>
        <v>16551.800000000003</v>
      </c>
      <c r="K1172" s="8">
        <f t="shared" si="94"/>
        <v>0.12732586754103487</v>
      </c>
    </row>
    <row r="1173" spans="1:11" x14ac:dyDescent="0.3">
      <c r="A1173" s="5" t="s">
        <v>43</v>
      </c>
      <c r="B1173" s="6">
        <v>40270</v>
      </c>
      <c r="C1173" s="5">
        <f t="shared" si="93"/>
        <v>14</v>
      </c>
      <c r="D1173" s="5">
        <f t="shared" si="90"/>
        <v>4</v>
      </c>
      <c r="E1173" s="5">
        <f t="shared" si="91"/>
        <v>2010</v>
      </c>
      <c r="F1173" s="5" t="s">
        <v>17</v>
      </c>
      <c r="G1173" s="5" t="s">
        <v>6</v>
      </c>
      <c r="H1173" s="7">
        <v>740</v>
      </c>
      <c r="I1173" s="7">
        <v>851.9</v>
      </c>
      <c r="J1173" s="7">
        <f t="shared" si="92"/>
        <v>111.89999999999998</v>
      </c>
      <c r="K1173" s="8">
        <f t="shared" si="94"/>
        <v>0.1512162162162162</v>
      </c>
    </row>
    <row r="1174" spans="1:11" x14ac:dyDescent="0.3">
      <c r="A1174" s="5" t="s">
        <v>43</v>
      </c>
      <c r="B1174" s="6">
        <v>40270</v>
      </c>
      <c r="C1174" s="5">
        <f t="shared" si="93"/>
        <v>14</v>
      </c>
      <c r="D1174" s="5">
        <f t="shared" si="90"/>
        <v>4</v>
      </c>
      <c r="E1174" s="5">
        <f t="shared" si="91"/>
        <v>2010</v>
      </c>
      <c r="F1174" s="5" t="s">
        <v>19</v>
      </c>
      <c r="G1174" s="5" t="s">
        <v>5</v>
      </c>
      <c r="H1174" s="7">
        <v>117451.91</v>
      </c>
      <c r="I1174" s="7">
        <v>130517.24</v>
      </c>
      <c r="J1174" s="7">
        <f t="shared" si="92"/>
        <v>13065.330000000002</v>
      </c>
      <c r="K1174" s="8">
        <f t="shared" si="94"/>
        <v>0.11123982572952625</v>
      </c>
    </row>
    <row r="1175" spans="1:11" x14ac:dyDescent="0.3">
      <c r="A1175" s="5" t="s">
        <v>43</v>
      </c>
      <c r="B1175" s="6">
        <v>40270</v>
      </c>
      <c r="C1175" s="5">
        <f t="shared" si="93"/>
        <v>14</v>
      </c>
      <c r="D1175" s="5">
        <f t="shared" si="90"/>
        <v>4</v>
      </c>
      <c r="E1175" s="5">
        <f t="shared" si="91"/>
        <v>2010</v>
      </c>
      <c r="F1175" s="5" t="s">
        <v>5</v>
      </c>
      <c r="G1175" s="5" t="s">
        <v>5</v>
      </c>
      <c r="H1175" s="7">
        <v>652566.07999999996</v>
      </c>
      <c r="I1175" s="7">
        <v>695297.94</v>
      </c>
      <c r="J1175" s="7">
        <f t="shared" si="92"/>
        <v>42731.859999999986</v>
      </c>
      <c r="K1175" s="8">
        <f t="shared" si="94"/>
        <v>6.548280903598297E-2</v>
      </c>
    </row>
    <row r="1176" spans="1:11" x14ac:dyDescent="0.3">
      <c r="A1176" s="5" t="s">
        <v>43</v>
      </c>
      <c r="B1176" s="6">
        <v>40270</v>
      </c>
      <c r="C1176" s="5">
        <f t="shared" si="93"/>
        <v>14</v>
      </c>
      <c r="D1176" s="5">
        <f t="shared" si="90"/>
        <v>4</v>
      </c>
      <c r="E1176" s="5">
        <f t="shared" si="91"/>
        <v>2010</v>
      </c>
      <c r="F1176" s="5" t="s">
        <v>20</v>
      </c>
      <c r="G1176" s="5" t="s">
        <v>5</v>
      </c>
      <c r="H1176" s="7">
        <v>121243.92</v>
      </c>
      <c r="I1176" s="7">
        <v>133187.56</v>
      </c>
      <c r="J1176" s="7">
        <f t="shared" si="92"/>
        <v>11943.64</v>
      </c>
      <c r="K1176" s="8">
        <f t="shared" si="94"/>
        <v>9.8509187099856219E-2</v>
      </c>
    </row>
    <row r="1177" spans="1:11" x14ac:dyDescent="0.3">
      <c r="A1177" s="5" t="s">
        <v>43</v>
      </c>
      <c r="B1177" s="6">
        <v>40270</v>
      </c>
      <c r="C1177" s="5">
        <f t="shared" si="93"/>
        <v>14</v>
      </c>
      <c r="D1177" s="5">
        <f t="shared" si="90"/>
        <v>4</v>
      </c>
      <c r="E1177" s="5">
        <f t="shared" si="91"/>
        <v>2010</v>
      </c>
      <c r="F1177" s="5" t="s">
        <v>21</v>
      </c>
      <c r="G1177" s="5" t="s">
        <v>5</v>
      </c>
      <c r="H1177" s="7">
        <v>294085.05</v>
      </c>
      <c r="I1177" s="7">
        <v>308484.34000000003</v>
      </c>
      <c r="J1177" s="7">
        <f t="shared" si="92"/>
        <v>14399.290000000037</v>
      </c>
      <c r="K1177" s="8">
        <f t="shared" si="94"/>
        <v>4.8963012570683334E-2</v>
      </c>
    </row>
    <row r="1178" spans="1:11" x14ac:dyDescent="0.3">
      <c r="A1178" s="5" t="s">
        <v>43</v>
      </c>
      <c r="B1178" s="6">
        <v>40270</v>
      </c>
      <c r="C1178" s="5">
        <f t="shared" si="93"/>
        <v>14</v>
      </c>
      <c r="D1178" s="5">
        <f t="shared" si="90"/>
        <v>4</v>
      </c>
      <c r="E1178" s="5">
        <f t="shared" si="91"/>
        <v>2010</v>
      </c>
      <c r="F1178" s="5" t="s">
        <v>22</v>
      </c>
      <c r="G1178" s="5" t="s">
        <v>8</v>
      </c>
      <c r="H1178" s="7">
        <v>489852.36</v>
      </c>
      <c r="I1178" s="7">
        <v>517564.28</v>
      </c>
      <c r="J1178" s="7">
        <f t="shared" si="92"/>
        <v>27711.920000000042</v>
      </c>
      <c r="K1178" s="8">
        <f t="shared" si="94"/>
        <v>5.6571984260727133E-2</v>
      </c>
    </row>
    <row r="1179" spans="1:11" x14ac:dyDescent="0.3">
      <c r="A1179" s="5" t="s">
        <v>43</v>
      </c>
      <c r="B1179" s="6">
        <v>40270</v>
      </c>
      <c r="C1179" s="5">
        <f t="shared" si="93"/>
        <v>14</v>
      </c>
      <c r="D1179" s="5">
        <f t="shared" si="90"/>
        <v>4</v>
      </c>
      <c r="E1179" s="5">
        <f t="shared" si="91"/>
        <v>2010</v>
      </c>
      <c r="F1179" s="5" t="s">
        <v>23</v>
      </c>
      <c r="G1179" s="5" t="s">
        <v>8</v>
      </c>
      <c r="H1179" s="7">
        <v>265386.7</v>
      </c>
      <c r="I1179" s="7">
        <v>276576.31</v>
      </c>
      <c r="J1179" s="7">
        <f t="shared" si="92"/>
        <v>11189.609999999986</v>
      </c>
      <c r="K1179" s="8">
        <f t="shared" si="94"/>
        <v>4.2163416629393956E-2</v>
      </c>
    </row>
    <row r="1180" spans="1:11" x14ac:dyDescent="0.3">
      <c r="A1180" s="5" t="s">
        <v>43</v>
      </c>
      <c r="B1180" s="6">
        <v>40270</v>
      </c>
      <c r="C1180" s="5">
        <f t="shared" si="93"/>
        <v>14</v>
      </c>
      <c r="D1180" s="5">
        <f t="shared" si="90"/>
        <v>4</v>
      </c>
      <c r="E1180" s="5">
        <f t="shared" si="91"/>
        <v>2010</v>
      </c>
      <c r="F1180" s="5" t="s">
        <v>24</v>
      </c>
      <c r="G1180" s="5" t="s">
        <v>8</v>
      </c>
      <c r="H1180" s="7">
        <v>124751.99</v>
      </c>
      <c r="I1180" s="7">
        <v>131124.92000000001</v>
      </c>
      <c r="J1180" s="7">
        <f t="shared" si="92"/>
        <v>6372.9300000000076</v>
      </c>
      <c r="K1180" s="8">
        <f t="shared" si="94"/>
        <v>5.1084796322687975E-2</v>
      </c>
    </row>
    <row r="1181" spans="1:11" x14ac:dyDescent="0.3">
      <c r="A1181" s="5" t="s">
        <v>43</v>
      </c>
      <c r="B1181" s="6">
        <v>40270</v>
      </c>
      <c r="C1181" s="5">
        <f t="shared" si="93"/>
        <v>14</v>
      </c>
      <c r="D1181" s="5">
        <f t="shared" si="90"/>
        <v>4</v>
      </c>
      <c r="E1181" s="5">
        <f t="shared" si="91"/>
        <v>2010</v>
      </c>
      <c r="F1181" s="5" t="s">
        <v>25</v>
      </c>
      <c r="G1181" s="5" t="s">
        <v>8</v>
      </c>
      <c r="H1181" s="7">
        <v>4126.6000000000004</v>
      </c>
      <c r="I1181" s="7">
        <v>4327.34</v>
      </c>
      <c r="J1181" s="7">
        <f t="shared" si="92"/>
        <v>200.73999999999978</v>
      </c>
      <c r="K1181" s="8">
        <f t="shared" si="94"/>
        <v>4.8645373915572082E-2</v>
      </c>
    </row>
    <row r="1182" spans="1:11" x14ac:dyDescent="0.3">
      <c r="A1182" s="5" t="s">
        <v>43</v>
      </c>
      <c r="B1182" s="6">
        <v>40270</v>
      </c>
      <c r="C1182" s="5">
        <f t="shared" si="93"/>
        <v>14</v>
      </c>
      <c r="D1182" s="5">
        <f t="shared" si="90"/>
        <v>4</v>
      </c>
      <c r="E1182" s="5">
        <f t="shared" si="91"/>
        <v>2010</v>
      </c>
      <c r="F1182" s="5" t="s">
        <v>26</v>
      </c>
      <c r="G1182" s="5" t="s">
        <v>10</v>
      </c>
      <c r="H1182" s="7">
        <v>1300</v>
      </c>
      <c r="I1182" s="7">
        <v>1495.86</v>
      </c>
      <c r="J1182" s="7">
        <f t="shared" si="92"/>
        <v>195.8599999999999</v>
      </c>
      <c r="K1182" s="8">
        <f t="shared" si="94"/>
        <v>0.15066153846153837</v>
      </c>
    </row>
    <row r="1183" spans="1:11" x14ac:dyDescent="0.3">
      <c r="A1183" s="5" t="s">
        <v>43</v>
      </c>
      <c r="B1183" s="6">
        <v>40270</v>
      </c>
      <c r="C1183" s="5">
        <f t="shared" si="93"/>
        <v>14</v>
      </c>
      <c r="D1183" s="5">
        <f t="shared" si="90"/>
        <v>4</v>
      </c>
      <c r="E1183" s="5">
        <f t="shared" si="91"/>
        <v>2010</v>
      </c>
      <c r="F1183" s="5" t="s">
        <v>27</v>
      </c>
      <c r="G1183" s="5" t="s">
        <v>10</v>
      </c>
      <c r="H1183" s="7">
        <v>83675.570000000007</v>
      </c>
      <c r="I1183" s="7">
        <v>95140.98</v>
      </c>
      <c r="J1183" s="7">
        <f t="shared" si="92"/>
        <v>11465.409999999989</v>
      </c>
      <c r="K1183" s="8">
        <f t="shared" si="94"/>
        <v>0.13702219178190228</v>
      </c>
    </row>
    <row r="1184" spans="1:11" x14ac:dyDescent="0.3">
      <c r="A1184" s="5" t="s">
        <v>43</v>
      </c>
      <c r="B1184" s="6">
        <v>40270</v>
      </c>
      <c r="C1184" s="5">
        <f t="shared" si="93"/>
        <v>14</v>
      </c>
      <c r="D1184" s="5">
        <f t="shared" si="90"/>
        <v>4</v>
      </c>
      <c r="E1184" s="5">
        <f t="shared" si="91"/>
        <v>2010</v>
      </c>
      <c r="F1184" s="5" t="s">
        <v>28</v>
      </c>
      <c r="G1184" s="5" t="s">
        <v>10</v>
      </c>
      <c r="H1184" s="7">
        <v>221262.42</v>
      </c>
      <c r="I1184" s="7">
        <v>233233.22</v>
      </c>
      <c r="J1184" s="7">
        <f t="shared" si="92"/>
        <v>11970.799999999988</v>
      </c>
      <c r="K1184" s="8">
        <f t="shared" si="94"/>
        <v>5.4102273671236115E-2</v>
      </c>
    </row>
    <row r="1185" spans="1:11" x14ac:dyDescent="0.3">
      <c r="A1185" s="5" t="s">
        <v>43</v>
      </c>
      <c r="B1185" s="6">
        <v>40270</v>
      </c>
      <c r="C1185" s="5">
        <f t="shared" si="93"/>
        <v>14</v>
      </c>
      <c r="D1185" s="5">
        <f t="shared" si="90"/>
        <v>4</v>
      </c>
      <c r="E1185" s="5">
        <f t="shared" si="91"/>
        <v>2010</v>
      </c>
      <c r="F1185" s="5" t="s">
        <v>29</v>
      </c>
      <c r="G1185" s="5" t="s">
        <v>10</v>
      </c>
      <c r="H1185" s="7">
        <v>816058.3</v>
      </c>
      <c r="I1185" s="7">
        <v>883267.05</v>
      </c>
      <c r="J1185" s="7">
        <f t="shared" si="92"/>
        <v>67208.75</v>
      </c>
      <c r="K1185" s="8">
        <f t="shared" si="94"/>
        <v>8.2357780075271572E-2</v>
      </c>
    </row>
    <row r="1186" spans="1:11" x14ac:dyDescent="0.3">
      <c r="A1186" s="5" t="s">
        <v>43</v>
      </c>
      <c r="B1186" s="6">
        <v>40270</v>
      </c>
      <c r="C1186" s="5">
        <f t="shared" si="93"/>
        <v>14</v>
      </c>
      <c r="D1186" s="5">
        <f t="shared" si="90"/>
        <v>4</v>
      </c>
      <c r="E1186" s="5">
        <f t="shared" si="91"/>
        <v>2010</v>
      </c>
      <c r="F1186" s="5" t="s">
        <v>30</v>
      </c>
      <c r="G1186" s="5" t="s">
        <v>10</v>
      </c>
      <c r="H1186" s="7">
        <v>52683.02</v>
      </c>
      <c r="I1186" s="7">
        <v>60133.35</v>
      </c>
      <c r="J1186" s="7">
        <f t="shared" si="92"/>
        <v>7450.3300000000017</v>
      </c>
      <c r="K1186" s="8">
        <f t="shared" si="94"/>
        <v>0.14141805082548423</v>
      </c>
    </row>
    <row r="1187" spans="1:11" x14ac:dyDescent="0.3">
      <c r="A1187" s="5" t="s">
        <v>43</v>
      </c>
      <c r="B1187" s="6">
        <v>40270</v>
      </c>
      <c r="C1187" s="5">
        <f t="shared" si="93"/>
        <v>14</v>
      </c>
      <c r="D1187" s="5">
        <f t="shared" si="90"/>
        <v>4</v>
      </c>
      <c r="E1187" s="5">
        <f t="shared" si="91"/>
        <v>2010</v>
      </c>
      <c r="F1187" s="5" t="s">
        <v>9</v>
      </c>
      <c r="G1187" s="5" t="s">
        <v>9</v>
      </c>
      <c r="H1187" s="7">
        <v>540619.82999999996</v>
      </c>
      <c r="I1187" s="7">
        <v>629036.75</v>
      </c>
      <c r="J1187" s="7">
        <f t="shared" si="92"/>
        <v>88416.920000000042</v>
      </c>
      <c r="K1187" s="8">
        <f t="shared" si="94"/>
        <v>0.16354731198076852</v>
      </c>
    </row>
    <row r="1188" spans="1:11" x14ac:dyDescent="0.3">
      <c r="A1188" s="5" t="s">
        <v>43</v>
      </c>
      <c r="B1188" s="6">
        <v>40270</v>
      </c>
      <c r="C1188" s="5">
        <f t="shared" si="93"/>
        <v>14</v>
      </c>
      <c r="D1188" s="5">
        <f t="shared" si="90"/>
        <v>4</v>
      </c>
      <c r="E1188" s="5">
        <f t="shared" si="91"/>
        <v>2010</v>
      </c>
      <c r="F1188" s="5" t="s">
        <v>31</v>
      </c>
      <c r="G1188" s="5" t="s">
        <v>7</v>
      </c>
      <c r="H1188" s="7">
        <v>6943.54</v>
      </c>
      <c r="I1188" s="7">
        <v>13886.67</v>
      </c>
      <c r="J1188" s="7">
        <f t="shared" si="92"/>
        <v>6943.13</v>
      </c>
      <c r="K1188" s="8">
        <f t="shared" si="94"/>
        <v>0.99994095230962887</v>
      </c>
    </row>
    <row r="1189" spans="1:11" x14ac:dyDescent="0.3">
      <c r="A1189" s="5" t="s">
        <v>43</v>
      </c>
      <c r="B1189" s="6">
        <v>40270</v>
      </c>
      <c r="C1189" s="5">
        <f t="shared" si="93"/>
        <v>14</v>
      </c>
      <c r="D1189" s="5">
        <f t="shared" si="90"/>
        <v>4</v>
      </c>
      <c r="E1189" s="5">
        <f t="shared" si="91"/>
        <v>2010</v>
      </c>
      <c r="F1189" s="5" t="s">
        <v>32</v>
      </c>
      <c r="G1189" s="5" t="s">
        <v>7</v>
      </c>
      <c r="H1189" s="7">
        <v>5010.4399999999996</v>
      </c>
      <c r="I1189" s="7">
        <v>5579.97</v>
      </c>
      <c r="J1189" s="7">
        <f t="shared" si="92"/>
        <v>569.53000000000065</v>
      </c>
      <c r="K1189" s="8">
        <f t="shared" si="94"/>
        <v>0.11366865983825786</v>
      </c>
    </row>
    <row r="1190" spans="1:11" x14ac:dyDescent="0.3">
      <c r="A1190" s="5" t="s">
        <v>43</v>
      </c>
      <c r="B1190" s="6">
        <v>40270</v>
      </c>
      <c r="C1190" s="5">
        <f t="shared" si="93"/>
        <v>14</v>
      </c>
      <c r="D1190" s="5">
        <f t="shared" si="90"/>
        <v>4</v>
      </c>
      <c r="E1190" s="5">
        <f t="shared" si="91"/>
        <v>2010</v>
      </c>
      <c r="F1190" s="5" t="s">
        <v>33</v>
      </c>
      <c r="G1190" s="5" t="s">
        <v>7</v>
      </c>
      <c r="H1190" s="7">
        <v>279304.67</v>
      </c>
      <c r="I1190" s="7">
        <v>466618.43</v>
      </c>
      <c r="J1190" s="7">
        <f t="shared" si="92"/>
        <v>187313.76</v>
      </c>
      <c r="K1190" s="8">
        <f t="shared" si="94"/>
        <v>0.67064313675815024</v>
      </c>
    </row>
    <row r="1191" spans="1:11" x14ac:dyDescent="0.3">
      <c r="A1191" s="5" t="s">
        <v>43</v>
      </c>
      <c r="B1191" s="6">
        <v>40270</v>
      </c>
      <c r="C1191" s="5">
        <f t="shared" si="93"/>
        <v>14</v>
      </c>
      <c r="D1191" s="5">
        <f t="shared" si="90"/>
        <v>4</v>
      </c>
      <c r="E1191" s="5">
        <f t="shared" si="91"/>
        <v>2010</v>
      </c>
      <c r="F1191" s="5" t="s">
        <v>34</v>
      </c>
      <c r="G1191" s="5" t="s">
        <v>7</v>
      </c>
      <c r="H1191" s="7">
        <v>266</v>
      </c>
      <c r="I1191" s="7">
        <v>825.85</v>
      </c>
      <c r="J1191" s="7">
        <f t="shared" si="92"/>
        <v>559.85</v>
      </c>
      <c r="K1191" s="8">
        <f t="shared" si="94"/>
        <v>2.1046992481203008</v>
      </c>
    </row>
    <row r="1192" spans="1:11" x14ac:dyDescent="0.3">
      <c r="A1192" s="5" t="s">
        <v>43</v>
      </c>
      <c r="B1192" s="6">
        <v>40270</v>
      </c>
      <c r="C1192" s="5">
        <f t="shared" si="93"/>
        <v>14</v>
      </c>
      <c r="D1192" s="5">
        <f t="shared" si="90"/>
        <v>4</v>
      </c>
      <c r="E1192" s="5">
        <f t="shared" si="91"/>
        <v>2010</v>
      </c>
      <c r="F1192" s="5" t="s">
        <v>35</v>
      </c>
      <c r="G1192" s="5" t="s">
        <v>11</v>
      </c>
      <c r="H1192" s="7">
        <v>974.92</v>
      </c>
      <c r="I1192" s="7">
        <v>1188.4000000000001</v>
      </c>
      <c r="J1192" s="7">
        <f t="shared" si="92"/>
        <v>213.48000000000013</v>
      </c>
      <c r="K1192" s="8">
        <f t="shared" si="94"/>
        <v>0.21897181307184194</v>
      </c>
    </row>
    <row r="1193" spans="1:11" x14ac:dyDescent="0.3">
      <c r="A1193" s="5" t="s">
        <v>43</v>
      </c>
      <c r="B1193" s="6">
        <v>40270</v>
      </c>
      <c r="C1193" s="5">
        <f t="shared" si="93"/>
        <v>14</v>
      </c>
      <c r="D1193" s="5">
        <f t="shared" si="90"/>
        <v>4</v>
      </c>
      <c r="E1193" s="5">
        <f t="shared" si="91"/>
        <v>2010</v>
      </c>
      <c r="F1193" s="5" t="s">
        <v>36</v>
      </c>
      <c r="G1193" s="5" t="s">
        <v>11</v>
      </c>
      <c r="H1193" s="7">
        <v>191538.29</v>
      </c>
      <c r="I1193" s="7">
        <v>198528.87</v>
      </c>
      <c r="J1193" s="7">
        <f t="shared" si="92"/>
        <v>6990.5799999999872</v>
      </c>
      <c r="K1193" s="8">
        <f t="shared" si="94"/>
        <v>3.6497036702165329E-2</v>
      </c>
    </row>
    <row r="1194" spans="1:11" x14ac:dyDescent="0.3">
      <c r="A1194" s="5" t="s">
        <v>43</v>
      </c>
      <c r="B1194" s="6">
        <v>40270</v>
      </c>
      <c r="C1194" s="5">
        <f t="shared" si="93"/>
        <v>14</v>
      </c>
      <c r="D1194" s="5">
        <f t="shared" si="90"/>
        <v>4</v>
      </c>
      <c r="E1194" s="5">
        <f t="shared" si="91"/>
        <v>2010</v>
      </c>
      <c r="F1194" s="5" t="s">
        <v>37</v>
      </c>
      <c r="G1194" s="5" t="s">
        <v>11</v>
      </c>
      <c r="H1194" s="7">
        <v>349465.81</v>
      </c>
      <c r="I1194" s="7">
        <v>384123.5</v>
      </c>
      <c r="J1194" s="7">
        <f t="shared" si="92"/>
        <v>34657.69</v>
      </c>
      <c r="K1194" s="8">
        <f t="shared" si="94"/>
        <v>9.9173335440167959E-2</v>
      </c>
    </row>
    <row r="1195" spans="1:11" x14ac:dyDescent="0.3">
      <c r="A1195" s="5" t="s">
        <v>43</v>
      </c>
      <c r="B1195" s="6">
        <v>40270</v>
      </c>
      <c r="C1195" s="5">
        <f t="shared" si="93"/>
        <v>14</v>
      </c>
      <c r="D1195" s="5">
        <f t="shared" si="90"/>
        <v>4</v>
      </c>
      <c r="E1195" s="5">
        <f t="shared" si="91"/>
        <v>2010</v>
      </c>
      <c r="F1195" s="5" t="s">
        <v>38</v>
      </c>
      <c r="G1195" s="5" t="s">
        <v>11</v>
      </c>
      <c r="H1195" s="7">
        <v>411859.89</v>
      </c>
      <c r="I1195" s="7">
        <v>417387.65</v>
      </c>
      <c r="J1195" s="7">
        <f t="shared" si="92"/>
        <v>5527.7600000000093</v>
      </c>
      <c r="K1195" s="8">
        <f t="shared" si="94"/>
        <v>1.3421457476716194E-2</v>
      </c>
    </row>
    <row r="1196" spans="1:11" x14ac:dyDescent="0.3">
      <c r="A1196" s="5" t="s">
        <v>43</v>
      </c>
      <c r="B1196" s="6">
        <v>40271</v>
      </c>
      <c r="C1196" s="5">
        <f t="shared" si="93"/>
        <v>14</v>
      </c>
      <c r="D1196" s="5">
        <f t="shared" si="90"/>
        <v>4</v>
      </c>
      <c r="E1196" s="5">
        <f t="shared" si="91"/>
        <v>2010</v>
      </c>
      <c r="F1196" s="5" t="s">
        <v>14</v>
      </c>
      <c r="G1196" s="5" t="s">
        <v>6</v>
      </c>
      <c r="H1196" s="7">
        <v>7850.96</v>
      </c>
      <c r="I1196" s="7">
        <v>9573.1299999999992</v>
      </c>
      <c r="J1196" s="7">
        <f t="shared" si="92"/>
        <v>1722.1699999999992</v>
      </c>
      <c r="K1196" s="8">
        <f t="shared" si="94"/>
        <v>0.21935788744306417</v>
      </c>
    </row>
    <row r="1197" spans="1:11" x14ac:dyDescent="0.3">
      <c r="A1197" s="5" t="s">
        <v>43</v>
      </c>
      <c r="B1197" s="6">
        <v>40271</v>
      </c>
      <c r="C1197" s="5">
        <f t="shared" si="93"/>
        <v>14</v>
      </c>
      <c r="D1197" s="5">
        <f t="shared" si="90"/>
        <v>4</v>
      </c>
      <c r="E1197" s="5">
        <f t="shared" si="91"/>
        <v>2010</v>
      </c>
      <c r="F1197" s="5" t="s">
        <v>15</v>
      </c>
      <c r="G1197" s="5" t="s">
        <v>6</v>
      </c>
      <c r="H1197" s="7">
        <v>281294.71999999997</v>
      </c>
      <c r="I1197" s="7">
        <v>378214.84</v>
      </c>
      <c r="J1197" s="7">
        <f t="shared" si="92"/>
        <v>96920.120000000054</v>
      </c>
      <c r="K1197" s="8">
        <f t="shared" si="94"/>
        <v>0.34455008611608517</v>
      </c>
    </row>
    <row r="1198" spans="1:11" x14ac:dyDescent="0.3">
      <c r="A1198" s="5" t="s">
        <v>43</v>
      </c>
      <c r="B1198" s="6">
        <v>40271</v>
      </c>
      <c r="C1198" s="5">
        <f t="shared" si="93"/>
        <v>14</v>
      </c>
      <c r="D1198" s="5">
        <f t="shared" si="90"/>
        <v>4</v>
      </c>
      <c r="E1198" s="5">
        <f t="shared" si="91"/>
        <v>2010</v>
      </c>
      <c r="F1198" s="5" t="s">
        <v>16</v>
      </c>
      <c r="G1198" s="5" t="s">
        <v>6</v>
      </c>
      <c r="H1198" s="7">
        <v>163488.29</v>
      </c>
      <c r="I1198" s="7">
        <v>182763.97</v>
      </c>
      <c r="J1198" s="7">
        <f t="shared" si="92"/>
        <v>19275.679999999993</v>
      </c>
      <c r="K1198" s="8">
        <f t="shared" si="94"/>
        <v>0.11790251154990973</v>
      </c>
    </row>
    <row r="1199" spans="1:11" x14ac:dyDescent="0.3">
      <c r="A1199" s="5" t="s">
        <v>43</v>
      </c>
      <c r="B1199" s="6">
        <v>40271</v>
      </c>
      <c r="C1199" s="5">
        <f t="shared" si="93"/>
        <v>14</v>
      </c>
      <c r="D1199" s="5">
        <f t="shared" si="90"/>
        <v>4</v>
      </c>
      <c r="E1199" s="5">
        <f t="shared" si="91"/>
        <v>2010</v>
      </c>
      <c r="F1199" s="5" t="s">
        <v>17</v>
      </c>
      <c r="G1199" s="5" t="s">
        <v>6</v>
      </c>
      <c r="H1199" s="7">
        <v>1994</v>
      </c>
      <c r="I1199" s="7">
        <v>2200.89</v>
      </c>
      <c r="J1199" s="7">
        <f t="shared" si="92"/>
        <v>206.88999999999987</v>
      </c>
      <c r="K1199" s="8">
        <f t="shared" si="94"/>
        <v>0.10375626880641919</v>
      </c>
    </row>
    <row r="1200" spans="1:11" x14ac:dyDescent="0.3">
      <c r="A1200" s="5" t="s">
        <v>43</v>
      </c>
      <c r="B1200" s="6">
        <v>40271</v>
      </c>
      <c r="C1200" s="5">
        <f t="shared" si="93"/>
        <v>14</v>
      </c>
      <c r="D1200" s="5">
        <f t="shared" si="90"/>
        <v>4</v>
      </c>
      <c r="E1200" s="5">
        <f t="shared" si="91"/>
        <v>2010</v>
      </c>
      <c r="F1200" s="5" t="s">
        <v>19</v>
      </c>
      <c r="G1200" s="5" t="s">
        <v>5</v>
      </c>
      <c r="H1200" s="7">
        <v>142423.71</v>
      </c>
      <c r="I1200" s="7">
        <v>158199.01</v>
      </c>
      <c r="J1200" s="7">
        <f t="shared" si="92"/>
        <v>15775.300000000017</v>
      </c>
      <c r="K1200" s="8">
        <f t="shared" si="94"/>
        <v>0.11076315874653186</v>
      </c>
    </row>
    <row r="1201" spans="1:11" x14ac:dyDescent="0.3">
      <c r="A1201" s="5" t="s">
        <v>43</v>
      </c>
      <c r="B1201" s="6">
        <v>40271</v>
      </c>
      <c r="C1201" s="5">
        <f t="shared" si="93"/>
        <v>14</v>
      </c>
      <c r="D1201" s="5">
        <f t="shared" si="90"/>
        <v>4</v>
      </c>
      <c r="E1201" s="5">
        <f t="shared" si="91"/>
        <v>2010</v>
      </c>
      <c r="F1201" s="5" t="s">
        <v>5</v>
      </c>
      <c r="G1201" s="5" t="s">
        <v>5</v>
      </c>
      <c r="H1201" s="7">
        <v>602383.34</v>
      </c>
      <c r="I1201" s="7">
        <v>649391.25</v>
      </c>
      <c r="J1201" s="7">
        <f t="shared" si="92"/>
        <v>47007.910000000033</v>
      </c>
      <c r="K1201" s="8">
        <f t="shared" si="94"/>
        <v>7.803653733185921E-2</v>
      </c>
    </row>
    <row r="1202" spans="1:11" x14ac:dyDescent="0.3">
      <c r="A1202" s="5" t="s">
        <v>43</v>
      </c>
      <c r="B1202" s="6">
        <v>40271</v>
      </c>
      <c r="C1202" s="5">
        <f t="shared" si="93"/>
        <v>14</v>
      </c>
      <c r="D1202" s="5">
        <f t="shared" si="90"/>
        <v>4</v>
      </c>
      <c r="E1202" s="5">
        <f t="shared" si="91"/>
        <v>2010</v>
      </c>
      <c r="F1202" s="5" t="s">
        <v>20</v>
      </c>
      <c r="G1202" s="5" t="s">
        <v>5</v>
      </c>
      <c r="H1202" s="7">
        <v>173563.33</v>
      </c>
      <c r="I1202" s="7">
        <v>185919.48</v>
      </c>
      <c r="J1202" s="7">
        <f t="shared" si="92"/>
        <v>12356.150000000023</v>
      </c>
      <c r="K1202" s="8">
        <f t="shared" si="94"/>
        <v>7.1191017134783166E-2</v>
      </c>
    </row>
    <row r="1203" spans="1:11" x14ac:dyDescent="0.3">
      <c r="A1203" s="5" t="s">
        <v>43</v>
      </c>
      <c r="B1203" s="6">
        <v>40271</v>
      </c>
      <c r="C1203" s="5">
        <f t="shared" si="93"/>
        <v>14</v>
      </c>
      <c r="D1203" s="5">
        <f t="shared" si="90"/>
        <v>4</v>
      </c>
      <c r="E1203" s="5">
        <f t="shared" si="91"/>
        <v>2010</v>
      </c>
      <c r="F1203" s="5" t="s">
        <v>21</v>
      </c>
      <c r="G1203" s="5" t="s">
        <v>5</v>
      </c>
      <c r="H1203" s="7">
        <v>199184.76</v>
      </c>
      <c r="I1203" s="7">
        <v>215520.2</v>
      </c>
      <c r="J1203" s="7">
        <f t="shared" si="92"/>
        <v>16335.440000000002</v>
      </c>
      <c r="K1203" s="8">
        <f t="shared" si="94"/>
        <v>8.2011495256966452E-2</v>
      </c>
    </row>
    <row r="1204" spans="1:11" x14ac:dyDescent="0.3">
      <c r="A1204" s="5" t="s">
        <v>43</v>
      </c>
      <c r="B1204" s="6">
        <v>40271</v>
      </c>
      <c r="C1204" s="5">
        <f t="shared" si="93"/>
        <v>14</v>
      </c>
      <c r="D1204" s="5">
        <f t="shared" si="90"/>
        <v>4</v>
      </c>
      <c r="E1204" s="5">
        <f t="shared" si="91"/>
        <v>2010</v>
      </c>
      <c r="F1204" s="5" t="s">
        <v>22</v>
      </c>
      <c r="G1204" s="5" t="s">
        <v>8</v>
      </c>
      <c r="H1204" s="7">
        <v>645267.84</v>
      </c>
      <c r="I1204" s="7">
        <v>699820.38</v>
      </c>
      <c r="J1204" s="7">
        <f t="shared" si="92"/>
        <v>54552.540000000037</v>
      </c>
      <c r="K1204" s="8">
        <f t="shared" si="94"/>
        <v>8.4542474641228119E-2</v>
      </c>
    </row>
    <row r="1205" spans="1:11" x14ac:dyDescent="0.3">
      <c r="A1205" s="5" t="s">
        <v>43</v>
      </c>
      <c r="B1205" s="6">
        <v>40271</v>
      </c>
      <c r="C1205" s="5">
        <f t="shared" si="93"/>
        <v>14</v>
      </c>
      <c r="D1205" s="5">
        <f t="shared" si="90"/>
        <v>4</v>
      </c>
      <c r="E1205" s="5">
        <f t="shared" si="91"/>
        <v>2010</v>
      </c>
      <c r="F1205" s="5" t="s">
        <v>23</v>
      </c>
      <c r="G1205" s="5" t="s">
        <v>8</v>
      </c>
      <c r="H1205" s="7">
        <v>329741.44</v>
      </c>
      <c r="I1205" s="7">
        <v>342601.07</v>
      </c>
      <c r="J1205" s="7">
        <f t="shared" si="92"/>
        <v>12859.630000000005</v>
      </c>
      <c r="K1205" s="8">
        <f t="shared" si="94"/>
        <v>3.8999132168525755E-2</v>
      </c>
    </row>
    <row r="1206" spans="1:11" x14ac:dyDescent="0.3">
      <c r="A1206" s="5" t="s">
        <v>43</v>
      </c>
      <c r="B1206" s="6">
        <v>40271</v>
      </c>
      <c r="C1206" s="5">
        <f t="shared" si="93"/>
        <v>14</v>
      </c>
      <c r="D1206" s="5">
        <f t="shared" si="90"/>
        <v>4</v>
      </c>
      <c r="E1206" s="5">
        <f t="shared" si="91"/>
        <v>2010</v>
      </c>
      <c r="F1206" s="5" t="s">
        <v>24</v>
      </c>
      <c r="G1206" s="5" t="s">
        <v>8</v>
      </c>
      <c r="H1206" s="7">
        <v>197956.99</v>
      </c>
      <c r="I1206" s="7">
        <v>207838.85</v>
      </c>
      <c r="J1206" s="7">
        <f t="shared" si="92"/>
        <v>9881.8600000000151</v>
      </c>
      <c r="K1206" s="8">
        <f t="shared" si="94"/>
        <v>4.9919227403892208E-2</v>
      </c>
    </row>
    <row r="1207" spans="1:11" x14ac:dyDescent="0.3">
      <c r="A1207" s="5" t="s">
        <v>43</v>
      </c>
      <c r="B1207" s="6">
        <v>40271</v>
      </c>
      <c r="C1207" s="5">
        <f t="shared" si="93"/>
        <v>14</v>
      </c>
      <c r="D1207" s="5">
        <f t="shared" si="90"/>
        <v>4</v>
      </c>
      <c r="E1207" s="5">
        <f t="shared" si="91"/>
        <v>2010</v>
      </c>
      <c r="F1207" s="5" t="s">
        <v>25</v>
      </c>
      <c r="G1207" s="5" t="s">
        <v>8</v>
      </c>
      <c r="H1207" s="7">
        <v>17051</v>
      </c>
      <c r="I1207" s="7">
        <v>17248.599999999999</v>
      </c>
      <c r="J1207" s="7">
        <f t="shared" si="92"/>
        <v>197.59999999999854</v>
      </c>
      <c r="K1207" s="8">
        <f t="shared" si="94"/>
        <v>1.1588763122397427E-2</v>
      </c>
    </row>
    <row r="1208" spans="1:11" x14ac:dyDescent="0.3">
      <c r="A1208" s="5" t="s">
        <v>43</v>
      </c>
      <c r="B1208" s="6">
        <v>40271</v>
      </c>
      <c r="C1208" s="5">
        <f t="shared" si="93"/>
        <v>14</v>
      </c>
      <c r="D1208" s="5">
        <f t="shared" si="90"/>
        <v>4</v>
      </c>
      <c r="E1208" s="5">
        <f t="shared" si="91"/>
        <v>2010</v>
      </c>
      <c r="F1208" s="5" t="s">
        <v>26</v>
      </c>
      <c r="G1208" s="5" t="s">
        <v>10</v>
      </c>
      <c r="H1208" s="7">
        <v>1950</v>
      </c>
      <c r="I1208" s="7">
        <v>2158.83</v>
      </c>
      <c r="J1208" s="7">
        <f t="shared" si="92"/>
        <v>208.82999999999993</v>
      </c>
      <c r="K1208" s="8">
        <f t="shared" si="94"/>
        <v>0.10709230769230765</v>
      </c>
    </row>
    <row r="1209" spans="1:11" x14ac:dyDescent="0.3">
      <c r="A1209" s="5" t="s">
        <v>43</v>
      </c>
      <c r="B1209" s="6">
        <v>40271</v>
      </c>
      <c r="C1209" s="5">
        <f t="shared" si="93"/>
        <v>14</v>
      </c>
      <c r="D1209" s="5">
        <f t="shared" si="90"/>
        <v>4</v>
      </c>
      <c r="E1209" s="5">
        <f t="shared" si="91"/>
        <v>2010</v>
      </c>
      <c r="F1209" s="5" t="s">
        <v>27</v>
      </c>
      <c r="G1209" s="5" t="s">
        <v>10</v>
      </c>
      <c r="H1209" s="7">
        <v>70571.75</v>
      </c>
      <c r="I1209" s="7">
        <v>79959.820000000007</v>
      </c>
      <c r="J1209" s="7">
        <f t="shared" si="92"/>
        <v>9388.070000000007</v>
      </c>
      <c r="K1209" s="8">
        <f t="shared" si="94"/>
        <v>0.13302872608373756</v>
      </c>
    </row>
    <row r="1210" spans="1:11" x14ac:dyDescent="0.3">
      <c r="A1210" s="5" t="s">
        <v>43</v>
      </c>
      <c r="B1210" s="6">
        <v>40271</v>
      </c>
      <c r="C1210" s="5">
        <f t="shared" si="93"/>
        <v>14</v>
      </c>
      <c r="D1210" s="5">
        <f t="shared" si="90"/>
        <v>4</v>
      </c>
      <c r="E1210" s="5">
        <f t="shared" si="91"/>
        <v>2010</v>
      </c>
      <c r="F1210" s="5" t="s">
        <v>28</v>
      </c>
      <c r="G1210" s="5" t="s">
        <v>10</v>
      </c>
      <c r="H1210" s="7">
        <v>114167.03999999999</v>
      </c>
      <c r="I1210" s="7">
        <v>123916.42</v>
      </c>
      <c r="J1210" s="7">
        <f t="shared" si="92"/>
        <v>9749.3800000000047</v>
      </c>
      <c r="K1210" s="8">
        <f t="shared" si="94"/>
        <v>8.5395749946744745E-2</v>
      </c>
    </row>
    <row r="1211" spans="1:11" x14ac:dyDescent="0.3">
      <c r="A1211" s="5" t="s">
        <v>43</v>
      </c>
      <c r="B1211" s="6">
        <v>40271</v>
      </c>
      <c r="C1211" s="5">
        <f t="shared" si="93"/>
        <v>14</v>
      </c>
      <c r="D1211" s="5">
        <f t="shared" si="90"/>
        <v>4</v>
      </c>
      <c r="E1211" s="5">
        <f t="shared" si="91"/>
        <v>2010</v>
      </c>
      <c r="F1211" s="5" t="s">
        <v>29</v>
      </c>
      <c r="G1211" s="5" t="s">
        <v>10</v>
      </c>
      <c r="H1211" s="7">
        <v>793959.46</v>
      </c>
      <c r="I1211" s="7">
        <v>872288.55</v>
      </c>
      <c r="J1211" s="7">
        <f t="shared" si="92"/>
        <v>78329.090000000084</v>
      </c>
      <c r="K1211" s="8">
        <f t="shared" si="94"/>
        <v>9.865628403747477E-2</v>
      </c>
    </row>
    <row r="1212" spans="1:11" x14ac:dyDescent="0.3">
      <c r="A1212" s="5" t="s">
        <v>43</v>
      </c>
      <c r="B1212" s="6">
        <v>40271</v>
      </c>
      <c r="C1212" s="5">
        <f t="shared" si="93"/>
        <v>14</v>
      </c>
      <c r="D1212" s="5">
        <f t="shared" si="90"/>
        <v>4</v>
      </c>
      <c r="E1212" s="5">
        <f t="shared" si="91"/>
        <v>2010</v>
      </c>
      <c r="F1212" s="5" t="s">
        <v>30</v>
      </c>
      <c r="G1212" s="5" t="s">
        <v>10</v>
      </c>
      <c r="H1212" s="7">
        <v>81802.42</v>
      </c>
      <c r="I1212" s="7">
        <v>92705.600000000006</v>
      </c>
      <c r="J1212" s="7">
        <f t="shared" si="92"/>
        <v>10903.180000000008</v>
      </c>
      <c r="K1212" s="8">
        <f t="shared" si="94"/>
        <v>0.13328676584384677</v>
      </c>
    </row>
    <row r="1213" spans="1:11" x14ac:dyDescent="0.3">
      <c r="A1213" s="5" t="s">
        <v>43</v>
      </c>
      <c r="B1213" s="6">
        <v>40271</v>
      </c>
      <c r="C1213" s="5">
        <f t="shared" si="93"/>
        <v>14</v>
      </c>
      <c r="D1213" s="5">
        <f t="shared" si="90"/>
        <v>4</v>
      </c>
      <c r="E1213" s="5">
        <f t="shared" si="91"/>
        <v>2010</v>
      </c>
      <c r="F1213" s="5" t="s">
        <v>9</v>
      </c>
      <c r="G1213" s="5" t="s">
        <v>9</v>
      </c>
      <c r="H1213" s="7">
        <v>632796.09</v>
      </c>
      <c r="I1213" s="7">
        <v>739965.76</v>
      </c>
      <c r="J1213" s="7">
        <f t="shared" si="92"/>
        <v>107169.67000000004</v>
      </c>
      <c r="K1213" s="8">
        <f t="shared" si="94"/>
        <v>0.16935893203764904</v>
      </c>
    </row>
    <row r="1214" spans="1:11" x14ac:dyDescent="0.3">
      <c r="A1214" s="5" t="s">
        <v>43</v>
      </c>
      <c r="B1214" s="6">
        <v>40271</v>
      </c>
      <c r="C1214" s="5">
        <f t="shared" si="93"/>
        <v>14</v>
      </c>
      <c r="D1214" s="5">
        <f t="shared" si="90"/>
        <v>4</v>
      </c>
      <c r="E1214" s="5">
        <f t="shared" si="91"/>
        <v>2010</v>
      </c>
      <c r="F1214" s="5" t="s">
        <v>31</v>
      </c>
      <c r="G1214" s="5" t="s">
        <v>7</v>
      </c>
      <c r="H1214" s="7">
        <v>8543.82</v>
      </c>
      <c r="I1214" s="7">
        <v>17353.95</v>
      </c>
      <c r="J1214" s="7">
        <f t="shared" si="92"/>
        <v>8810.130000000001</v>
      </c>
      <c r="K1214" s="8">
        <f t="shared" si="94"/>
        <v>1.0311698982422384</v>
      </c>
    </row>
    <row r="1215" spans="1:11" x14ac:dyDescent="0.3">
      <c r="A1215" s="5" t="s">
        <v>43</v>
      </c>
      <c r="B1215" s="6">
        <v>40271</v>
      </c>
      <c r="C1215" s="5">
        <f t="shared" si="93"/>
        <v>14</v>
      </c>
      <c r="D1215" s="5">
        <f t="shared" si="90"/>
        <v>4</v>
      </c>
      <c r="E1215" s="5">
        <f t="shared" si="91"/>
        <v>2010</v>
      </c>
      <c r="F1215" s="5" t="s">
        <v>32</v>
      </c>
      <c r="G1215" s="5" t="s">
        <v>7</v>
      </c>
      <c r="H1215" s="7">
        <v>2023.7</v>
      </c>
      <c r="I1215" s="7">
        <v>2254.66</v>
      </c>
      <c r="J1215" s="7">
        <f t="shared" si="92"/>
        <v>230.95999999999981</v>
      </c>
      <c r="K1215" s="8">
        <f t="shared" si="94"/>
        <v>0.11412758808123724</v>
      </c>
    </row>
    <row r="1216" spans="1:11" x14ac:dyDescent="0.3">
      <c r="A1216" s="5" t="s">
        <v>43</v>
      </c>
      <c r="B1216" s="6">
        <v>40271</v>
      </c>
      <c r="C1216" s="5">
        <f t="shared" si="93"/>
        <v>14</v>
      </c>
      <c r="D1216" s="5">
        <f t="shared" si="90"/>
        <v>4</v>
      </c>
      <c r="E1216" s="5">
        <f t="shared" si="91"/>
        <v>2010</v>
      </c>
      <c r="F1216" s="5" t="s">
        <v>33</v>
      </c>
      <c r="G1216" s="5" t="s">
        <v>7</v>
      </c>
      <c r="H1216" s="7">
        <v>420200.34</v>
      </c>
      <c r="I1216" s="7">
        <v>651202.06999999995</v>
      </c>
      <c r="J1216" s="7">
        <f t="shared" si="92"/>
        <v>231001.72999999992</v>
      </c>
      <c r="K1216" s="8">
        <f t="shared" si="94"/>
        <v>0.54974189216505609</v>
      </c>
    </row>
    <row r="1217" spans="1:11" x14ac:dyDescent="0.3">
      <c r="A1217" s="5" t="s">
        <v>43</v>
      </c>
      <c r="B1217" s="6">
        <v>40271</v>
      </c>
      <c r="C1217" s="5">
        <f t="shared" si="93"/>
        <v>14</v>
      </c>
      <c r="D1217" s="5">
        <f t="shared" si="90"/>
        <v>4</v>
      </c>
      <c r="E1217" s="5">
        <f t="shared" si="91"/>
        <v>2010</v>
      </c>
      <c r="F1217" s="5" t="s">
        <v>34</v>
      </c>
      <c r="G1217" s="5" t="s">
        <v>7</v>
      </c>
      <c r="H1217" s="7">
        <v>57</v>
      </c>
      <c r="I1217" s="7">
        <v>176.99</v>
      </c>
      <c r="J1217" s="7">
        <f t="shared" si="92"/>
        <v>119.99000000000001</v>
      </c>
      <c r="K1217" s="8">
        <f t="shared" si="94"/>
        <v>2.1050877192982456</v>
      </c>
    </row>
    <row r="1218" spans="1:11" x14ac:dyDescent="0.3">
      <c r="A1218" s="5" t="s">
        <v>43</v>
      </c>
      <c r="B1218" s="6">
        <v>40271</v>
      </c>
      <c r="C1218" s="5">
        <f t="shared" si="93"/>
        <v>14</v>
      </c>
      <c r="D1218" s="5">
        <f t="shared" ref="D1218:D1244" si="95">MONTH(B1218)</f>
        <v>4</v>
      </c>
      <c r="E1218" s="5">
        <f t="shared" ref="E1218:E1244" si="96">YEAR(B1218)</f>
        <v>2010</v>
      </c>
      <c r="F1218" s="5" t="s">
        <v>35</v>
      </c>
      <c r="G1218" s="5" t="s">
        <v>11</v>
      </c>
      <c r="H1218" s="7">
        <v>865.92</v>
      </c>
      <c r="I1218" s="7">
        <v>1125.46</v>
      </c>
      <c r="J1218" s="7">
        <f t="shared" ref="J1218:J1244" si="97">I1218-H1218</f>
        <v>259.54000000000008</v>
      </c>
      <c r="K1218" s="8">
        <f t="shared" si="94"/>
        <v>0.29972745750184787</v>
      </c>
    </row>
    <row r="1219" spans="1:11" x14ac:dyDescent="0.3">
      <c r="A1219" s="5" t="s">
        <v>43</v>
      </c>
      <c r="B1219" s="6">
        <v>40271</v>
      </c>
      <c r="C1219" s="5">
        <f t="shared" ref="C1219:C1244" si="98">WEEKNUM(B1219,1)</f>
        <v>14</v>
      </c>
      <c r="D1219" s="5">
        <f t="shared" si="95"/>
        <v>4</v>
      </c>
      <c r="E1219" s="5">
        <f t="shared" si="96"/>
        <v>2010</v>
      </c>
      <c r="F1219" s="5" t="s">
        <v>36</v>
      </c>
      <c r="G1219" s="5" t="s">
        <v>11</v>
      </c>
      <c r="H1219" s="7">
        <v>197701.01</v>
      </c>
      <c r="I1219" s="7">
        <v>198867.20000000001</v>
      </c>
      <c r="J1219" s="7">
        <f t="shared" si="97"/>
        <v>1166.1900000000023</v>
      </c>
      <c r="K1219" s="8">
        <f t="shared" ref="K1219:K1244" si="99">(I1219-H1219)/H1219</f>
        <v>5.898755904180774E-3</v>
      </c>
    </row>
    <row r="1220" spans="1:11" x14ac:dyDescent="0.3">
      <c r="A1220" s="5" t="s">
        <v>43</v>
      </c>
      <c r="B1220" s="6">
        <v>40271</v>
      </c>
      <c r="C1220" s="5">
        <f t="shared" si="98"/>
        <v>14</v>
      </c>
      <c r="D1220" s="5">
        <f t="shared" si="95"/>
        <v>4</v>
      </c>
      <c r="E1220" s="5">
        <f t="shared" si="96"/>
        <v>2010</v>
      </c>
      <c r="F1220" s="5" t="s">
        <v>37</v>
      </c>
      <c r="G1220" s="5" t="s">
        <v>11</v>
      </c>
      <c r="H1220" s="7">
        <v>332124.45</v>
      </c>
      <c r="I1220" s="7">
        <v>362337.06</v>
      </c>
      <c r="J1220" s="7">
        <f t="shared" si="97"/>
        <v>30212.609999999986</v>
      </c>
      <c r="K1220" s="8">
        <f t="shared" si="99"/>
        <v>9.0967738147552782E-2</v>
      </c>
    </row>
    <row r="1221" spans="1:11" x14ac:dyDescent="0.3">
      <c r="A1221" s="5" t="s">
        <v>43</v>
      </c>
      <c r="B1221" s="6">
        <v>40271</v>
      </c>
      <c r="C1221" s="5">
        <f t="shared" si="98"/>
        <v>14</v>
      </c>
      <c r="D1221" s="5">
        <f t="shared" si="95"/>
        <v>4</v>
      </c>
      <c r="E1221" s="5">
        <f t="shared" si="96"/>
        <v>2010</v>
      </c>
      <c r="F1221" s="5" t="s">
        <v>38</v>
      </c>
      <c r="G1221" s="5" t="s">
        <v>11</v>
      </c>
      <c r="H1221" s="7">
        <v>402673.04</v>
      </c>
      <c r="I1221" s="7">
        <v>403427.94</v>
      </c>
      <c r="J1221" s="7">
        <f t="shared" si="97"/>
        <v>754.90000000002328</v>
      </c>
      <c r="K1221" s="8">
        <f t="shared" si="99"/>
        <v>1.8747219828772826E-3</v>
      </c>
    </row>
    <row r="1222" spans="1:11" x14ac:dyDescent="0.3">
      <c r="A1222" s="5" t="s">
        <v>43</v>
      </c>
      <c r="B1222" s="6">
        <v>40272</v>
      </c>
      <c r="C1222" s="5">
        <f t="shared" si="98"/>
        <v>15</v>
      </c>
      <c r="D1222" s="5">
        <f t="shared" si="95"/>
        <v>4</v>
      </c>
      <c r="E1222" s="5">
        <f t="shared" si="96"/>
        <v>2010</v>
      </c>
      <c r="F1222" s="5" t="s">
        <v>14</v>
      </c>
      <c r="G1222" s="5" t="s">
        <v>6</v>
      </c>
      <c r="H1222" s="7">
        <v>7710.97</v>
      </c>
      <c r="I1222" s="7">
        <v>9535.75</v>
      </c>
      <c r="J1222" s="7">
        <f t="shared" si="97"/>
        <v>1824.7799999999997</v>
      </c>
      <c r="K1222" s="8">
        <f t="shared" si="99"/>
        <v>0.23664727005811198</v>
      </c>
    </row>
    <row r="1223" spans="1:11" x14ac:dyDescent="0.3">
      <c r="A1223" s="5" t="s">
        <v>43</v>
      </c>
      <c r="B1223" s="6">
        <v>40272</v>
      </c>
      <c r="C1223" s="5">
        <f t="shared" si="98"/>
        <v>15</v>
      </c>
      <c r="D1223" s="5">
        <f t="shared" si="95"/>
        <v>4</v>
      </c>
      <c r="E1223" s="5">
        <f t="shared" si="96"/>
        <v>2010</v>
      </c>
      <c r="F1223" s="5" t="s">
        <v>15</v>
      </c>
      <c r="G1223" s="5" t="s">
        <v>6</v>
      </c>
      <c r="H1223" s="7">
        <v>267291.08</v>
      </c>
      <c r="I1223" s="7">
        <v>367646.93</v>
      </c>
      <c r="J1223" s="7">
        <f t="shared" si="97"/>
        <v>100355.84999999998</v>
      </c>
      <c r="K1223" s="8">
        <f t="shared" si="99"/>
        <v>0.37545529016531332</v>
      </c>
    </row>
    <row r="1224" spans="1:11" x14ac:dyDescent="0.3">
      <c r="A1224" s="5" t="s">
        <v>43</v>
      </c>
      <c r="B1224" s="6">
        <v>40272</v>
      </c>
      <c r="C1224" s="5">
        <f t="shared" si="98"/>
        <v>15</v>
      </c>
      <c r="D1224" s="5">
        <f t="shared" si="95"/>
        <v>4</v>
      </c>
      <c r="E1224" s="5">
        <f t="shared" si="96"/>
        <v>2010</v>
      </c>
      <c r="F1224" s="5" t="s">
        <v>16</v>
      </c>
      <c r="G1224" s="5" t="s">
        <v>6</v>
      </c>
      <c r="H1224" s="7">
        <v>100904.19</v>
      </c>
      <c r="I1224" s="7">
        <v>113647.12</v>
      </c>
      <c r="J1224" s="7">
        <f t="shared" si="97"/>
        <v>12742.929999999993</v>
      </c>
      <c r="K1224" s="8">
        <f t="shared" si="99"/>
        <v>0.12628742176117755</v>
      </c>
    </row>
    <row r="1225" spans="1:11" x14ac:dyDescent="0.3">
      <c r="A1225" s="5" t="s">
        <v>43</v>
      </c>
      <c r="B1225" s="6">
        <v>40272</v>
      </c>
      <c r="C1225" s="5">
        <f t="shared" si="98"/>
        <v>15</v>
      </c>
      <c r="D1225" s="5">
        <f t="shared" si="95"/>
        <v>4</v>
      </c>
      <c r="E1225" s="5">
        <f t="shared" si="96"/>
        <v>2010</v>
      </c>
      <c r="F1225" s="5" t="s">
        <v>17</v>
      </c>
      <c r="G1225" s="5" t="s">
        <v>6</v>
      </c>
      <c r="H1225" s="7">
        <v>710</v>
      </c>
      <c r="I1225" s="7">
        <v>724.15</v>
      </c>
      <c r="J1225" s="7">
        <f t="shared" si="97"/>
        <v>14.149999999999977</v>
      </c>
      <c r="K1225" s="8">
        <f t="shared" si="99"/>
        <v>1.9929577464788701E-2</v>
      </c>
    </row>
    <row r="1226" spans="1:11" x14ac:dyDescent="0.3">
      <c r="A1226" s="5" t="s">
        <v>43</v>
      </c>
      <c r="B1226" s="6">
        <v>40272</v>
      </c>
      <c r="C1226" s="5">
        <f t="shared" si="98"/>
        <v>15</v>
      </c>
      <c r="D1226" s="5">
        <f t="shared" si="95"/>
        <v>4</v>
      </c>
      <c r="E1226" s="5">
        <f t="shared" si="96"/>
        <v>2010</v>
      </c>
      <c r="F1226" s="5" t="s">
        <v>19</v>
      </c>
      <c r="G1226" s="5" t="s">
        <v>5</v>
      </c>
      <c r="H1226" s="7">
        <v>95910.27</v>
      </c>
      <c r="I1226" s="7">
        <v>107010.38</v>
      </c>
      <c r="J1226" s="7">
        <f t="shared" si="97"/>
        <v>11100.11</v>
      </c>
      <c r="K1226" s="8">
        <f t="shared" si="99"/>
        <v>0.11573432125673298</v>
      </c>
    </row>
    <row r="1227" spans="1:11" x14ac:dyDescent="0.3">
      <c r="A1227" s="5" t="s">
        <v>43</v>
      </c>
      <c r="B1227" s="6">
        <v>40272</v>
      </c>
      <c r="C1227" s="5">
        <f t="shared" si="98"/>
        <v>15</v>
      </c>
      <c r="D1227" s="5">
        <f t="shared" si="95"/>
        <v>4</v>
      </c>
      <c r="E1227" s="5">
        <f t="shared" si="96"/>
        <v>2010</v>
      </c>
      <c r="F1227" s="5" t="s">
        <v>5</v>
      </c>
      <c r="G1227" s="5" t="s">
        <v>5</v>
      </c>
      <c r="H1227" s="7">
        <v>617324.05000000005</v>
      </c>
      <c r="I1227" s="7">
        <v>662360.99</v>
      </c>
      <c r="J1227" s="7">
        <f t="shared" si="97"/>
        <v>45036.939999999944</v>
      </c>
      <c r="K1227" s="8">
        <f t="shared" si="99"/>
        <v>7.295510356351731E-2</v>
      </c>
    </row>
    <row r="1228" spans="1:11" x14ac:dyDescent="0.3">
      <c r="A1228" s="5" t="s">
        <v>43</v>
      </c>
      <c r="B1228" s="6">
        <v>40272</v>
      </c>
      <c r="C1228" s="5">
        <f t="shared" si="98"/>
        <v>15</v>
      </c>
      <c r="D1228" s="5">
        <f t="shared" si="95"/>
        <v>4</v>
      </c>
      <c r="E1228" s="5">
        <f t="shared" si="96"/>
        <v>2010</v>
      </c>
      <c r="F1228" s="5" t="s">
        <v>20</v>
      </c>
      <c r="G1228" s="5" t="s">
        <v>5</v>
      </c>
      <c r="H1228" s="7">
        <v>100844.89</v>
      </c>
      <c r="I1228" s="7">
        <v>109746.25</v>
      </c>
      <c r="J1228" s="7">
        <f t="shared" si="97"/>
        <v>8901.36</v>
      </c>
      <c r="K1228" s="8">
        <f t="shared" si="99"/>
        <v>8.8267833898177689E-2</v>
      </c>
    </row>
    <row r="1229" spans="1:11" x14ac:dyDescent="0.3">
      <c r="A1229" s="5" t="s">
        <v>43</v>
      </c>
      <c r="B1229" s="6">
        <v>40272</v>
      </c>
      <c r="C1229" s="5">
        <f t="shared" si="98"/>
        <v>15</v>
      </c>
      <c r="D1229" s="5">
        <f t="shared" si="95"/>
        <v>4</v>
      </c>
      <c r="E1229" s="5">
        <f t="shared" si="96"/>
        <v>2010</v>
      </c>
      <c r="F1229" s="5" t="s">
        <v>21</v>
      </c>
      <c r="G1229" s="5" t="s">
        <v>5</v>
      </c>
      <c r="H1229" s="7">
        <v>228653.48</v>
      </c>
      <c r="I1229" s="7">
        <v>245279.51</v>
      </c>
      <c r="J1229" s="7">
        <f t="shared" si="97"/>
        <v>16626.03</v>
      </c>
      <c r="K1229" s="8">
        <f t="shared" si="99"/>
        <v>7.271277918009382E-2</v>
      </c>
    </row>
    <row r="1230" spans="1:11" x14ac:dyDescent="0.3">
      <c r="A1230" s="5" t="s">
        <v>43</v>
      </c>
      <c r="B1230" s="6">
        <v>40272</v>
      </c>
      <c r="C1230" s="5">
        <f t="shared" si="98"/>
        <v>15</v>
      </c>
      <c r="D1230" s="5">
        <f t="shared" si="95"/>
        <v>4</v>
      </c>
      <c r="E1230" s="5">
        <f t="shared" si="96"/>
        <v>2010</v>
      </c>
      <c r="F1230" s="5" t="s">
        <v>22</v>
      </c>
      <c r="G1230" s="5" t="s">
        <v>8</v>
      </c>
      <c r="H1230" s="7">
        <v>408639.77</v>
      </c>
      <c r="I1230" s="7">
        <v>438353.79</v>
      </c>
      <c r="J1230" s="7">
        <f t="shared" si="97"/>
        <v>29714.01999999996</v>
      </c>
      <c r="K1230" s="8">
        <f t="shared" si="99"/>
        <v>7.2714459485918273E-2</v>
      </c>
    </row>
    <row r="1231" spans="1:11" x14ac:dyDescent="0.3">
      <c r="A1231" s="5" t="s">
        <v>43</v>
      </c>
      <c r="B1231" s="6">
        <v>40272</v>
      </c>
      <c r="C1231" s="5">
        <f t="shared" si="98"/>
        <v>15</v>
      </c>
      <c r="D1231" s="5">
        <f t="shared" si="95"/>
        <v>4</v>
      </c>
      <c r="E1231" s="5">
        <f t="shared" si="96"/>
        <v>2010</v>
      </c>
      <c r="F1231" s="5" t="s">
        <v>23</v>
      </c>
      <c r="G1231" s="5" t="s">
        <v>8</v>
      </c>
      <c r="H1231" s="7">
        <v>185212.5</v>
      </c>
      <c r="I1231" s="7">
        <v>194975.03</v>
      </c>
      <c r="J1231" s="7">
        <f t="shared" si="97"/>
        <v>9762.5299999999988</v>
      </c>
      <c r="K1231" s="8">
        <f t="shared" si="99"/>
        <v>5.2709887291624478E-2</v>
      </c>
    </row>
    <row r="1232" spans="1:11" x14ac:dyDescent="0.3">
      <c r="A1232" s="5" t="s">
        <v>43</v>
      </c>
      <c r="B1232" s="6">
        <v>40272</v>
      </c>
      <c r="C1232" s="5">
        <f t="shared" si="98"/>
        <v>15</v>
      </c>
      <c r="D1232" s="5">
        <f t="shared" si="95"/>
        <v>4</v>
      </c>
      <c r="E1232" s="5">
        <f t="shared" si="96"/>
        <v>2010</v>
      </c>
      <c r="F1232" s="5" t="s">
        <v>24</v>
      </c>
      <c r="G1232" s="5" t="s">
        <v>8</v>
      </c>
      <c r="H1232" s="7">
        <v>147402.99</v>
      </c>
      <c r="I1232" s="7">
        <v>157191.88</v>
      </c>
      <c r="J1232" s="7">
        <f t="shared" si="97"/>
        <v>9788.890000000014</v>
      </c>
      <c r="K1232" s="8">
        <f t="shared" si="99"/>
        <v>6.6409032815413133E-2</v>
      </c>
    </row>
    <row r="1233" spans="1:11" x14ac:dyDescent="0.3">
      <c r="A1233" s="5" t="s">
        <v>43</v>
      </c>
      <c r="B1233" s="6">
        <v>40272</v>
      </c>
      <c r="C1233" s="5">
        <f t="shared" si="98"/>
        <v>15</v>
      </c>
      <c r="D1233" s="5">
        <f t="shared" si="95"/>
        <v>4</v>
      </c>
      <c r="E1233" s="5">
        <f t="shared" si="96"/>
        <v>2010</v>
      </c>
      <c r="F1233" s="5" t="s">
        <v>25</v>
      </c>
      <c r="G1233" s="5" t="s">
        <v>8</v>
      </c>
      <c r="H1233" s="7">
        <v>8221.7999999999993</v>
      </c>
      <c r="I1233" s="7">
        <v>8796.0300000000007</v>
      </c>
      <c r="J1233" s="7">
        <f t="shared" si="97"/>
        <v>574.23000000000138</v>
      </c>
      <c r="K1233" s="8">
        <f t="shared" si="99"/>
        <v>6.9842370283879615E-2</v>
      </c>
    </row>
    <row r="1234" spans="1:11" x14ac:dyDescent="0.3">
      <c r="A1234" s="5" t="s">
        <v>43</v>
      </c>
      <c r="B1234" s="6">
        <v>40272</v>
      </c>
      <c r="C1234" s="5">
        <f t="shared" si="98"/>
        <v>15</v>
      </c>
      <c r="D1234" s="5">
        <f t="shared" si="95"/>
        <v>4</v>
      </c>
      <c r="E1234" s="5">
        <f t="shared" si="96"/>
        <v>2010</v>
      </c>
      <c r="F1234" s="5" t="s">
        <v>27</v>
      </c>
      <c r="G1234" s="5" t="s">
        <v>10</v>
      </c>
      <c r="H1234" s="7">
        <v>53335.98</v>
      </c>
      <c r="I1234" s="7">
        <v>60307.22</v>
      </c>
      <c r="J1234" s="7">
        <f t="shared" si="97"/>
        <v>6971.239999999998</v>
      </c>
      <c r="K1234" s="8">
        <f t="shared" si="99"/>
        <v>0.13070426380090883</v>
      </c>
    </row>
    <row r="1235" spans="1:11" x14ac:dyDescent="0.3">
      <c r="A1235" s="5" t="s">
        <v>43</v>
      </c>
      <c r="B1235" s="6">
        <v>40272</v>
      </c>
      <c r="C1235" s="5">
        <f t="shared" si="98"/>
        <v>15</v>
      </c>
      <c r="D1235" s="5">
        <f t="shared" si="95"/>
        <v>4</v>
      </c>
      <c r="E1235" s="5">
        <f t="shared" si="96"/>
        <v>2010</v>
      </c>
      <c r="F1235" s="5" t="s">
        <v>28</v>
      </c>
      <c r="G1235" s="5" t="s">
        <v>10</v>
      </c>
      <c r="H1235" s="7">
        <v>54362.54</v>
      </c>
      <c r="I1235" s="7">
        <v>54785.120000000003</v>
      </c>
      <c r="J1235" s="7">
        <f t="shared" si="97"/>
        <v>422.58000000000175</v>
      </c>
      <c r="K1235" s="8">
        <f t="shared" si="99"/>
        <v>7.7733674695847866E-3</v>
      </c>
    </row>
    <row r="1236" spans="1:11" x14ac:dyDescent="0.3">
      <c r="A1236" s="5" t="s">
        <v>43</v>
      </c>
      <c r="B1236" s="6">
        <v>40272</v>
      </c>
      <c r="C1236" s="5">
        <f t="shared" si="98"/>
        <v>15</v>
      </c>
      <c r="D1236" s="5">
        <f t="shared" si="95"/>
        <v>4</v>
      </c>
      <c r="E1236" s="5">
        <f t="shared" si="96"/>
        <v>2010</v>
      </c>
      <c r="F1236" s="5" t="s">
        <v>29</v>
      </c>
      <c r="G1236" s="5" t="s">
        <v>10</v>
      </c>
      <c r="H1236" s="7">
        <v>630990.5</v>
      </c>
      <c r="I1236" s="7">
        <v>691565.7</v>
      </c>
      <c r="J1236" s="7">
        <f t="shared" si="97"/>
        <v>60575.199999999953</v>
      </c>
      <c r="K1236" s="8">
        <f t="shared" si="99"/>
        <v>9.6000177498710287E-2</v>
      </c>
    </row>
    <row r="1237" spans="1:11" x14ac:dyDescent="0.3">
      <c r="A1237" s="5" t="s">
        <v>43</v>
      </c>
      <c r="B1237" s="6">
        <v>40272</v>
      </c>
      <c r="C1237" s="5">
        <f t="shared" si="98"/>
        <v>15</v>
      </c>
      <c r="D1237" s="5">
        <f t="shared" si="95"/>
        <v>4</v>
      </c>
      <c r="E1237" s="5">
        <f t="shared" si="96"/>
        <v>2010</v>
      </c>
      <c r="F1237" s="5" t="s">
        <v>30</v>
      </c>
      <c r="G1237" s="5" t="s">
        <v>10</v>
      </c>
      <c r="H1237" s="7">
        <v>80450.720000000001</v>
      </c>
      <c r="I1237" s="7">
        <v>90545.71</v>
      </c>
      <c r="J1237" s="7">
        <f t="shared" si="97"/>
        <v>10094.990000000005</v>
      </c>
      <c r="K1237" s="8">
        <f t="shared" si="99"/>
        <v>0.12548041832316734</v>
      </c>
    </row>
    <row r="1238" spans="1:11" x14ac:dyDescent="0.3">
      <c r="A1238" s="5" t="s">
        <v>43</v>
      </c>
      <c r="B1238" s="6">
        <v>40272</v>
      </c>
      <c r="C1238" s="5">
        <f t="shared" si="98"/>
        <v>15</v>
      </c>
      <c r="D1238" s="5">
        <f t="shared" si="95"/>
        <v>4</v>
      </c>
      <c r="E1238" s="5">
        <f t="shared" si="96"/>
        <v>2010</v>
      </c>
      <c r="F1238" s="5" t="s">
        <v>9</v>
      </c>
      <c r="G1238" s="5" t="s">
        <v>9</v>
      </c>
      <c r="H1238" s="7">
        <v>584814.35</v>
      </c>
      <c r="I1238" s="7">
        <v>663300.14</v>
      </c>
      <c r="J1238" s="7">
        <f t="shared" si="97"/>
        <v>78485.790000000037</v>
      </c>
      <c r="K1238" s="8">
        <f t="shared" si="99"/>
        <v>0.13420633402720034</v>
      </c>
    </row>
    <row r="1239" spans="1:11" x14ac:dyDescent="0.3">
      <c r="A1239" s="5" t="s">
        <v>43</v>
      </c>
      <c r="B1239" s="6">
        <v>40272</v>
      </c>
      <c r="C1239" s="5">
        <f t="shared" si="98"/>
        <v>15</v>
      </c>
      <c r="D1239" s="5">
        <f t="shared" si="95"/>
        <v>4</v>
      </c>
      <c r="E1239" s="5">
        <f t="shared" si="96"/>
        <v>2010</v>
      </c>
      <c r="F1239" s="5" t="s">
        <v>31</v>
      </c>
      <c r="G1239" s="5" t="s">
        <v>7</v>
      </c>
      <c r="H1239" s="7">
        <v>3671.16</v>
      </c>
      <c r="I1239" s="7">
        <v>7471.16</v>
      </c>
      <c r="J1239" s="7">
        <f t="shared" si="97"/>
        <v>3800</v>
      </c>
      <c r="K1239" s="8">
        <f t="shared" si="99"/>
        <v>1.0350951742773402</v>
      </c>
    </row>
    <row r="1240" spans="1:11" x14ac:dyDescent="0.3">
      <c r="A1240" s="5" t="s">
        <v>43</v>
      </c>
      <c r="B1240" s="6">
        <v>40272</v>
      </c>
      <c r="C1240" s="5">
        <f t="shared" si="98"/>
        <v>15</v>
      </c>
      <c r="D1240" s="5">
        <f t="shared" si="95"/>
        <v>4</v>
      </c>
      <c r="E1240" s="5">
        <f t="shared" si="96"/>
        <v>2010</v>
      </c>
      <c r="F1240" s="5" t="s">
        <v>33</v>
      </c>
      <c r="G1240" s="5" t="s">
        <v>7</v>
      </c>
      <c r="H1240" s="7">
        <v>190811.46</v>
      </c>
      <c r="I1240" s="7">
        <v>330735.23</v>
      </c>
      <c r="J1240" s="7">
        <f t="shared" si="97"/>
        <v>139923.76999999999</v>
      </c>
      <c r="K1240" s="8">
        <f t="shared" si="99"/>
        <v>0.73330904758026583</v>
      </c>
    </row>
    <row r="1241" spans="1:11" x14ac:dyDescent="0.3">
      <c r="A1241" s="5" t="s">
        <v>43</v>
      </c>
      <c r="B1241" s="6">
        <v>40272</v>
      </c>
      <c r="C1241" s="5">
        <f t="shared" si="98"/>
        <v>15</v>
      </c>
      <c r="D1241" s="5">
        <f t="shared" si="95"/>
        <v>4</v>
      </c>
      <c r="E1241" s="5">
        <f t="shared" si="96"/>
        <v>2010</v>
      </c>
      <c r="F1241" s="5" t="s">
        <v>35</v>
      </c>
      <c r="G1241" s="5" t="s">
        <v>11</v>
      </c>
      <c r="H1241" s="7">
        <v>324.72000000000003</v>
      </c>
      <c r="I1241" s="7">
        <v>422.09</v>
      </c>
      <c r="J1241" s="7">
        <f t="shared" si="97"/>
        <v>97.369999999999948</v>
      </c>
      <c r="K1241" s="8">
        <f t="shared" si="99"/>
        <v>0.29985833949248564</v>
      </c>
    </row>
    <row r="1242" spans="1:11" x14ac:dyDescent="0.3">
      <c r="A1242" s="5" t="s">
        <v>43</v>
      </c>
      <c r="B1242" s="6">
        <v>40272</v>
      </c>
      <c r="C1242" s="5">
        <f t="shared" si="98"/>
        <v>15</v>
      </c>
      <c r="D1242" s="5">
        <f t="shared" si="95"/>
        <v>4</v>
      </c>
      <c r="E1242" s="5">
        <f t="shared" si="96"/>
        <v>2010</v>
      </c>
      <c r="F1242" s="5" t="s">
        <v>36</v>
      </c>
      <c r="G1242" s="5" t="s">
        <v>11</v>
      </c>
      <c r="H1242" s="7">
        <v>225070.37</v>
      </c>
      <c r="I1242" s="7">
        <v>237861.69</v>
      </c>
      <c r="J1242" s="7">
        <f t="shared" si="97"/>
        <v>12791.320000000007</v>
      </c>
      <c r="K1242" s="8">
        <f t="shared" si="99"/>
        <v>5.68325364196096E-2</v>
      </c>
    </row>
    <row r="1243" spans="1:11" x14ac:dyDescent="0.3">
      <c r="A1243" s="5" t="s">
        <v>43</v>
      </c>
      <c r="B1243" s="6">
        <v>40272</v>
      </c>
      <c r="C1243" s="5">
        <f t="shared" si="98"/>
        <v>15</v>
      </c>
      <c r="D1243" s="5">
        <f t="shared" si="95"/>
        <v>4</v>
      </c>
      <c r="E1243" s="5">
        <f t="shared" si="96"/>
        <v>2010</v>
      </c>
      <c r="F1243" s="5" t="s">
        <v>37</v>
      </c>
      <c r="G1243" s="5" t="s">
        <v>11</v>
      </c>
      <c r="H1243" s="7">
        <v>315792.06</v>
      </c>
      <c r="I1243" s="7">
        <v>346742.65</v>
      </c>
      <c r="J1243" s="7">
        <f t="shared" si="97"/>
        <v>30950.590000000026</v>
      </c>
      <c r="K1243" s="8">
        <f t="shared" si="99"/>
        <v>9.8009398969689188E-2</v>
      </c>
    </row>
    <row r="1244" spans="1:11" x14ac:dyDescent="0.3">
      <c r="A1244" s="5" t="s">
        <v>43</v>
      </c>
      <c r="B1244" s="6">
        <v>40272</v>
      </c>
      <c r="C1244" s="5">
        <f t="shared" si="98"/>
        <v>15</v>
      </c>
      <c r="D1244" s="5">
        <f t="shared" si="95"/>
        <v>4</v>
      </c>
      <c r="E1244" s="5">
        <f t="shared" si="96"/>
        <v>2010</v>
      </c>
      <c r="F1244" s="5" t="s">
        <v>38</v>
      </c>
      <c r="G1244" s="5" t="s">
        <v>11</v>
      </c>
      <c r="H1244" s="7">
        <v>419762.67</v>
      </c>
      <c r="I1244" s="7">
        <v>416310.64</v>
      </c>
      <c r="J1244" s="7">
        <f t="shared" si="97"/>
        <v>-3452.0299999999697</v>
      </c>
      <c r="K1244" s="8">
        <f t="shared" si="99"/>
        <v>-8.2237660628563507E-3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K1018"/>
  <sheetViews>
    <sheetView workbookViewId="0"/>
  </sheetViews>
  <sheetFormatPr defaultRowHeight="14.4" x14ac:dyDescent="0.3"/>
  <cols>
    <col min="1" max="1" width="9.6640625" bestFit="1" customWidth="1"/>
    <col min="2" max="2" width="10.109375" bestFit="1" customWidth="1"/>
    <col min="3" max="3" width="8.33203125" bestFit="1" customWidth="1"/>
    <col min="4" max="4" width="7.5546875" bestFit="1" customWidth="1"/>
    <col min="5" max="5" width="5" bestFit="1" customWidth="1"/>
    <col min="6" max="6" width="40.6640625" bestFit="1" customWidth="1"/>
    <col min="7" max="7" width="28" bestFit="1" customWidth="1"/>
    <col min="8" max="10" width="11.6640625" bestFit="1" customWidth="1"/>
    <col min="11" max="11" width="9.5546875" bestFit="1" customWidth="1"/>
  </cols>
  <sheetData>
    <row r="1" spans="1:11" ht="16.2" thickBot="1" x14ac:dyDescent="0.35">
      <c r="A1" s="1" t="s">
        <v>0</v>
      </c>
      <c r="B1" s="2" t="s">
        <v>4</v>
      </c>
      <c r="C1" s="1" t="s">
        <v>3</v>
      </c>
      <c r="D1" s="1" t="s">
        <v>2</v>
      </c>
      <c r="E1" s="1" t="s">
        <v>1</v>
      </c>
      <c r="F1" s="1" t="s">
        <v>12</v>
      </c>
      <c r="G1" s="1" t="s">
        <v>13</v>
      </c>
      <c r="H1" s="3" t="s">
        <v>39</v>
      </c>
      <c r="I1" s="3" t="s">
        <v>40</v>
      </c>
      <c r="J1" s="3" t="s">
        <v>41</v>
      </c>
      <c r="K1" s="4" t="s">
        <v>42</v>
      </c>
    </row>
    <row r="2" spans="1:11" x14ac:dyDescent="0.3">
      <c r="A2" s="5" t="s">
        <v>44</v>
      </c>
      <c r="B2" s="6">
        <v>40224</v>
      </c>
      <c r="C2" s="5">
        <v>8</v>
      </c>
      <c r="D2" s="5">
        <v>2</v>
      </c>
      <c r="E2" s="5">
        <v>2010</v>
      </c>
      <c r="F2" s="5" t="s">
        <v>14</v>
      </c>
      <c r="G2" s="5" t="s">
        <v>6</v>
      </c>
      <c r="H2" s="7">
        <v>2213</v>
      </c>
      <c r="I2" s="7">
        <v>2607.13</v>
      </c>
      <c r="J2" s="7">
        <v>394.13000000000011</v>
      </c>
      <c r="K2" s="8">
        <v>0.17809760506100322</v>
      </c>
    </row>
    <row r="3" spans="1:11" x14ac:dyDescent="0.3">
      <c r="A3" s="5" t="s">
        <v>44</v>
      </c>
      <c r="B3" s="6">
        <v>40224</v>
      </c>
      <c r="C3" s="5">
        <v>8</v>
      </c>
      <c r="D3" s="5">
        <v>2</v>
      </c>
      <c r="E3" s="5">
        <v>2010</v>
      </c>
      <c r="F3" s="5" t="s">
        <v>15</v>
      </c>
      <c r="G3" s="5" t="s">
        <v>6</v>
      </c>
      <c r="H3" s="7">
        <v>51615.08</v>
      </c>
      <c r="I3" s="7">
        <v>56904.639999999999</v>
      </c>
      <c r="J3" s="7">
        <v>5289.5599999999977</v>
      </c>
      <c r="K3" s="8">
        <v>0.1024809028679215</v>
      </c>
    </row>
    <row r="4" spans="1:11" x14ac:dyDescent="0.3">
      <c r="A4" s="5" t="s">
        <v>44</v>
      </c>
      <c r="B4" s="6">
        <v>40224</v>
      </c>
      <c r="C4" s="5">
        <v>8</v>
      </c>
      <c r="D4" s="5">
        <v>2</v>
      </c>
      <c r="E4" s="5">
        <v>2010</v>
      </c>
      <c r="F4" s="5" t="s">
        <v>16</v>
      </c>
      <c r="G4" s="5" t="s">
        <v>6</v>
      </c>
      <c r="H4" s="7">
        <v>37470.239999999998</v>
      </c>
      <c r="I4" s="7">
        <v>39765.35</v>
      </c>
      <c r="J4" s="7">
        <v>2295.1100000000006</v>
      </c>
      <c r="K4" s="8">
        <v>6.1251542557506991E-2</v>
      </c>
    </row>
    <row r="5" spans="1:11" x14ac:dyDescent="0.3">
      <c r="A5" s="5" t="s">
        <v>44</v>
      </c>
      <c r="B5" s="6">
        <v>40224</v>
      </c>
      <c r="C5" s="5">
        <v>8</v>
      </c>
      <c r="D5" s="5">
        <v>2</v>
      </c>
      <c r="E5" s="5">
        <v>2010</v>
      </c>
      <c r="F5" s="5" t="s">
        <v>17</v>
      </c>
      <c r="G5" s="5" t="s">
        <v>6</v>
      </c>
      <c r="H5" s="7">
        <v>1286</v>
      </c>
      <c r="I5" s="7">
        <v>1307.32</v>
      </c>
      <c r="J5" s="7">
        <v>21.319999999999936</v>
      </c>
      <c r="K5" s="8">
        <v>1.6578538102643807E-2</v>
      </c>
    </row>
    <row r="6" spans="1:11" x14ac:dyDescent="0.3">
      <c r="A6" s="5" t="s">
        <v>44</v>
      </c>
      <c r="B6" s="6">
        <v>40224</v>
      </c>
      <c r="C6" s="5">
        <v>8</v>
      </c>
      <c r="D6" s="5">
        <v>2</v>
      </c>
      <c r="E6" s="5">
        <v>2010</v>
      </c>
      <c r="F6" s="5" t="s">
        <v>18</v>
      </c>
      <c r="G6" s="5" t="s">
        <v>6</v>
      </c>
      <c r="H6" s="7">
        <v>6477.89</v>
      </c>
      <c r="I6" s="7">
        <v>6941.22</v>
      </c>
      <c r="J6" s="7">
        <v>463.32999999999993</v>
      </c>
      <c r="K6" s="8">
        <v>7.1524832931710774E-2</v>
      </c>
    </row>
    <row r="7" spans="1:11" x14ac:dyDescent="0.3">
      <c r="A7" s="5" t="s">
        <v>44</v>
      </c>
      <c r="B7" s="6">
        <v>40224</v>
      </c>
      <c r="C7" s="5">
        <v>8</v>
      </c>
      <c r="D7" s="5">
        <v>2</v>
      </c>
      <c r="E7" s="5">
        <v>2010</v>
      </c>
      <c r="F7" s="5" t="s">
        <v>19</v>
      </c>
      <c r="G7" s="5" t="s">
        <v>5</v>
      </c>
      <c r="H7" s="7">
        <v>113014.8</v>
      </c>
      <c r="I7" s="7">
        <v>114811.15</v>
      </c>
      <c r="J7" s="7">
        <v>1796.3499999999913</v>
      </c>
      <c r="K7" s="8">
        <v>1.5894820855321526E-2</v>
      </c>
    </row>
    <row r="8" spans="1:11" x14ac:dyDescent="0.3">
      <c r="A8" s="5" t="s">
        <v>44</v>
      </c>
      <c r="B8" s="6">
        <v>40224</v>
      </c>
      <c r="C8" s="5">
        <v>8</v>
      </c>
      <c r="D8" s="5">
        <v>2</v>
      </c>
      <c r="E8" s="5">
        <v>2010</v>
      </c>
      <c r="F8" s="5" t="s">
        <v>5</v>
      </c>
      <c r="G8" s="5" t="s">
        <v>5</v>
      </c>
      <c r="H8" s="7">
        <v>407615.55</v>
      </c>
      <c r="I8" s="7">
        <v>410088.29</v>
      </c>
      <c r="J8" s="7">
        <v>2472.7399999999907</v>
      </c>
      <c r="K8" s="8">
        <v>6.0663534548669471E-3</v>
      </c>
    </row>
    <row r="9" spans="1:11" x14ac:dyDescent="0.3">
      <c r="A9" s="5" t="s">
        <v>44</v>
      </c>
      <c r="B9" s="6">
        <v>40224</v>
      </c>
      <c r="C9" s="5">
        <v>8</v>
      </c>
      <c r="D9" s="5">
        <v>2</v>
      </c>
      <c r="E9" s="5">
        <v>2010</v>
      </c>
      <c r="F9" s="5" t="s">
        <v>20</v>
      </c>
      <c r="G9" s="5" t="s">
        <v>5</v>
      </c>
      <c r="H9" s="7">
        <v>28027</v>
      </c>
      <c r="I9" s="7">
        <v>28545.38</v>
      </c>
      <c r="J9" s="7">
        <v>518.38000000000102</v>
      </c>
      <c r="K9" s="8">
        <v>1.8495736254326222E-2</v>
      </c>
    </row>
    <row r="10" spans="1:11" x14ac:dyDescent="0.3">
      <c r="A10" s="5" t="s">
        <v>44</v>
      </c>
      <c r="B10" s="6">
        <v>40224</v>
      </c>
      <c r="C10" s="5">
        <v>8</v>
      </c>
      <c r="D10" s="5">
        <v>2</v>
      </c>
      <c r="E10" s="5">
        <v>2010</v>
      </c>
      <c r="F10" s="5" t="s">
        <v>21</v>
      </c>
      <c r="G10" s="5" t="s">
        <v>5</v>
      </c>
      <c r="H10" s="7">
        <v>72917.289999999994</v>
      </c>
      <c r="I10" s="7">
        <v>73556.87</v>
      </c>
      <c r="J10" s="7">
        <v>639.58000000000175</v>
      </c>
      <c r="K10" s="8">
        <v>8.7713078749909901E-3</v>
      </c>
    </row>
    <row r="11" spans="1:11" x14ac:dyDescent="0.3">
      <c r="A11" s="5" t="s">
        <v>44</v>
      </c>
      <c r="B11" s="6">
        <v>40224</v>
      </c>
      <c r="C11" s="5">
        <v>8</v>
      </c>
      <c r="D11" s="5">
        <v>2</v>
      </c>
      <c r="E11" s="5">
        <v>2010</v>
      </c>
      <c r="F11" s="5" t="s">
        <v>22</v>
      </c>
      <c r="G11" s="5" t="s">
        <v>8</v>
      </c>
      <c r="H11" s="7">
        <v>108895.48</v>
      </c>
      <c r="I11" s="7">
        <v>112081.52</v>
      </c>
      <c r="J11" s="7">
        <v>3186.0400000000081</v>
      </c>
      <c r="K11" s="8">
        <v>2.9257780029070153E-2</v>
      </c>
    </row>
    <row r="12" spans="1:11" x14ac:dyDescent="0.3">
      <c r="A12" s="5" t="s">
        <v>44</v>
      </c>
      <c r="B12" s="6">
        <v>40224</v>
      </c>
      <c r="C12" s="5">
        <v>8</v>
      </c>
      <c r="D12" s="5">
        <v>2</v>
      </c>
      <c r="E12" s="5">
        <v>2010</v>
      </c>
      <c r="F12" s="5" t="s">
        <v>23</v>
      </c>
      <c r="G12" s="5" t="s">
        <v>8</v>
      </c>
      <c r="H12" s="7">
        <v>50113.52</v>
      </c>
      <c r="I12" s="7">
        <v>50964.17</v>
      </c>
      <c r="J12" s="7">
        <v>850.65000000000146</v>
      </c>
      <c r="K12" s="8">
        <v>1.69744611833294E-2</v>
      </c>
    </row>
    <row r="13" spans="1:11" x14ac:dyDescent="0.3">
      <c r="A13" s="5" t="s">
        <v>44</v>
      </c>
      <c r="B13" s="6">
        <v>40224</v>
      </c>
      <c r="C13" s="5">
        <v>8</v>
      </c>
      <c r="D13" s="5">
        <v>2</v>
      </c>
      <c r="E13" s="5">
        <v>2010</v>
      </c>
      <c r="F13" s="5" t="s">
        <v>24</v>
      </c>
      <c r="G13" s="5" t="s">
        <v>8</v>
      </c>
      <c r="H13" s="7">
        <v>42579</v>
      </c>
      <c r="I13" s="7">
        <v>43163.839999999997</v>
      </c>
      <c r="J13" s="7">
        <v>584.83999999999651</v>
      </c>
      <c r="K13" s="8">
        <v>1.3735409474153843E-2</v>
      </c>
    </row>
    <row r="14" spans="1:11" x14ac:dyDescent="0.3">
      <c r="A14" s="5" t="s">
        <v>44</v>
      </c>
      <c r="B14" s="6">
        <v>40224</v>
      </c>
      <c r="C14" s="5">
        <v>8</v>
      </c>
      <c r="D14" s="5">
        <v>2</v>
      </c>
      <c r="E14" s="5">
        <v>2010</v>
      </c>
      <c r="F14" s="5" t="s">
        <v>25</v>
      </c>
      <c r="G14" s="5" t="s">
        <v>8</v>
      </c>
      <c r="H14" s="7">
        <v>1552</v>
      </c>
      <c r="I14" s="7">
        <v>1587.78</v>
      </c>
      <c r="J14" s="7">
        <v>35.779999999999973</v>
      </c>
      <c r="K14" s="8">
        <v>2.3054123711340187E-2</v>
      </c>
    </row>
    <row r="15" spans="1:11" x14ac:dyDescent="0.3">
      <c r="A15" s="5" t="s">
        <v>44</v>
      </c>
      <c r="B15" s="6">
        <v>40224</v>
      </c>
      <c r="C15" s="5">
        <v>8</v>
      </c>
      <c r="D15" s="5">
        <v>2</v>
      </c>
      <c r="E15" s="5">
        <v>2010</v>
      </c>
      <c r="F15" s="5" t="s">
        <v>27</v>
      </c>
      <c r="G15" s="5" t="s">
        <v>10</v>
      </c>
      <c r="H15" s="7">
        <v>29689.279999999999</v>
      </c>
      <c r="I15" s="7">
        <v>34096.870000000003</v>
      </c>
      <c r="J15" s="7">
        <v>4407.5900000000038</v>
      </c>
      <c r="K15" s="8">
        <v>0.1484572882872203</v>
      </c>
    </row>
    <row r="16" spans="1:11" x14ac:dyDescent="0.3">
      <c r="A16" s="5" t="s">
        <v>44</v>
      </c>
      <c r="B16" s="6">
        <v>40224</v>
      </c>
      <c r="C16" s="5">
        <v>8</v>
      </c>
      <c r="D16" s="5">
        <v>2</v>
      </c>
      <c r="E16" s="5">
        <v>2010</v>
      </c>
      <c r="F16" s="5" t="s">
        <v>29</v>
      </c>
      <c r="G16" s="5" t="s">
        <v>10</v>
      </c>
      <c r="H16" s="7">
        <v>68993</v>
      </c>
      <c r="I16" s="7">
        <v>71760.91</v>
      </c>
      <c r="J16" s="7">
        <v>2767.9100000000035</v>
      </c>
      <c r="K16" s="8">
        <v>4.0118707694983602E-2</v>
      </c>
    </row>
    <row r="17" spans="1:11" x14ac:dyDescent="0.3">
      <c r="A17" s="5" t="s">
        <v>44</v>
      </c>
      <c r="B17" s="6">
        <v>40224</v>
      </c>
      <c r="C17" s="5">
        <v>8</v>
      </c>
      <c r="D17" s="5">
        <v>2</v>
      </c>
      <c r="E17" s="5">
        <v>2010</v>
      </c>
      <c r="F17" s="5" t="s">
        <v>30</v>
      </c>
      <c r="G17" s="5" t="s">
        <v>10</v>
      </c>
      <c r="H17" s="7">
        <v>11895.48</v>
      </c>
      <c r="I17" s="7">
        <v>13426.12</v>
      </c>
      <c r="J17" s="7">
        <v>1530.6400000000012</v>
      </c>
      <c r="K17" s="8">
        <v>0.12867408461028906</v>
      </c>
    </row>
    <row r="18" spans="1:11" x14ac:dyDescent="0.3">
      <c r="A18" s="5" t="s">
        <v>44</v>
      </c>
      <c r="B18" s="6">
        <v>40224</v>
      </c>
      <c r="C18" s="5">
        <v>8</v>
      </c>
      <c r="D18" s="5">
        <v>2</v>
      </c>
      <c r="E18" s="5">
        <v>2010</v>
      </c>
      <c r="F18" s="5" t="s">
        <v>9</v>
      </c>
      <c r="G18" s="5" t="s">
        <v>9</v>
      </c>
      <c r="H18" s="7">
        <v>81985.48</v>
      </c>
      <c r="I18" s="7">
        <v>96287.06</v>
      </c>
      <c r="J18" s="7">
        <v>14301.580000000002</v>
      </c>
      <c r="K18" s="8">
        <v>0.17444040091001484</v>
      </c>
    </row>
    <row r="19" spans="1:11" x14ac:dyDescent="0.3">
      <c r="A19" s="5" t="s">
        <v>44</v>
      </c>
      <c r="B19" s="6">
        <v>40224</v>
      </c>
      <c r="C19" s="5">
        <v>8</v>
      </c>
      <c r="D19" s="5">
        <v>2</v>
      </c>
      <c r="E19" s="5">
        <v>2010</v>
      </c>
      <c r="F19" s="5" t="s">
        <v>33</v>
      </c>
      <c r="G19" s="5" t="s">
        <v>7</v>
      </c>
      <c r="H19" s="7">
        <v>5867</v>
      </c>
      <c r="I19" s="7">
        <v>10291.700000000001</v>
      </c>
      <c r="J19" s="7">
        <v>4424.7000000000007</v>
      </c>
      <c r="K19" s="8">
        <v>0.75416737685358803</v>
      </c>
    </row>
    <row r="20" spans="1:11" x14ac:dyDescent="0.3">
      <c r="A20" s="5" t="s">
        <v>44</v>
      </c>
      <c r="B20" s="6">
        <v>40224</v>
      </c>
      <c r="C20" s="5">
        <v>8</v>
      </c>
      <c r="D20" s="5">
        <v>2</v>
      </c>
      <c r="E20" s="5">
        <v>2010</v>
      </c>
      <c r="F20" s="5" t="s">
        <v>35</v>
      </c>
      <c r="G20" s="5" t="s">
        <v>11</v>
      </c>
      <c r="H20" s="7">
        <v>3897</v>
      </c>
      <c r="I20" s="7">
        <v>4082.96</v>
      </c>
      <c r="J20" s="7">
        <v>185.96000000000004</v>
      </c>
      <c r="K20" s="8">
        <v>4.7718758018988977E-2</v>
      </c>
    </row>
    <row r="21" spans="1:11" x14ac:dyDescent="0.3">
      <c r="A21" s="5" t="s">
        <v>44</v>
      </c>
      <c r="B21" s="6">
        <v>40224</v>
      </c>
      <c r="C21" s="5">
        <v>8</v>
      </c>
      <c r="D21" s="5">
        <v>2</v>
      </c>
      <c r="E21" s="5">
        <v>2010</v>
      </c>
      <c r="F21" s="5" t="s">
        <v>36</v>
      </c>
      <c r="G21" s="5" t="s">
        <v>11</v>
      </c>
      <c r="H21" s="7">
        <v>30663.77</v>
      </c>
      <c r="I21" s="7">
        <v>31933.91</v>
      </c>
      <c r="J21" s="7">
        <v>1270.1399999999994</v>
      </c>
      <c r="K21" s="8">
        <v>4.1421521228472542E-2</v>
      </c>
    </row>
    <row r="22" spans="1:11" x14ac:dyDescent="0.3">
      <c r="A22" s="5" t="s">
        <v>44</v>
      </c>
      <c r="B22" s="6">
        <v>40224</v>
      </c>
      <c r="C22" s="5">
        <v>8</v>
      </c>
      <c r="D22" s="5">
        <v>2</v>
      </c>
      <c r="E22" s="5">
        <v>2010</v>
      </c>
      <c r="F22" s="5" t="s">
        <v>37</v>
      </c>
      <c r="G22" s="5" t="s">
        <v>11</v>
      </c>
      <c r="H22" s="7">
        <v>65629.960000000006</v>
      </c>
      <c r="I22" s="7">
        <v>62320.4</v>
      </c>
      <c r="J22" s="7">
        <v>-3309.5600000000049</v>
      </c>
      <c r="K22" s="8">
        <v>-5.0427579111735017E-2</v>
      </c>
    </row>
    <row r="23" spans="1:11" x14ac:dyDescent="0.3">
      <c r="A23" s="5" t="s">
        <v>44</v>
      </c>
      <c r="B23" s="6">
        <v>40224</v>
      </c>
      <c r="C23" s="5">
        <v>8</v>
      </c>
      <c r="D23" s="5">
        <v>2</v>
      </c>
      <c r="E23" s="5">
        <v>2010</v>
      </c>
      <c r="F23" s="5" t="s">
        <v>38</v>
      </c>
      <c r="G23" s="5" t="s">
        <v>11</v>
      </c>
      <c r="H23" s="7">
        <v>59388.79</v>
      </c>
      <c r="I23" s="7">
        <v>60611.68</v>
      </c>
      <c r="J23" s="7">
        <v>1222.8899999999994</v>
      </c>
      <c r="K23" s="8">
        <v>2.0591259731003096E-2</v>
      </c>
    </row>
    <row r="24" spans="1:11" x14ac:dyDescent="0.3">
      <c r="A24" s="5" t="s">
        <v>44</v>
      </c>
      <c r="B24" s="6">
        <v>40225</v>
      </c>
      <c r="C24" s="5">
        <v>8</v>
      </c>
      <c r="D24" s="5">
        <v>2</v>
      </c>
      <c r="E24" s="5">
        <v>2010</v>
      </c>
      <c r="F24" s="5" t="s">
        <v>14</v>
      </c>
      <c r="G24" s="5" t="s">
        <v>6</v>
      </c>
      <c r="H24" s="7">
        <v>4074</v>
      </c>
      <c r="I24" s="7">
        <v>4760.95</v>
      </c>
      <c r="J24" s="7">
        <v>686.94999999999982</v>
      </c>
      <c r="K24" s="8">
        <v>0.16861806578301419</v>
      </c>
    </row>
    <row r="25" spans="1:11" x14ac:dyDescent="0.3">
      <c r="A25" s="5" t="s">
        <v>44</v>
      </c>
      <c r="B25" s="6">
        <v>40225</v>
      </c>
      <c r="C25" s="5">
        <v>8</v>
      </c>
      <c r="D25" s="5">
        <v>2</v>
      </c>
      <c r="E25" s="5">
        <v>2010</v>
      </c>
      <c r="F25" s="5" t="s">
        <v>15</v>
      </c>
      <c r="G25" s="5" t="s">
        <v>6</v>
      </c>
      <c r="H25" s="7">
        <v>57278.98</v>
      </c>
      <c r="I25" s="7">
        <v>63986.92</v>
      </c>
      <c r="J25" s="7">
        <v>6707.9399999999951</v>
      </c>
      <c r="K25" s="8">
        <v>0.11710997646955296</v>
      </c>
    </row>
    <row r="26" spans="1:11" x14ac:dyDescent="0.3">
      <c r="A26" s="5" t="s">
        <v>44</v>
      </c>
      <c r="B26" s="6">
        <v>40225</v>
      </c>
      <c r="C26" s="5">
        <v>8</v>
      </c>
      <c r="D26" s="5">
        <v>2</v>
      </c>
      <c r="E26" s="5">
        <v>2010</v>
      </c>
      <c r="F26" s="5" t="s">
        <v>16</v>
      </c>
      <c r="G26" s="5" t="s">
        <v>6</v>
      </c>
      <c r="H26" s="7">
        <v>29400.75</v>
      </c>
      <c r="I26" s="7">
        <v>31656.63</v>
      </c>
      <c r="J26" s="7">
        <v>2255.880000000001</v>
      </c>
      <c r="K26" s="8">
        <v>7.6728654881253064E-2</v>
      </c>
    </row>
    <row r="27" spans="1:11" x14ac:dyDescent="0.3">
      <c r="A27" s="5" t="s">
        <v>44</v>
      </c>
      <c r="B27" s="6">
        <v>40225</v>
      </c>
      <c r="C27" s="5">
        <v>8</v>
      </c>
      <c r="D27" s="5">
        <v>2</v>
      </c>
      <c r="E27" s="5">
        <v>2010</v>
      </c>
      <c r="F27" s="5" t="s">
        <v>17</v>
      </c>
      <c r="G27" s="5" t="s">
        <v>6</v>
      </c>
      <c r="H27" s="7">
        <v>768</v>
      </c>
      <c r="I27" s="7">
        <v>776.1</v>
      </c>
      <c r="J27" s="7">
        <v>8.1000000000000227</v>
      </c>
      <c r="K27" s="8">
        <v>1.054687500000003E-2</v>
      </c>
    </row>
    <row r="28" spans="1:11" x14ac:dyDescent="0.3">
      <c r="A28" s="5" t="s">
        <v>44</v>
      </c>
      <c r="B28" s="6">
        <v>40225</v>
      </c>
      <c r="C28" s="5">
        <v>8</v>
      </c>
      <c r="D28" s="5">
        <v>2</v>
      </c>
      <c r="E28" s="5">
        <v>2010</v>
      </c>
      <c r="F28" s="5" t="s">
        <v>18</v>
      </c>
      <c r="G28" s="5" t="s">
        <v>6</v>
      </c>
      <c r="H28" s="7">
        <v>3553.62</v>
      </c>
      <c r="I28" s="7">
        <v>3803.16</v>
      </c>
      <c r="J28" s="7">
        <v>249.53999999999996</v>
      </c>
      <c r="K28" s="8">
        <v>7.0221351748358002E-2</v>
      </c>
    </row>
    <row r="29" spans="1:11" x14ac:dyDescent="0.3">
      <c r="A29" s="5" t="s">
        <v>44</v>
      </c>
      <c r="B29" s="6">
        <v>40225</v>
      </c>
      <c r="C29" s="5">
        <v>8</v>
      </c>
      <c r="D29" s="5">
        <v>2</v>
      </c>
      <c r="E29" s="5">
        <v>2010</v>
      </c>
      <c r="F29" s="5" t="s">
        <v>19</v>
      </c>
      <c r="G29" s="5" t="s">
        <v>5</v>
      </c>
      <c r="H29" s="7">
        <v>126993.67</v>
      </c>
      <c r="I29" s="7">
        <v>128569.15</v>
      </c>
      <c r="J29" s="7">
        <v>1575.4799999999959</v>
      </c>
      <c r="K29" s="8">
        <v>1.2405972675645928E-2</v>
      </c>
    </row>
    <row r="30" spans="1:11" x14ac:dyDescent="0.3">
      <c r="A30" s="5" t="s">
        <v>44</v>
      </c>
      <c r="B30" s="6">
        <v>40225</v>
      </c>
      <c r="C30" s="5">
        <v>8</v>
      </c>
      <c r="D30" s="5">
        <v>2</v>
      </c>
      <c r="E30" s="5">
        <v>2010</v>
      </c>
      <c r="F30" s="5" t="s">
        <v>5</v>
      </c>
      <c r="G30" s="5" t="s">
        <v>5</v>
      </c>
      <c r="H30" s="7">
        <v>217498.94</v>
      </c>
      <c r="I30" s="7">
        <v>206503.27</v>
      </c>
      <c r="J30" s="7">
        <v>-10995.670000000013</v>
      </c>
      <c r="K30" s="8">
        <v>-5.0555050980938175E-2</v>
      </c>
    </row>
    <row r="31" spans="1:11" x14ac:dyDescent="0.3">
      <c r="A31" s="5" t="s">
        <v>44</v>
      </c>
      <c r="B31" s="6">
        <v>40225</v>
      </c>
      <c r="C31" s="5">
        <v>8</v>
      </c>
      <c r="D31" s="5">
        <v>2</v>
      </c>
      <c r="E31" s="5">
        <v>2010</v>
      </c>
      <c r="F31" s="5" t="s">
        <v>20</v>
      </c>
      <c r="G31" s="5" t="s">
        <v>5</v>
      </c>
      <c r="H31" s="7">
        <v>40741</v>
      </c>
      <c r="I31" s="7">
        <v>40621.800000000003</v>
      </c>
      <c r="J31" s="7">
        <v>-119.19999999999709</v>
      </c>
      <c r="K31" s="8">
        <v>-2.9257995630936179E-3</v>
      </c>
    </row>
    <row r="32" spans="1:11" x14ac:dyDescent="0.3">
      <c r="A32" s="5" t="s">
        <v>44</v>
      </c>
      <c r="B32" s="6">
        <v>40225</v>
      </c>
      <c r="C32" s="5">
        <v>8</v>
      </c>
      <c r="D32" s="5">
        <v>2</v>
      </c>
      <c r="E32" s="5">
        <v>2010</v>
      </c>
      <c r="F32" s="5" t="s">
        <v>21</v>
      </c>
      <c r="G32" s="5" t="s">
        <v>5</v>
      </c>
      <c r="H32" s="7">
        <v>72940.91</v>
      </c>
      <c r="I32" s="7">
        <v>73303.72</v>
      </c>
      <c r="J32" s="7">
        <v>362.80999999999767</v>
      </c>
      <c r="K32" s="8">
        <v>4.9740262357571034E-3</v>
      </c>
    </row>
    <row r="33" spans="1:11" x14ac:dyDescent="0.3">
      <c r="A33" s="5" t="s">
        <v>44</v>
      </c>
      <c r="B33" s="6">
        <v>40225</v>
      </c>
      <c r="C33" s="5">
        <v>8</v>
      </c>
      <c r="D33" s="5">
        <v>2</v>
      </c>
      <c r="E33" s="5">
        <v>2010</v>
      </c>
      <c r="F33" s="5" t="s">
        <v>22</v>
      </c>
      <c r="G33" s="5" t="s">
        <v>8</v>
      </c>
      <c r="H33" s="7">
        <v>125633.47</v>
      </c>
      <c r="I33" s="7">
        <v>128827.74</v>
      </c>
      <c r="J33" s="7">
        <v>3194.2700000000041</v>
      </c>
      <c r="K33" s="8">
        <v>2.5425310627812829E-2</v>
      </c>
    </row>
    <row r="34" spans="1:11" x14ac:dyDescent="0.3">
      <c r="A34" s="5" t="s">
        <v>44</v>
      </c>
      <c r="B34" s="6">
        <v>40225</v>
      </c>
      <c r="C34" s="5">
        <v>8</v>
      </c>
      <c r="D34" s="5">
        <v>2</v>
      </c>
      <c r="E34" s="5">
        <v>2010</v>
      </c>
      <c r="F34" s="5" t="s">
        <v>23</v>
      </c>
      <c r="G34" s="5" t="s">
        <v>8</v>
      </c>
      <c r="H34" s="7">
        <v>55624.800000000003</v>
      </c>
      <c r="I34" s="7">
        <v>56502.19</v>
      </c>
      <c r="J34" s="7">
        <v>877.38999999999942</v>
      </c>
      <c r="K34" s="8">
        <v>1.5773360083991304E-2</v>
      </c>
    </row>
    <row r="35" spans="1:11" x14ac:dyDescent="0.3">
      <c r="A35" s="5" t="s">
        <v>44</v>
      </c>
      <c r="B35" s="6">
        <v>40225</v>
      </c>
      <c r="C35" s="5">
        <v>8</v>
      </c>
      <c r="D35" s="5">
        <v>2</v>
      </c>
      <c r="E35" s="5">
        <v>2010</v>
      </c>
      <c r="F35" s="5" t="s">
        <v>24</v>
      </c>
      <c r="G35" s="5" t="s">
        <v>8</v>
      </c>
      <c r="H35" s="7">
        <v>42441</v>
      </c>
      <c r="I35" s="7">
        <v>42933.08</v>
      </c>
      <c r="J35" s="7">
        <v>492.08000000000175</v>
      </c>
      <c r="K35" s="8">
        <v>1.1594448764166767E-2</v>
      </c>
    </row>
    <row r="36" spans="1:11" x14ac:dyDescent="0.3">
      <c r="A36" s="5" t="s">
        <v>44</v>
      </c>
      <c r="B36" s="6">
        <v>40225</v>
      </c>
      <c r="C36" s="5">
        <v>8</v>
      </c>
      <c r="D36" s="5">
        <v>2</v>
      </c>
      <c r="E36" s="5">
        <v>2010</v>
      </c>
      <c r="F36" s="5" t="s">
        <v>25</v>
      </c>
      <c r="G36" s="5" t="s">
        <v>8</v>
      </c>
      <c r="H36" s="7">
        <v>1104</v>
      </c>
      <c r="I36" s="7">
        <v>1133.8399999999999</v>
      </c>
      <c r="J36" s="7">
        <v>29.839999999999918</v>
      </c>
      <c r="K36" s="8">
        <v>2.7028985507246302E-2</v>
      </c>
    </row>
    <row r="37" spans="1:11" x14ac:dyDescent="0.3">
      <c r="A37" s="5" t="s">
        <v>44</v>
      </c>
      <c r="B37" s="6">
        <v>40225</v>
      </c>
      <c r="C37" s="5">
        <v>8</v>
      </c>
      <c r="D37" s="5">
        <v>2</v>
      </c>
      <c r="E37" s="5">
        <v>2010</v>
      </c>
      <c r="F37" s="5" t="s">
        <v>27</v>
      </c>
      <c r="G37" s="5" t="s">
        <v>10</v>
      </c>
      <c r="H37" s="7">
        <v>19153.009999999998</v>
      </c>
      <c r="I37" s="7">
        <v>22002.68</v>
      </c>
      <c r="J37" s="7">
        <v>2849.6700000000019</v>
      </c>
      <c r="K37" s="8">
        <v>0.14878444693549484</v>
      </c>
    </row>
    <row r="38" spans="1:11" x14ac:dyDescent="0.3">
      <c r="A38" s="5" t="s">
        <v>44</v>
      </c>
      <c r="B38" s="6">
        <v>40225</v>
      </c>
      <c r="C38" s="5">
        <v>8</v>
      </c>
      <c r="D38" s="5">
        <v>2</v>
      </c>
      <c r="E38" s="5">
        <v>2010</v>
      </c>
      <c r="F38" s="5" t="s">
        <v>29</v>
      </c>
      <c r="G38" s="5" t="s">
        <v>10</v>
      </c>
      <c r="H38" s="7">
        <v>77657</v>
      </c>
      <c r="I38" s="7">
        <v>81235.039999999994</v>
      </c>
      <c r="J38" s="7">
        <v>3578.0399999999936</v>
      </c>
      <c r="K38" s="8">
        <v>4.6074919195951344E-2</v>
      </c>
    </row>
    <row r="39" spans="1:11" x14ac:dyDescent="0.3">
      <c r="A39" s="5" t="s">
        <v>44</v>
      </c>
      <c r="B39" s="6">
        <v>40225</v>
      </c>
      <c r="C39" s="5">
        <v>8</v>
      </c>
      <c r="D39" s="5">
        <v>2</v>
      </c>
      <c r="E39" s="5">
        <v>2010</v>
      </c>
      <c r="F39" s="5" t="s">
        <v>30</v>
      </c>
      <c r="G39" s="5" t="s">
        <v>10</v>
      </c>
      <c r="H39" s="7">
        <v>7758.88</v>
      </c>
      <c r="I39" s="7">
        <v>8752.2999999999993</v>
      </c>
      <c r="J39" s="7">
        <v>993.41999999999916</v>
      </c>
      <c r="K39" s="8">
        <v>0.12803652073495134</v>
      </c>
    </row>
    <row r="40" spans="1:11" x14ac:dyDescent="0.3">
      <c r="A40" s="5" t="s">
        <v>44</v>
      </c>
      <c r="B40" s="6">
        <v>40225</v>
      </c>
      <c r="C40" s="5">
        <v>8</v>
      </c>
      <c r="D40" s="5">
        <v>2</v>
      </c>
      <c r="E40" s="5">
        <v>2010</v>
      </c>
      <c r="F40" s="5" t="s">
        <v>9</v>
      </c>
      <c r="G40" s="5" t="s">
        <v>9</v>
      </c>
      <c r="H40" s="7">
        <v>99125.46</v>
      </c>
      <c r="I40" s="7">
        <v>113335.24</v>
      </c>
      <c r="J40" s="7">
        <v>14209.779999999999</v>
      </c>
      <c r="K40" s="8">
        <v>0.14335146590996903</v>
      </c>
    </row>
    <row r="41" spans="1:11" x14ac:dyDescent="0.3">
      <c r="A41" s="5" t="s">
        <v>44</v>
      </c>
      <c r="B41" s="6">
        <v>40225</v>
      </c>
      <c r="C41" s="5">
        <v>8</v>
      </c>
      <c r="D41" s="5">
        <v>2</v>
      </c>
      <c r="E41" s="5">
        <v>2010</v>
      </c>
      <c r="F41" s="5" t="s">
        <v>33</v>
      </c>
      <c r="G41" s="5" t="s">
        <v>7</v>
      </c>
      <c r="H41" s="7">
        <v>4358</v>
      </c>
      <c r="I41" s="7">
        <v>7757.53</v>
      </c>
      <c r="J41" s="7">
        <v>3399.5299999999997</v>
      </c>
      <c r="K41" s="8">
        <v>0.78006654428636979</v>
      </c>
    </row>
    <row r="42" spans="1:11" x14ac:dyDescent="0.3">
      <c r="A42" s="5" t="s">
        <v>44</v>
      </c>
      <c r="B42" s="6">
        <v>40225</v>
      </c>
      <c r="C42" s="5">
        <v>8</v>
      </c>
      <c r="D42" s="5">
        <v>2</v>
      </c>
      <c r="E42" s="5">
        <v>2010</v>
      </c>
      <c r="F42" s="5" t="s">
        <v>35</v>
      </c>
      <c r="G42" s="5" t="s">
        <v>11</v>
      </c>
      <c r="H42" s="7">
        <v>5451</v>
      </c>
      <c r="I42" s="7">
        <v>5684.88</v>
      </c>
      <c r="J42" s="7">
        <v>233.88000000000011</v>
      </c>
      <c r="K42" s="8">
        <v>4.2905888827738048E-2</v>
      </c>
    </row>
    <row r="43" spans="1:11" x14ac:dyDescent="0.3">
      <c r="A43" s="5" t="s">
        <v>44</v>
      </c>
      <c r="B43" s="6">
        <v>40225</v>
      </c>
      <c r="C43" s="5">
        <v>8</v>
      </c>
      <c r="D43" s="5">
        <v>2</v>
      </c>
      <c r="E43" s="5">
        <v>2010</v>
      </c>
      <c r="F43" s="5" t="s">
        <v>36</v>
      </c>
      <c r="G43" s="5" t="s">
        <v>11</v>
      </c>
      <c r="H43" s="7">
        <v>26704.720000000001</v>
      </c>
      <c r="I43" s="7">
        <v>27523.54</v>
      </c>
      <c r="J43" s="7">
        <v>818.81999999999971</v>
      </c>
      <c r="K43" s="8">
        <v>3.0661995332660282E-2</v>
      </c>
    </row>
    <row r="44" spans="1:11" x14ac:dyDescent="0.3">
      <c r="A44" s="5" t="s">
        <v>44</v>
      </c>
      <c r="B44" s="6">
        <v>40225</v>
      </c>
      <c r="C44" s="5">
        <v>8</v>
      </c>
      <c r="D44" s="5">
        <v>2</v>
      </c>
      <c r="E44" s="5">
        <v>2010</v>
      </c>
      <c r="F44" s="5" t="s">
        <v>37</v>
      </c>
      <c r="G44" s="5" t="s">
        <v>11</v>
      </c>
      <c r="H44" s="7">
        <v>48586.05</v>
      </c>
      <c r="I44" s="7">
        <v>46673.64</v>
      </c>
      <c r="J44" s="7">
        <v>-1912.4100000000035</v>
      </c>
      <c r="K44" s="8">
        <v>-3.9361298150395088E-2</v>
      </c>
    </row>
    <row r="45" spans="1:11" x14ac:dyDescent="0.3">
      <c r="A45" s="5" t="s">
        <v>44</v>
      </c>
      <c r="B45" s="6">
        <v>40225</v>
      </c>
      <c r="C45" s="5">
        <v>8</v>
      </c>
      <c r="D45" s="5">
        <v>2</v>
      </c>
      <c r="E45" s="5">
        <v>2010</v>
      </c>
      <c r="F45" s="5" t="s">
        <v>38</v>
      </c>
      <c r="G45" s="5" t="s">
        <v>11</v>
      </c>
      <c r="H45" s="7">
        <v>69921.87</v>
      </c>
      <c r="I45" s="7">
        <v>71403.820000000007</v>
      </c>
      <c r="J45" s="7">
        <v>1481.9500000000116</v>
      </c>
      <c r="K45" s="8">
        <v>2.1194370230659045E-2</v>
      </c>
    </row>
    <row r="46" spans="1:11" x14ac:dyDescent="0.3">
      <c r="A46" s="5" t="s">
        <v>44</v>
      </c>
      <c r="B46" s="6">
        <v>40226</v>
      </c>
      <c r="C46" s="5">
        <v>8</v>
      </c>
      <c r="D46" s="5">
        <v>2</v>
      </c>
      <c r="E46" s="5">
        <v>2010</v>
      </c>
      <c r="F46" s="5" t="s">
        <v>14</v>
      </c>
      <c r="G46" s="5" t="s">
        <v>6</v>
      </c>
      <c r="H46" s="7">
        <v>5545</v>
      </c>
      <c r="I46" s="7">
        <v>6279.47</v>
      </c>
      <c r="J46" s="7">
        <v>734.47000000000025</v>
      </c>
      <c r="K46" s="8">
        <v>0.13245626690712359</v>
      </c>
    </row>
    <row r="47" spans="1:11" x14ac:dyDescent="0.3">
      <c r="A47" s="5" t="s">
        <v>44</v>
      </c>
      <c r="B47" s="6">
        <v>40226</v>
      </c>
      <c r="C47" s="5">
        <v>8</v>
      </c>
      <c r="D47" s="5">
        <v>2</v>
      </c>
      <c r="E47" s="5">
        <v>2010</v>
      </c>
      <c r="F47" s="5" t="s">
        <v>15</v>
      </c>
      <c r="G47" s="5" t="s">
        <v>6</v>
      </c>
      <c r="H47" s="7">
        <v>50305.55</v>
      </c>
      <c r="I47" s="7">
        <v>57540.62</v>
      </c>
      <c r="J47" s="7">
        <v>7235.07</v>
      </c>
      <c r="K47" s="8">
        <v>0.14382250069823307</v>
      </c>
    </row>
    <row r="48" spans="1:11" x14ac:dyDescent="0.3">
      <c r="A48" s="5" t="s">
        <v>44</v>
      </c>
      <c r="B48" s="6">
        <v>40226</v>
      </c>
      <c r="C48" s="5">
        <v>8</v>
      </c>
      <c r="D48" s="5">
        <v>2</v>
      </c>
      <c r="E48" s="5">
        <v>2010</v>
      </c>
      <c r="F48" s="5" t="s">
        <v>16</v>
      </c>
      <c r="G48" s="5" t="s">
        <v>6</v>
      </c>
      <c r="H48" s="7">
        <v>32173.26</v>
      </c>
      <c r="I48" s="7">
        <v>34614.449999999997</v>
      </c>
      <c r="J48" s="7">
        <v>2441.1899999999987</v>
      </c>
      <c r="K48" s="8">
        <v>7.5876364409450545E-2</v>
      </c>
    </row>
    <row r="49" spans="1:11" x14ac:dyDescent="0.3">
      <c r="A49" s="5" t="s">
        <v>44</v>
      </c>
      <c r="B49" s="6">
        <v>40226</v>
      </c>
      <c r="C49" s="5">
        <v>8</v>
      </c>
      <c r="D49" s="5">
        <v>2</v>
      </c>
      <c r="E49" s="5">
        <v>2010</v>
      </c>
      <c r="F49" s="5" t="s">
        <v>17</v>
      </c>
      <c r="G49" s="5" t="s">
        <v>6</v>
      </c>
      <c r="H49" s="7">
        <v>1077</v>
      </c>
      <c r="I49" s="7">
        <v>1084.49</v>
      </c>
      <c r="J49" s="7">
        <v>7.4900000000000091</v>
      </c>
      <c r="K49" s="8">
        <v>6.9545032497678825E-3</v>
      </c>
    </row>
    <row r="50" spans="1:11" x14ac:dyDescent="0.3">
      <c r="A50" s="5" t="s">
        <v>44</v>
      </c>
      <c r="B50" s="6">
        <v>40226</v>
      </c>
      <c r="C50" s="5">
        <v>8</v>
      </c>
      <c r="D50" s="5">
        <v>2</v>
      </c>
      <c r="E50" s="5">
        <v>2010</v>
      </c>
      <c r="F50" s="5" t="s">
        <v>18</v>
      </c>
      <c r="G50" s="5" t="s">
        <v>6</v>
      </c>
      <c r="H50" s="7">
        <v>1436</v>
      </c>
      <c r="I50" s="7">
        <v>1493.86</v>
      </c>
      <c r="J50" s="7">
        <v>57.8599999999999</v>
      </c>
      <c r="K50" s="8">
        <v>4.0292479108635031E-2</v>
      </c>
    </row>
    <row r="51" spans="1:11" x14ac:dyDescent="0.3">
      <c r="A51" s="5" t="s">
        <v>44</v>
      </c>
      <c r="B51" s="6">
        <v>40226</v>
      </c>
      <c r="C51" s="5">
        <v>8</v>
      </c>
      <c r="D51" s="5">
        <v>2</v>
      </c>
      <c r="E51" s="5">
        <v>2010</v>
      </c>
      <c r="F51" s="5" t="s">
        <v>19</v>
      </c>
      <c r="G51" s="5" t="s">
        <v>5</v>
      </c>
      <c r="H51" s="7">
        <v>90121.01</v>
      </c>
      <c r="I51" s="7">
        <v>91271.8</v>
      </c>
      <c r="J51" s="7">
        <v>1150.7900000000081</v>
      </c>
      <c r="K51" s="8">
        <v>1.276938640612226E-2</v>
      </c>
    </row>
    <row r="52" spans="1:11" x14ac:dyDescent="0.3">
      <c r="A52" s="5" t="s">
        <v>44</v>
      </c>
      <c r="B52" s="6">
        <v>40226</v>
      </c>
      <c r="C52" s="5">
        <v>8</v>
      </c>
      <c r="D52" s="5">
        <v>2</v>
      </c>
      <c r="E52" s="5">
        <v>2010</v>
      </c>
      <c r="F52" s="5" t="s">
        <v>5</v>
      </c>
      <c r="G52" s="5" t="s">
        <v>5</v>
      </c>
      <c r="H52" s="7">
        <v>298270.90000000002</v>
      </c>
      <c r="I52" s="7">
        <v>277378.18</v>
      </c>
      <c r="J52" s="7">
        <v>-20892.72000000003</v>
      </c>
      <c r="K52" s="8">
        <v>-7.0046122501390612E-2</v>
      </c>
    </row>
    <row r="53" spans="1:11" x14ac:dyDescent="0.3">
      <c r="A53" s="5" t="s">
        <v>44</v>
      </c>
      <c r="B53" s="6">
        <v>40226</v>
      </c>
      <c r="C53" s="5">
        <v>8</v>
      </c>
      <c r="D53" s="5">
        <v>2</v>
      </c>
      <c r="E53" s="5">
        <v>2010</v>
      </c>
      <c r="F53" s="5" t="s">
        <v>20</v>
      </c>
      <c r="G53" s="5" t="s">
        <v>5</v>
      </c>
      <c r="H53" s="7">
        <v>34244</v>
      </c>
      <c r="I53" s="7">
        <v>34969.300000000003</v>
      </c>
      <c r="J53" s="7">
        <v>725.30000000000291</v>
      </c>
      <c r="K53" s="8">
        <v>2.1180352762527829E-2</v>
      </c>
    </row>
    <row r="54" spans="1:11" x14ac:dyDescent="0.3">
      <c r="A54" s="5" t="s">
        <v>44</v>
      </c>
      <c r="B54" s="6">
        <v>40226</v>
      </c>
      <c r="C54" s="5">
        <v>8</v>
      </c>
      <c r="D54" s="5">
        <v>2</v>
      </c>
      <c r="E54" s="5">
        <v>2010</v>
      </c>
      <c r="F54" s="5" t="s">
        <v>21</v>
      </c>
      <c r="G54" s="5" t="s">
        <v>5</v>
      </c>
      <c r="H54" s="7">
        <v>79713.75</v>
      </c>
      <c r="I54" s="7">
        <v>80573.37</v>
      </c>
      <c r="J54" s="7">
        <v>859.61999999999534</v>
      </c>
      <c r="K54" s="8">
        <v>1.0783835912875701E-2</v>
      </c>
    </row>
    <row r="55" spans="1:11" x14ac:dyDescent="0.3">
      <c r="A55" s="5" t="s">
        <v>44</v>
      </c>
      <c r="B55" s="6">
        <v>40226</v>
      </c>
      <c r="C55" s="5">
        <v>8</v>
      </c>
      <c r="D55" s="5">
        <v>2</v>
      </c>
      <c r="E55" s="5">
        <v>2010</v>
      </c>
      <c r="F55" s="5" t="s">
        <v>22</v>
      </c>
      <c r="G55" s="5" t="s">
        <v>8</v>
      </c>
      <c r="H55" s="7">
        <v>124325.12</v>
      </c>
      <c r="I55" s="7">
        <v>127550.39</v>
      </c>
      <c r="J55" s="7">
        <v>3225.2700000000041</v>
      </c>
      <c r="K55" s="8">
        <v>2.5942223100206975E-2</v>
      </c>
    </row>
    <row r="56" spans="1:11" x14ac:dyDescent="0.3">
      <c r="A56" s="5" t="s">
        <v>44</v>
      </c>
      <c r="B56" s="6">
        <v>40226</v>
      </c>
      <c r="C56" s="5">
        <v>8</v>
      </c>
      <c r="D56" s="5">
        <v>2</v>
      </c>
      <c r="E56" s="5">
        <v>2010</v>
      </c>
      <c r="F56" s="5" t="s">
        <v>23</v>
      </c>
      <c r="G56" s="5" t="s">
        <v>8</v>
      </c>
      <c r="H56" s="7">
        <v>53086.52</v>
      </c>
      <c r="I56" s="7">
        <v>53945.97</v>
      </c>
      <c r="J56" s="7">
        <v>859.45000000000437</v>
      </c>
      <c r="K56" s="8">
        <v>1.6189608962878042E-2</v>
      </c>
    </row>
    <row r="57" spans="1:11" x14ac:dyDescent="0.3">
      <c r="A57" s="5" t="s">
        <v>44</v>
      </c>
      <c r="B57" s="6">
        <v>40226</v>
      </c>
      <c r="C57" s="5">
        <v>8</v>
      </c>
      <c r="D57" s="5">
        <v>2</v>
      </c>
      <c r="E57" s="5">
        <v>2010</v>
      </c>
      <c r="F57" s="5" t="s">
        <v>24</v>
      </c>
      <c r="G57" s="5" t="s">
        <v>8</v>
      </c>
      <c r="H57" s="7">
        <v>31792.99</v>
      </c>
      <c r="I57" s="7">
        <v>32271.22</v>
      </c>
      <c r="J57" s="7">
        <v>478.22999999999956</v>
      </c>
      <c r="K57" s="8">
        <v>1.5041995106468423E-2</v>
      </c>
    </row>
    <row r="58" spans="1:11" x14ac:dyDescent="0.3">
      <c r="A58" s="5" t="s">
        <v>44</v>
      </c>
      <c r="B58" s="6">
        <v>40226</v>
      </c>
      <c r="C58" s="5">
        <v>8</v>
      </c>
      <c r="D58" s="5">
        <v>2</v>
      </c>
      <c r="E58" s="5">
        <v>2010</v>
      </c>
      <c r="F58" s="5" t="s">
        <v>25</v>
      </c>
      <c r="G58" s="5" t="s">
        <v>8</v>
      </c>
      <c r="H58" s="7">
        <v>3344</v>
      </c>
      <c r="I58" s="7">
        <v>3435.63</v>
      </c>
      <c r="J58" s="7">
        <v>91.630000000000109</v>
      </c>
      <c r="K58" s="8">
        <v>2.7401315789473718E-2</v>
      </c>
    </row>
    <row r="59" spans="1:11" x14ac:dyDescent="0.3">
      <c r="A59" s="5" t="s">
        <v>44</v>
      </c>
      <c r="B59" s="6">
        <v>40226</v>
      </c>
      <c r="C59" s="5">
        <v>8</v>
      </c>
      <c r="D59" s="5">
        <v>2</v>
      </c>
      <c r="E59" s="5">
        <v>2010</v>
      </c>
      <c r="F59" s="5" t="s">
        <v>27</v>
      </c>
      <c r="G59" s="5" t="s">
        <v>10</v>
      </c>
      <c r="H59" s="7">
        <v>21994.49</v>
      </c>
      <c r="I59" s="7">
        <v>25261.41</v>
      </c>
      <c r="J59" s="7">
        <v>3266.9199999999983</v>
      </c>
      <c r="K59" s="8">
        <v>0.14853356454275585</v>
      </c>
    </row>
    <row r="60" spans="1:11" x14ac:dyDescent="0.3">
      <c r="A60" s="5" t="s">
        <v>44</v>
      </c>
      <c r="B60" s="6">
        <v>40226</v>
      </c>
      <c r="C60" s="5">
        <v>8</v>
      </c>
      <c r="D60" s="5">
        <v>2</v>
      </c>
      <c r="E60" s="5">
        <v>2010</v>
      </c>
      <c r="F60" s="5" t="s">
        <v>29</v>
      </c>
      <c r="G60" s="5" t="s">
        <v>10</v>
      </c>
      <c r="H60" s="7">
        <v>78195</v>
      </c>
      <c r="I60" s="7">
        <v>82377.95</v>
      </c>
      <c r="J60" s="7">
        <v>4182.9499999999971</v>
      </c>
      <c r="K60" s="8">
        <v>5.3493829528742209E-2</v>
      </c>
    </row>
    <row r="61" spans="1:11" x14ac:dyDescent="0.3">
      <c r="A61" s="5" t="s">
        <v>44</v>
      </c>
      <c r="B61" s="6">
        <v>40226</v>
      </c>
      <c r="C61" s="5">
        <v>8</v>
      </c>
      <c r="D61" s="5">
        <v>2</v>
      </c>
      <c r="E61" s="5">
        <v>2010</v>
      </c>
      <c r="F61" s="5" t="s">
        <v>30</v>
      </c>
      <c r="G61" s="5" t="s">
        <v>10</v>
      </c>
      <c r="H61" s="7">
        <v>8737.42</v>
      </c>
      <c r="I61" s="7">
        <v>9857.17</v>
      </c>
      <c r="J61" s="7">
        <v>1119.75</v>
      </c>
      <c r="K61" s="8">
        <v>0.12815567982310569</v>
      </c>
    </row>
    <row r="62" spans="1:11" x14ac:dyDescent="0.3">
      <c r="A62" s="5" t="s">
        <v>44</v>
      </c>
      <c r="B62" s="6">
        <v>40226</v>
      </c>
      <c r="C62" s="5">
        <v>8</v>
      </c>
      <c r="D62" s="5">
        <v>2</v>
      </c>
      <c r="E62" s="5">
        <v>2010</v>
      </c>
      <c r="F62" s="5" t="s">
        <v>9</v>
      </c>
      <c r="G62" s="5" t="s">
        <v>9</v>
      </c>
      <c r="H62" s="7">
        <v>83674.98</v>
      </c>
      <c r="I62" s="7">
        <v>94340.94</v>
      </c>
      <c r="J62" s="7">
        <v>10665.960000000006</v>
      </c>
      <c r="K62" s="8">
        <v>0.12746892798779286</v>
      </c>
    </row>
    <row r="63" spans="1:11" x14ac:dyDescent="0.3">
      <c r="A63" s="5" t="s">
        <v>44</v>
      </c>
      <c r="B63" s="6">
        <v>40226</v>
      </c>
      <c r="C63" s="5">
        <v>8</v>
      </c>
      <c r="D63" s="5">
        <v>2</v>
      </c>
      <c r="E63" s="5">
        <v>2010</v>
      </c>
      <c r="F63" s="5" t="s">
        <v>33</v>
      </c>
      <c r="G63" s="5" t="s">
        <v>7</v>
      </c>
      <c r="H63" s="7">
        <v>5957</v>
      </c>
      <c r="I63" s="7">
        <v>10877.25</v>
      </c>
      <c r="J63" s="7">
        <v>4920.25</v>
      </c>
      <c r="K63" s="8">
        <v>0.82596105422192378</v>
      </c>
    </row>
    <row r="64" spans="1:11" x14ac:dyDescent="0.3">
      <c r="A64" s="5" t="s">
        <v>44</v>
      </c>
      <c r="B64" s="6">
        <v>40226</v>
      </c>
      <c r="C64" s="5">
        <v>8</v>
      </c>
      <c r="D64" s="5">
        <v>2</v>
      </c>
      <c r="E64" s="5">
        <v>2010</v>
      </c>
      <c r="F64" s="5" t="s">
        <v>35</v>
      </c>
      <c r="G64" s="5" t="s">
        <v>11</v>
      </c>
      <c r="H64" s="7">
        <v>7944</v>
      </c>
      <c r="I64" s="7">
        <v>8521.32</v>
      </c>
      <c r="J64" s="7">
        <v>577.31999999999971</v>
      </c>
      <c r="K64" s="8">
        <v>7.2673716012084555E-2</v>
      </c>
    </row>
    <row r="65" spans="1:11" x14ac:dyDescent="0.3">
      <c r="A65" s="5" t="s">
        <v>44</v>
      </c>
      <c r="B65" s="6">
        <v>40226</v>
      </c>
      <c r="C65" s="5">
        <v>8</v>
      </c>
      <c r="D65" s="5">
        <v>2</v>
      </c>
      <c r="E65" s="5">
        <v>2010</v>
      </c>
      <c r="F65" s="5" t="s">
        <v>36</v>
      </c>
      <c r="G65" s="5" t="s">
        <v>11</v>
      </c>
      <c r="H65" s="7">
        <v>24625.32</v>
      </c>
      <c r="I65" s="7">
        <v>25787.91</v>
      </c>
      <c r="J65" s="7">
        <v>1162.5900000000001</v>
      </c>
      <c r="K65" s="8">
        <v>4.7211163144275897E-2</v>
      </c>
    </row>
    <row r="66" spans="1:11" x14ac:dyDescent="0.3">
      <c r="A66" s="5" t="s">
        <v>44</v>
      </c>
      <c r="B66" s="6">
        <v>40226</v>
      </c>
      <c r="C66" s="5">
        <v>8</v>
      </c>
      <c r="D66" s="5">
        <v>2</v>
      </c>
      <c r="E66" s="5">
        <v>2010</v>
      </c>
      <c r="F66" s="5" t="s">
        <v>37</v>
      </c>
      <c r="G66" s="5" t="s">
        <v>11</v>
      </c>
      <c r="H66" s="7">
        <v>57979.59</v>
      </c>
      <c r="I66" s="7">
        <v>53219.66</v>
      </c>
      <c r="J66" s="7">
        <v>-4759.929999999993</v>
      </c>
      <c r="K66" s="8">
        <v>-8.2096648148080958E-2</v>
      </c>
    </row>
    <row r="67" spans="1:11" x14ac:dyDescent="0.3">
      <c r="A67" s="5" t="s">
        <v>44</v>
      </c>
      <c r="B67" s="6">
        <v>40226</v>
      </c>
      <c r="C67" s="5">
        <v>8</v>
      </c>
      <c r="D67" s="5">
        <v>2</v>
      </c>
      <c r="E67" s="5">
        <v>2010</v>
      </c>
      <c r="F67" s="5" t="s">
        <v>38</v>
      </c>
      <c r="G67" s="5" t="s">
        <v>11</v>
      </c>
      <c r="H67" s="7">
        <v>54764.37</v>
      </c>
      <c r="I67" s="7">
        <v>56427.25</v>
      </c>
      <c r="J67" s="7">
        <v>1662.8799999999974</v>
      </c>
      <c r="K67" s="8">
        <v>3.0364267862480612E-2</v>
      </c>
    </row>
    <row r="68" spans="1:11" x14ac:dyDescent="0.3">
      <c r="A68" s="5" t="s">
        <v>44</v>
      </c>
      <c r="B68" s="6">
        <v>40227</v>
      </c>
      <c r="C68" s="5">
        <v>8</v>
      </c>
      <c r="D68" s="5">
        <v>2</v>
      </c>
      <c r="E68" s="5">
        <v>2010</v>
      </c>
      <c r="F68" s="5" t="s">
        <v>14</v>
      </c>
      <c r="G68" s="5" t="s">
        <v>6</v>
      </c>
      <c r="H68" s="7">
        <v>3270</v>
      </c>
      <c r="I68" s="7">
        <v>3808.78</v>
      </c>
      <c r="J68" s="7">
        <v>538.7800000000002</v>
      </c>
      <c r="K68" s="8">
        <v>0.16476452599388386</v>
      </c>
    </row>
    <row r="69" spans="1:11" x14ac:dyDescent="0.3">
      <c r="A69" s="5" t="s">
        <v>44</v>
      </c>
      <c r="B69" s="6">
        <v>40227</v>
      </c>
      <c r="C69" s="5">
        <v>8</v>
      </c>
      <c r="D69" s="5">
        <v>2</v>
      </c>
      <c r="E69" s="5">
        <v>2010</v>
      </c>
      <c r="F69" s="5" t="s">
        <v>15</v>
      </c>
      <c r="G69" s="5" t="s">
        <v>6</v>
      </c>
      <c r="H69" s="7">
        <v>53039.79</v>
      </c>
      <c r="I69" s="7">
        <v>59660.99</v>
      </c>
      <c r="J69" s="7">
        <v>6621.1999999999971</v>
      </c>
      <c r="K69" s="8">
        <v>0.12483458173571195</v>
      </c>
    </row>
    <row r="70" spans="1:11" x14ac:dyDescent="0.3">
      <c r="A70" s="5" t="s">
        <v>44</v>
      </c>
      <c r="B70" s="6">
        <v>40227</v>
      </c>
      <c r="C70" s="5">
        <v>8</v>
      </c>
      <c r="D70" s="5">
        <v>2</v>
      </c>
      <c r="E70" s="5">
        <v>2010</v>
      </c>
      <c r="F70" s="5" t="s">
        <v>16</v>
      </c>
      <c r="G70" s="5" t="s">
        <v>6</v>
      </c>
      <c r="H70" s="7">
        <v>40203.97</v>
      </c>
      <c r="I70" s="7">
        <v>43188.58</v>
      </c>
      <c r="J70" s="7">
        <v>2984.6100000000006</v>
      </c>
      <c r="K70" s="8">
        <v>7.4236698515096899E-2</v>
      </c>
    </row>
    <row r="71" spans="1:11" x14ac:dyDescent="0.3">
      <c r="A71" s="5" t="s">
        <v>44</v>
      </c>
      <c r="B71" s="6">
        <v>40227</v>
      </c>
      <c r="C71" s="5">
        <v>8</v>
      </c>
      <c r="D71" s="5">
        <v>2</v>
      </c>
      <c r="E71" s="5">
        <v>2010</v>
      </c>
      <c r="F71" s="5" t="s">
        <v>17</v>
      </c>
      <c r="G71" s="5" t="s">
        <v>6</v>
      </c>
      <c r="H71" s="7">
        <v>693</v>
      </c>
      <c r="I71" s="7">
        <v>696</v>
      </c>
      <c r="J71" s="7">
        <v>3</v>
      </c>
      <c r="K71" s="8">
        <v>4.329004329004329E-3</v>
      </c>
    </row>
    <row r="72" spans="1:11" x14ac:dyDescent="0.3">
      <c r="A72" s="5" t="s">
        <v>44</v>
      </c>
      <c r="B72" s="6">
        <v>40227</v>
      </c>
      <c r="C72" s="5">
        <v>8</v>
      </c>
      <c r="D72" s="5">
        <v>2</v>
      </c>
      <c r="E72" s="5">
        <v>2010</v>
      </c>
      <c r="F72" s="5" t="s">
        <v>18</v>
      </c>
      <c r="G72" s="5" t="s">
        <v>6</v>
      </c>
      <c r="H72" s="7">
        <v>4962.6499999999996</v>
      </c>
      <c r="I72" s="7">
        <v>5357.71</v>
      </c>
      <c r="J72" s="7">
        <v>395.0600000000004</v>
      </c>
      <c r="K72" s="8">
        <v>7.9606661763372472E-2</v>
      </c>
    </row>
    <row r="73" spans="1:11" x14ac:dyDescent="0.3">
      <c r="A73" s="5" t="s">
        <v>44</v>
      </c>
      <c r="B73" s="6">
        <v>40227</v>
      </c>
      <c r="C73" s="5">
        <v>8</v>
      </c>
      <c r="D73" s="5">
        <v>2</v>
      </c>
      <c r="E73" s="5">
        <v>2010</v>
      </c>
      <c r="F73" s="5" t="s">
        <v>19</v>
      </c>
      <c r="G73" s="5" t="s">
        <v>5</v>
      </c>
      <c r="H73" s="7">
        <v>115140.04</v>
      </c>
      <c r="I73" s="7">
        <v>117039.28</v>
      </c>
      <c r="J73" s="7">
        <v>1899.2400000000052</v>
      </c>
      <c r="K73" s="8">
        <v>1.6495043774520188E-2</v>
      </c>
    </row>
    <row r="74" spans="1:11" x14ac:dyDescent="0.3">
      <c r="A74" s="5" t="s">
        <v>44</v>
      </c>
      <c r="B74" s="6">
        <v>40227</v>
      </c>
      <c r="C74" s="5">
        <v>8</v>
      </c>
      <c r="D74" s="5">
        <v>2</v>
      </c>
      <c r="E74" s="5">
        <v>2010</v>
      </c>
      <c r="F74" s="5" t="s">
        <v>5</v>
      </c>
      <c r="G74" s="5" t="s">
        <v>5</v>
      </c>
      <c r="H74" s="7">
        <v>172370.6</v>
      </c>
      <c r="I74" s="7">
        <v>170436.58</v>
      </c>
      <c r="J74" s="7">
        <v>-1934.0200000000186</v>
      </c>
      <c r="K74" s="8">
        <v>-1.1220126866182624E-2</v>
      </c>
    </row>
    <row r="75" spans="1:11" x14ac:dyDescent="0.3">
      <c r="A75" s="5" t="s">
        <v>44</v>
      </c>
      <c r="B75" s="6">
        <v>40227</v>
      </c>
      <c r="C75" s="5">
        <v>8</v>
      </c>
      <c r="D75" s="5">
        <v>2</v>
      </c>
      <c r="E75" s="5">
        <v>2010</v>
      </c>
      <c r="F75" s="5" t="s">
        <v>20</v>
      </c>
      <c r="G75" s="5" t="s">
        <v>5</v>
      </c>
      <c r="H75" s="7">
        <v>25780.18</v>
      </c>
      <c r="I75" s="7">
        <v>26046.53</v>
      </c>
      <c r="J75" s="7">
        <v>266.34999999999854</v>
      </c>
      <c r="K75" s="8">
        <v>1.033158030704202E-2</v>
      </c>
    </row>
    <row r="76" spans="1:11" x14ac:dyDescent="0.3">
      <c r="A76" s="5" t="s">
        <v>44</v>
      </c>
      <c r="B76" s="6">
        <v>40227</v>
      </c>
      <c r="C76" s="5">
        <v>8</v>
      </c>
      <c r="D76" s="5">
        <v>2</v>
      </c>
      <c r="E76" s="5">
        <v>2010</v>
      </c>
      <c r="F76" s="5" t="s">
        <v>21</v>
      </c>
      <c r="G76" s="5" t="s">
        <v>5</v>
      </c>
      <c r="H76" s="7">
        <v>56256.66</v>
      </c>
      <c r="I76" s="7">
        <v>57184.11</v>
      </c>
      <c r="J76" s="7">
        <v>927.44999999999709</v>
      </c>
      <c r="K76" s="8">
        <v>1.64860480519106E-2</v>
      </c>
    </row>
    <row r="77" spans="1:11" x14ac:dyDescent="0.3">
      <c r="A77" s="5" t="s">
        <v>44</v>
      </c>
      <c r="B77" s="6">
        <v>40227</v>
      </c>
      <c r="C77" s="5">
        <v>8</v>
      </c>
      <c r="D77" s="5">
        <v>2</v>
      </c>
      <c r="E77" s="5">
        <v>2010</v>
      </c>
      <c r="F77" s="5" t="s">
        <v>22</v>
      </c>
      <c r="G77" s="5" t="s">
        <v>8</v>
      </c>
      <c r="H77" s="7">
        <v>168191.47</v>
      </c>
      <c r="I77" s="7">
        <v>172440.33</v>
      </c>
      <c r="J77" s="7">
        <v>4248.859999999986</v>
      </c>
      <c r="K77" s="8">
        <v>2.5262042123777063E-2</v>
      </c>
    </row>
    <row r="78" spans="1:11" x14ac:dyDescent="0.3">
      <c r="A78" s="5" t="s">
        <v>44</v>
      </c>
      <c r="B78" s="6">
        <v>40227</v>
      </c>
      <c r="C78" s="5">
        <v>8</v>
      </c>
      <c r="D78" s="5">
        <v>2</v>
      </c>
      <c r="E78" s="5">
        <v>2010</v>
      </c>
      <c r="F78" s="5" t="s">
        <v>23</v>
      </c>
      <c r="G78" s="5" t="s">
        <v>8</v>
      </c>
      <c r="H78" s="7">
        <v>51861.599999999999</v>
      </c>
      <c r="I78" s="7">
        <v>52617.87</v>
      </c>
      <c r="J78" s="7">
        <v>756.27000000000407</v>
      </c>
      <c r="K78" s="8">
        <v>1.4582465639317031E-2</v>
      </c>
    </row>
    <row r="79" spans="1:11" x14ac:dyDescent="0.3">
      <c r="A79" s="5" t="s">
        <v>44</v>
      </c>
      <c r="B79" s="6">
        <v>40227</v>
      </c>
      <c r="C79" s="5">
        <v>8</v>
      </c>
      <c r="D79" s="5">
        <v>2</v>
      </c>
      <c r="E79" s="5">
        <v>2010</v>
      </c>
      <c r="F79" s="5" t="s">
        <v>24</v>
      </c>
      <c r="G79" s="5" t="s">
        <v>8</v>
      </c>
      <c r="H79" s="7">
        <v>33830</v>
      </c>
      <c r="I79" s="7">
        <v>34193.89</v>
      </c>
      <c r="J79" s="7">
        <v>363.88999999999942</v>
      </c>
      <c r="K79" s="8">
        <v>1.0756429204847751E-2</v>
      </c>
    </row>
    <row r="80" spans="1:11" x14ac:dyDescent="0.3">
      <c r="A80" s="5" t="s">
        <v>44</v>
      </c>
      <c r="B80" s="6">
        <v>40227</v>
      </c>
      <c r="C80" s="5">
        <v>8</v>
      </c>
      <c r="D80" s="5">
        <v>2</v>
      </c>
      <c r="E80" s="5">
        <v>2010</v>
      </c>
      <c r="F80" s="5" t="s">
        <v>25</v>
      </c>
      <c r="G80" s="5" t="s">
        <v>8</v>
      </c>
      <c r="H80" s="7">
        <v>1180</v>
      </c>
      <c r="I80" s="7">
        <v>1210.02</v>
      </c>
      <c r="J80" s="7">
        <v>30.019999999999982</v>
      </c>
      <c r="K80" s="8">
        <v>2.544067796610168E-2</v>
      </c>
    </row>
    <row r="81" spans="1:11" x14ac:dyDescent="0.3">
      <c r="A81" s="5" t="s">
        <v>44</v>
      </c>
      <c r="B81" s="6">
        <v>40227</v>
      </c>
      <c r="C81" s="5">
        <v>8</v>
      </c>
      <c r="D81" s="5">
        <v>2</v>
      </c>
      <c r="E81" s="5">
        <v>2010</v>
      </c>
      <c r="F81" s="5" t="s">
        <v>27</v>
      </c>
      <c r="G81" s="5" t="s">
        <v>10</v>
      </c>
      <c r="H81" s="7">
        <v>24914.7</v>
      </c>
      <c r="I81" s="7">
        <v>28646.52</v>
      </c>
      <c r="J81" s="7">
        <v>3731.8199999999997</v>
      </c>
      <c r="K81" s="8">
        <v>0.14978386253898299</v>
      </c>
    </row>
    <row r="82" spans="1:11" x14ac:dyDescent="0.3">
      <c r="A82" s="5" t="s">
        <v>44</v>
      </c>
      <c r="B82" s="6">
        <v>40227</v>
      </c>
      <c r="C82" s="5">
        <v>8</v>
      </c>
      <c r="D82" s="5">
        <v>2</v>
      </c>
      <c r="E82" s="5">
        <v>2010</v>
      </c>
      <c r="F82" s="5" t="s">
        <v>29</v>
      </c>
      <c r="G82" s="5" t="s">
        <v>10</v>
      </c>
      <c r="H82" s="7">
        <v>60663</v>
      </c>
      <c r="I82" s="7">
        <v>63498.69</v>
      </c>
      <c r="J82" s="7">
        <v>2835.6900000000023</v>
      </c>
      <c r="K82" s="8">
        <v>4.6744968102467768E-2</v>
      </c>
    </row>
    <row r="83" spans="1:11" x14ac:dyDescent="0.3">
      <c r="A83" s="5" t="s">
        <v>44</v>
      </c>
      <c r="B83" s="6">
        <v>40227</v>
      </c>
      <c r="C83" s="5">
        <v>8</v>
      </c>
      <c r="D83" s="5">
        <v>2</v>
      </c>
      <c r="E83" s="5">
        <v>2010</v>
      </c>
      <c r="F83" s="5" t="s">
        <v>30</v>
      </c>
      <c r="G83" s="5" t="s">
        <v>10</v>
      </c>
      <c r="H83" s="7">
        <v>15393.8</v>
      </c>
      <c r="I83" s="7">
        <v>17400.32</v>
      </c>
      <c r="J83" s="7">
        <v>2006.5200000000004</v>
      </c>
      <c r="K83" s="8">
        <v>0.13034598344788165</v>
      </c>
    </row>
    <row r="84" spans="1:11" x14ac:dyDescent="0.3">
      <c r="A84" s="5" t="s">
        <v>44</v>
      </c>
      <c r="B84" s="6">
        <v>40227</v>
      </c>
      <c r="C84" s="5">
        <v>8</v>
      </c>
      <c r="D84" s="5">
        <v>2</v>
      </c>
      <c r="E84" s="5">
        <v>2010</v>
      </c>
      <c r="F84" s="5" t="s">
        <v>9</v>
      </c>
      <c r="G84" s="5" t="s">
        <v>9</v>
      </c>
      <c r="H84" s="7">
        <v>101850.73</v>
      </c>
      <c r="I84" s="7">
        <v>112521.19</v>
      </c>
      <c r="J84" s="7">
        <v>10670.460000000006</v>
      </c>
      <c r="K84" s="8">
        <v>0.10476567030987413</v>
      </c>
    </row>
    <row r="85" spans="1:11" x14ac:dyDescent="0.3">
      <c r="A85" s="5" t="s">
        <v>44</v>
      </c>
      <c r="B85" s="6">
        <v>40227</v>
      </c>
      <c r="C85" s="5">
        <v>8</v>
      </c>
      <c r="D85" s="5">
        <v>2</v>
      </c>
      <c r="E85" s="5">
        <v>2010</v>
      </c>
      <c r="F85" s="5" t="s">
        <v>33</v>
      </c>
      <c r="G85" s="5" t="s">
        <v>7</v>
      </c>
      <c r="H85" s="7">
        <v>4729</v>
      </c>
      <c r="I85" s="7">
        <v>8910.27</v>
      </c>
      <c r="J85" s="7">
        <v>4181.2700000000004</v>
      </c>
      <c r="K85" s="8">
        <v>0.88417635863819</v>
      </c>
    </row>
    <row r="86" spans="1:11" x14ac:dyDescent="0.3">
      <c r="A86" s="5" t="s">
        <v>44</v>
      </c>
      <c r="B86" s="6">
        <v>40227</v>
      </c>
      <c r="C86" s="5">
        <v>8</v>
      </c>
      <c r="D86" s="5">
        <v>2</v>
      </c>
      <c r="E86" s="5">
        <v>2010</v>
      </c>
      <c r="F86" s="5" t="s">
        <v>35</v>
      </c>
      <c r="G86" s="5" t="s">
        <v>11</v>
      </c>
      <c r="H86" s="7">
        <v>1874</v>
      </c>
      <c r="I86" s="7">
        <v>1955.34</v>
      </c>
      <c r="J86" s="7">
        <v>81.339999999999918</v>
      </c>
      <c r="K86" s="8">
        <v>4.3404482390608283E-2</v>
      </c>
    </row>
    <row r="87" spans="1:11" x14ac:dyDescent="0.3">
      <c r="A87" s="5" t="s">
        <v>44</v>
      </c>
      <c r="B87" s="6">
        <v>40227</v>
      </c>
      <c r="C87" s="5">
        <v>8</v>
      </c>
      <c r="D87" s="5">
        <v>2</v>
      </c>
      <c r="E87" s="5">
        <v>2010</v>
      </c>
      <c r="F87" s="5" t="s">
        <v>36</v>
      </c>
      <c r="G87" s="5" t="s">
        <v>11</v>
      </c>
      <c r="H87" s="7">
        <v>21511.53</v>
      </c>
      <c r="I87" s="7">
        <v>22798.46</v>
      </c>
      <c r="J87" s="7">
        <v>1286.9300000000003</v>
      </c>
      <c r="K87" s="8">
        <v>5.9825126339223676E-2</v>
      </c>
    </row>
    <row r="88" spans="1:11" x14ac:dyDescent="0.3">
      <c r="A88" s="5" t="s">
        <v>44</v>
      </c>
      <c r="B88" s="6">
        <v>40227</v>
      </c>
      <c r="C88" s="5">
        <v>8</v>
      </c>
      <c r="D88" s="5">
        <v>2</v>
      </c>
      <c r="E88" s="5">
        <v>2010</v>
      </c>
      <c r="F88" s="5" t="s">
        <v>37</v>
      </c>
      <c r="G88" s="5" t="s">
        <v>11</v>
      </c>
      <c r="H88" s="7">
        <v>97230.48</v>
      </c>
      <c r="I88" s="7">
        <v>88383.18</v>
      </c>
      <c r="J88" s="7">
        <v>-8847.3000000000029</v>
      </c>
      <c r="K88" s="8">
        <v>-9.0993071308503287E-2</v>
      </c>
    </row>
    <row r="89" spans="1:11" x14ac:dyDescent="0.3">
      <c r="A89" s="5" t="s">
        <v>44</v>
      </c>
      <c r="B89" s="6">
        <v>40227</v>
      </c>
      <c r="C89" s="5">
        <v>8</v>
      </c>
      <c r="D89" s="5">
        <v>2</v>
      </c>
      <c r="E89" s="5">
        <v>2010</v>
      </c>
      <c r="F89" s="5" t="s">
        <v>38</v>
      </c>
      <c r="G89" s="5" t="s">
        <v>11</v>
      </c>
      <c r="H89" s="7">
        <v>59825.54</v>
      </c>
      <c r="I89" s="7">
        <v>61634.81</v>
      </c>
      <c r="J89" s="7">
        <v>1809.2699999999968</v>
      </c>
      <c r="K89" s="8">
        <v>3.0242434919935477E-2</v>
      </c>
    </row>
    <row r="90" spans="1:11" x14ac:dyDescent="0.3">
      <c r="A90" s="5" t="s">
        <v>44</v>
      </c>
      <c r="B90" s="6">
        <v>40228</v>
      </c>
      <c r="C90" s="5">
        <v>8</v>
      </c>
      <c r="D90" s="5">
        <v>2</v>
      </c>
      <c r="E90" s="5">
        <v>2010</v>
      </c>
      <c r="F90" s="5" t="s">
        <v>14</v>
      </c>
      <c r="G90" s="5" t="s">
        <v>6</v>
      </c>
      <c r="H90" s="7">
        <v>5028</v>
      </c>
      <c r="I90" s="7">
        <v>5746.55</v>
      </c>
      <c r="J90" s="7">
        <v>718.55000000000018</v>
      </c>
      <c r="K90" s="8">
        <v>0.14290970564836916</v>
      </c>
    </row>
    <row r="91" spans="1:11" x14ac:dyDescent="0.3">
      <c r="A91" s="5" t="s">
        <v>44</v>
      </c>
      <c r="B91" s="6">
        <v>40228</v>
      </c>
      <c r="C91" s="5">
        <v>8</v>
      </c>
      <c r="D91" s="5">
        <v>2</v>
      </c>
      <c r="E91" s="5">
        <v>2010</v>
      </c>
      <c r="F91" s="5" t="s">
        <v>15</v>
      </c>
      <c r="G91" s="5" t="s">
        <v>6</v>
      </c>
      <c r="H91" s="7">
        <v>42341.73</v>
      </c>
      <c r="I91" s="7">
        <v>45684.59</v>
      </c>
      <c r="J91" s="7">
        <v>3342.8599999999933</v>
      </c>
      <c r="K91" s="8">
        <v>7.8949537489374971E-2</v>
      </c>
    </row>
    <row r="92" spans="1:11" x14ac:dyDescent="0.3">
      <c r="A92" s="5" t="s">
        <v>44</v>
      </c>
      <c r="B92" s="6">
        <v>40228</v>
      </c>
      <c r="C92" s="5">
        <v>8</v>
      </c>
      <c r="D92" s="5">
        <v>2</v>
      </c>
      <c r="E92" s="5">
        <v>2010</v>
      </c>
      <c r="F92" s="5" t="s">
        <v>16</v>
      </c>
      <c r="G92" s="5" t="s">
        <v>6</v>
      </c>
      <c r="H92" s="7">
        <v>40642.85</v>
      </c>
      <c r="I92" s="7">
        <v>43588.97</v>
      </c>
      <c r="J92" s="7">
        <v>2946.1200000000026</v>
      </c>
      <c r="K92" s="8">
        <v>7.2488026799301788E-2</v>
      </c>
    </row>
    <row r="93" spans="1:11" x14ac:dyDescent="0.3">
      <c r="A93" s="5" t="s">
        <v>44</v>
      </c>
      <c r="B93" s="6">
        <v>40228</v>
      </c>
      <c r="C93" s="5">
        <v>8</v>
      </c>
      <c r="D93" s="5">
        <v>2</v>
      </c>
      <c r="E93" s="5">
        <v>2010</v>
      </c>
      <c r="F93" s="5" t="s">
        <v>17</v>
      </c>
      <c r="G93" s="5" t="s">
        <v>6</v>
      </c>
      <c r="H93" s="7">
        <v>672</v>
      </c>
      <c r="I93" s="7">
        <v>679.23</v>
      </c>
      <c r="J93" s="7">
        <v>7.2300000000000182</v>
      </c>
      <c r="K93" s="8">
        <v>1.0758928571428598E-2</v>
      </c>
    </row>
    <row r="94" spans="1:11" x14ac:dyDescent="0.3">
      <c r="A94" s="5" t="s">
        <v>44</v>
      </c>
      <c r="B94" s="6">
        <v>40228</v>
      </c>
      <c r="C94" s="5">
        <v>8</v>
      </c>
      <c r="D94" s="5">
        <v>2</v>
      </c>
      <c r="E94" s="5">
        <v>2010</v>
      </c>
      <c r="F94" s="5" t="s">
        <v>18</v>
      </c>
      <c r="G94" s="5" t="s">
        <v>6</v>
      </c>
      <c r="H94" s="7">
        <v>8389.8700000000008</v>
      </c>
      <c r="I94" s="7">
        <v>8948.43</v>
      </c>
      <c r="J94" s="7">
        <v>558.55999999999949</v>
      </c>
      <c r="K94" s="8">
        <v>6.6575525008134739E-2</v>
      </c>
    </row>
    <row r="95" spans="1:11" x14ac:dyDescent="0.3">
      <c r="A95" s="5" t="s">
        <v>44</v>
      </c>
      <c r="B95" s="6">
        <v>40228</v>
      </c>
      <c r="C95" s="5">
        <v>8</v>
      </c>
      <c r="D95" s="5">
        <v>2</v>
      </c>
      <c r="E95" s="5">
        <v>2010</v>
      </c>
      <c r="F95" s="5" t="s">
        <v>19</v>
      </c>
      <c r="G95" s="5" t="s">
        <v>5</v>
      </c>
      <c r="H95" s="7">
        <v>56593.36</v>
      </c>
      <c r="I95" s="7">
        <v>58569.29</v>
      </c>
      <c r="J95" s="7">
        <v>1975.9300000000003</v>
      </c>
      <c r="K95" s="8">
        <v>3.4914520007294149E-2</v>
      </c>
    </row>
    <row r="96" spans="1:11" x14ac:dyDescent="0.3">
      <c r="A96" s="5" t="s">
        <v>44</v>
      </c>
      <c r="B96" s="6">
        <v>40228</v>
      </c>
      <c r="C96" s="5">
        <v>8</v>
      </c>
      <c r="D96" s="5">
        <v>2</v>
      </c>
      <c r="E96" s="5">
        <v>2010</v>
      </c>
      <c r="F96" s="5" t="s">
        <v>5</v>
      </c>
      <c r="G96" s="5" t="s">
        <v>5</v>
      </c>
      <c r="H96" s="7">
        <v>149188.60999999999</v>
      </c>
      <c r="I96" s="7">
        <v>152408.78</v>
      </c>
      <c r="J96" s="7">
        <v>3220.1700000000128</v>
      </c>
      <c r="K96" s="8">
        <v>2.1584556622653787E-2</v>
      </c>
    </row>
    <row r="97" spans="1:11" x14ac:dyDescent="0.3">
      <c r="A97" s="5" t="s">
        <v>44</v>
      </c>
      <c r="B97" s="6">
        <v>40228</v>
      </c>
      <c r="C97" s="5">
        <v>8</v>
      </c>
      <c r="D97" s="5">
        <v>2</v>
      </c>
      <c r="E97" s="5">
        <v>2010</v>
      </c>
      <c r="F97" s="5" t="s">
        <v>20</v>
      </c>
      <c r="G97" s="5" t="s">
        <v>5</v>
      </c>
      <c r="H97" s="7">
        <v>32639.13</v>
      </c>
      <c r="I97" s="7">
        <v>33625.769999999997</v>
      </c>
      <c r="J97" s="7">
        <v>986.63999999999578</v>
      </c>
      <c r="K97" s="8">
        <v>3.0228746905937621E-2</v>
      </c>
    </row>
    <row r="98" spans="1:11" x14ac:dyDescent="0.3">
      <c r="A98" s="5" t="s">
        <v>44</v>
      </c>
      <c r="B98" s="6">
        <v>40228</v>
      </c>
      <c r="C98" s="5">
        <v>8</v>
      </c>
      <c r="D98" s="5">
        <v>2</v>
      </c>
      <c r="E98" s="5">
        <v>2010</v>
      </c>
      <c r="F98" s="5" t="s">
        <v>21</v>
      </c>
      <c r="G98" s="5" t="s">
        <v>5</v>
      </c>
      <c r="H98" s="7">
        <v>64334.720000000001</v>
      </c>
      <c r="I98" s="7">
        <v>65494.49</v>
      </c>
      <c r="J98" s="7">
        <v>1159.7699999999968</v>
      </c>
      <c r="K98" s="8">
        <v>1.802712438944316E-2</v>
      </c>
    </row>
    <row r="99" spans="1:11" x14ac:dyDescent="0.3">
      <c r="A99" s="5" t="s">
        <v>44</v>
      </c>
      <c r="B99" s="6">
        <v>40228</v>
      </c>
      <c r="C99" s="5">
        <v>8</v>
      </c>
      <c r="D99" s="5">
        <v>2</v>
      </c>
      <c r="E99" s="5">
        <v>2010</v>
      </c>
      <c r="F99" s="5" t="s">
        <v>22</v>
      </c>
      <c r="G99" s="5" t="s">
        <v>8</v>
      </c>
      <c r="H99" s="7">
        <v>227637.98</v>
      </c>
      <c r="I99" s="7">
        <v>234302.6</v>
      </c>
      <c r="J99" s="7">
        <v>6664.6199999999953</v>
      </c>
      <c r="K99" s="8">
        <v>2.9277276138190977E-2</v>
      </c>
    </row>
    <row r="100" spans="1:11" x14ac:dyDescent="0.3">
      <c r="A100" s="5" t="s">
        <v>44</v>
      </c>
      <c r="B100" s="6">
        <v>40228</v>
      </c>
      <c r="C100" s="5">
        <v>8</v>
      </c>
      <c r="D100" s="5">
        <v>2</v>
      </c>
      <c r="E100" s="5">
        <v>2010</v>
      </c>
      <c r="F100" s="5" t="s">
        <v>23</v>
      </c>
      <c r="G100" s="5" t="s">
        <v>8</v>
      </c>
      <c r="H100" s="7">
        <v>51771.03</v>
      </c>
      <c r="I100" s="7">
        <v>53097.279999999999</v>
      </c>
      <c r="J100" s="7">
        <v>1326.25</v>
      </c>
      <c r="K100" s="8">
        <v>2.5617608921437336E-2</v>
      </c>
    </row>
    <row r="101" spans="1:11" x14ac:dyDescent="0.3">
      <c r="A101" s="5" t="s">
        <v>44</v>
      </c>
      <c r="B101" s="6">
        <v>40228</v>
      </c>
      <c r="C101" s="5">
        <v>8</v>
      </c>
      <c r="D101" s="5">
        <v>2</v>
      </c>
      <c r="E101" s="5">
        <v>2010</v>
      </c>
      <c r="F101" s="5" t="s">
        <v>24</v>
      </c>
      <c r="G101" s="5" t="s">
        <v>8</v>
      </c>
      <c r="H101" s="7">
        <v>55914</v>
      </c>
      <c r="I101" s="7">
        <v>56707.81</v>
      </c>
      <c r="J101" s="7">
        <v>793.80999999999767</v>
      </c>
      <c r="K101" s="8">
        <v>1.419698107808416E-2</v>
      </c>
    </row>
    <row r="102" spans="1:11" x14ac:dyDescent="0.3">
      <c r="A102" s="5" t="s">
        <v>44</v>
      </c>
      <c r="B102" s="6">
        <v>40228</v>
      </c>
      <c r="C102" s="5">
        <v>8</v>
      </c>
      <c r="D102" s="5">
        <v>2</v>
      </c>
      <c r="E102" s="5">
        <v>2010</v>
      </c>
      <c r="F102" s="5" t="s">
        <v>25</v>
      </c>
      <c r="G102" s="5" t="s">
        <v>8</v>
      </c>
      <c r="H102" s="7">
        <v>1280</v>
      </c>
      <c r="I102" s="7">
        <v>1312.84</v>
      </c>
      <c r="J102" s="7">
        <v>32.839999999999918</v>
      </c>
      <c r="K102" s="8">
        <v>2.5656249999999936E-2</v>
      </c>
    </row>
    <row r="103" spans="1:11" x14ac:dyDescent="0.3">
      <c r="A103" s="5" t="s">
        <v>44</v>
      </c>
      <c r="B103" s="6">
        <v>40228</v>
      </c>
      <c r="C103" s="5">
        <v>8</v>
      </c>
      <c r="D103" s="5">
        <v>2</v>
      </c>
      <c r="E103" s="5">
        <v>2010</v>
      </c>
      <c r="F103" s="5" t="s">
        <v>27</v>
      </c>
      <c r="G103" s="5" t="s">
        <v>10</v>
      </c>
      <c r="H103" s="7">
        <v>24319.49</v>
      </c>
      <c r="I103" s="7">
        <v>27957.41</v>
      </c>
      <c r="J103" s="7">
        <v>3637.9199999999983</v>
      </c>
      <c r="K103" s="8">
        <v>0.14958866324910589</v>
      </c>
    </row>
    <row r="104" spans="1:11" x14ac:dyDescent="0.3">
      <c r="A104" s="5" t="s">
        <v>44</v>
      </c>
      <c r="B104" s="6">
        <v>40228</v>
      </c>
      <c r="C104" s="5">
        <v>8</v>
      </c>
      <c r="D104" s="5">
        <v>2</v>
      </c>
      <c r="E104" s="5">
        <v>2010</v>
      </c>
      <c r="F104" s="5" t="s">
        <v>29</v>
      </c>
      <c r="G104" s="5" t="s">
        <v>10</v>
      </c>
      <c r="H104" s="7">
        <v>71737</v>
      </c>
      <c r="I104" s="7">
        <v>75696.53</v>
      </c>
      <c r="J104" s="7">
        <v>3959.5299999999988</v>
      </c>
      <c r="K104" s="8">
        <v>5.5195087611692693E-2</v>
      </c>
    </row>
    <row r="105" spans="1:11" x14ac:dyDescent="0.3">
      <c r="A105" s="5" t="s">
        <v>44</v>
      </c>
      <c r="B105" s="6">
        <v>40228</v>
      </c>
      <c r="C105" s="5">
        <v>8</v>
      </c>
      <c r="D105" s="5">
        <v>2</v>
      </c>
      <c r="E105" s="5">
        <v>2010</v>
      </c>
      <c r="F105" s="5" t="s">
        <v>30</v>
      </c>
      <c r="G105" s="5" t="s">
        <v>10</v>
      </c>
      <c r="H105" s="7">
        <v>15519.24</v>
      </c>
      <c r="I105" s="7">
        <v>17583.7</v>
      </c>
      <c r="J105" s="7">
        <v>2064.4600000000009</v>
      </c>
      <c r="K105" s="8">
        <v>0.13302584404906431</v>
      </c>
    </row>
    <row r="106" spans="1:11" x14ac:dyDescent="0.3">
      <c r="A106" s="5" t="s">
        <v>44</v>
      </c>
      <c r="B106" s="6">
        <v>40228</v>
      </c>
      <c r="C106" s="5">
        <v>8</v>
      </c>
      <c r="D106" s="5">
        <v>2</v>
      </c>
      <c r="E106" s="5">
        <v>2010</v>
      </c>
      <c r="F106" s="5" t="s">
        <v>9</v>
      </c>
      <c r="G106" s="5" t="s">
        <v>9</v>
      </c>
      <c r="H106" s="7">
        <v>75189.08</v>
      </c>
      <c r="I106" s="7">
        <v>87973.07</v>
      </c>
      <c r="J106" s="7">
        <v>12783.990000000005</v>
      </c>
      <c r="K106" s="8">
        <v>0.1700245567574441</v>
      </c>
    </row>
    <row r="107" spans="1:11" x14ac:dyDescent="0.3">
      <c r="A107" s="5" t="s">
        <v>44</v>
      </c>
      <c r="B107" s="6">
        <v>40228</v>
      </c>
      <c r="C107" s="5">
        <v>8</v>
      </c>
      <c r="D107" s="5">
        <v>2</v>
      </c>
      <c r="E107" s="5">
        <v>2010</v>
      </c>
      <c r="F107" s="5" t="s">
        <v>33</v>
      </c>
      <c r="G107" s="5" t="s">
        <v>7</v>
      </c>
      <c r="H107" s="7">
        <v>3261</v>
      </c>
      <c r="I107" s="7">
        <v>5518.37</v>
      </c>
      <c r="J107" s="7">
        <v>2257.37</v>
      </c>
      <c r="K107" s="8">
        <v>0.69223244403557183</v>
      </c>
    </row>
    <row r="108" spans="1:11" x14ac:dyDescent="0.3">
      <c r="A108" s="5" t="s">
        <v>44</v>
      </c>
      <c r="B108" s="6">
        <v>40228</v>
      </c>
      <c r="C108" s="5">
        <v>8</v>
      </c>
      <c r="D108" s="5">
        <v>2</v>
      </c>
      <c r="E108" s="5">
        <v>2010</v>
      </c>
      <c r="F108" s="5" t="s">
        <v>35</v>
      </c>
      <c r="G108" s="5" t="s">
        <v>11</v>
      </c>
      <c r="H108" s="7">
        <v>2587</v>
      </c>
      <c r="I108" s="7">
        <v>2743.94</v>
      </c>
      <c r="J108" s="7">
        <v>156.94000000000005</v>
      </c>
      <c r="K108" s="8">
        <v>6.0664862775415558E-2</v>
      </c>
    </row>
    <row r="109" spans="1:11" x14ac:dyDescent="0.3">
      <c r="A109" s="5" t="s">
        <v>44</v>
      </c>
      <c r="B109" s="6">
        <v>40228</v>
      </c>
      <c r="C109" s="5">
        <v>8</v>
      </c>
      <c r="D109" s="5">
        <v>2</v>
      </c>
      <c r="E109" s="5">
        <v>2010</v>
      </c>
      <c r="F109" s="5" t="s">
        <v>36</v>
      </c>
      <c r="G109" s="5" t="s">
        <v>11</v>
      </c>
      <c r="H109" s="7">
        <v>28799.49</v>
      </c>
      <c r="I109" s="7">
        <v>29782.34</v>
      </c>
      <c r="J109" s="7">
        <v>982.84999999999854</v>
      </c>
      <c r="K109" s="8">
        <v>3.4127340449431519E-2</v>
      </c>
    </row>
    <row r="110" spans="1:11" x14ac:dyDescent="0.3">
      <c r="A110" s="5" t="s">
        <v>44</v>
      </c>
      <c r="B110" s="6">
        <v>40228</v>
      </c>
      <c r="C110" s="5">
        <v>8</v>
      </c>
      <c r="D110" s="5">
        <v>2</v>
      </c>
      <c r="E110" s="5">
        <v>2010</v>
      </c>
      <c r="F110" s="5" t="s">
        <v>37</v>
      </c>
      <c r="G110" s="5" t="s">
        <v>11</v>
      </c>
      <c r="H110" s="7">
        <v>117983.28</v>
      </c>
      <c r="I110" s="7">
        <v>108175.06</v>
      </c>
      <c r="J110" s="7">
        <v>-9808.2200000000012</v>
      </c>
      <c r="K110" s="8">
        <v>-8.3132287897064741E-2</v>
      </c>
    </row>
    <row r="111" spans="1:11" x14ac:dyDescent="0.3">
      <c r="A111" s="5" t="s">
        <v>44</v>
      </c>
      <c r="B111" s="6">
        <v>40228</v>
      </c>
      <c r="C111" s="5">
        <v>8</v>
      </c>
      <c r="D111" s="5">
        <v>2</v>
      </c>
      <c r="E111" s="5">
        <v>2010</v>
      </c>
      <c r="F111" s="5" t="s">
        <v>38</v>
      </c>
      <c r="G111" s="5" t="s">
        <v>11</v>
      </c>
      <c r="H111" s="7">
        <v>85511.24</v>
      </c>
      <c r="I111" s="7">
        <v>88601.37</v>
      </c>
      <c r="J111" s="7">
        <v>3090.1299999999901</v>
      </c>
      <c r="K111" s="8">
        <v>3.6137120687291982E-2</v>
      </c>
    </row>
    <row r="112" spans="1:11" x14ac:dyDescent="0.3">
      <c r="A112" s="5" t="s">
        <v>44</v>
      </c>
      <c r="B112" s="6">
        <v>40229</v>
      </c>
      <c r="C112" s="5">
        <v>8</v>
      </c>
      <c r="D112" s="5">
        <v>2</v>
      </c>
      <c r="E112" s="5">
        <v>2010</v>
      </c>
      <c r="F112" s="5" t="s">
        <v>14</v>
      </c>
      <c r="G112" s="5" t="s">
        <v>6</v>
      </c>
      <c r="H112" s="7">
        <v>5031</v>
      </c>
      <c r="I112" s="7">
        <v>5816.23</v>
      </c>
      <c r="J112" s="7">
        <v>785.22999999999956</v>
      </c>
      <c r="K112" s="8">
        <v>0.15607831445040737</v>
      </c>
    </row>
    <row r="113" spans="1:11" x14ac:dyDescent="0.3">
      <c r="A113" s="5" t="s">
        <v>44</v>
      </c>
      <c r="B113" s="6">
        <v>40229</v>
      </c>
      <c r="C113" s="5">
        <v>8</v>
      </c>
      <c r="D113" s="5">
        <v>2</v>
      </c>
      <c r="E113" s="5">
        <v>2010</v>
      </c>
      <c r="F113" s="5" t="s">
        <v>15</v>
      </c>
      <c r="G113" s="5" t="s">
        <v>6</v>
      </c>
      <c r="H113" s="7">
        <v>69519.5</v>
      </c>
      <c r="I113" s="7">
        <v>78148.62</v>
      </c>
      <c r="J113" s="7">
        <v>8629.1199999999953</v>
      </c>
      <c r="K113" s="8">
        <v>0.12412517351246766</v>
      </c>
    </row>
    <row r="114" spans="1:11" x14ac:dyDescent="0.3">
      <c r="A114" s="5" t="s">
        <v>44</v>
      </c>
      <c r="B114" s="6">
        <v>40229</v>
      </c>
      <c r="C114" s="5">
        <v>8</v>
      </c>
      <c r="D114" s="5">
        <v>2</v>
      </c>
      <c r="E114" s="5">
        <v>2010</v>
      </c>
      <c r="F114" s="5" t="s">
        <v>16</v>
      </c>
      <c r="G114" s="5" t="s">
        <v>6</v>
      </c>
      <c r="H114" s="7">
        <v>56268.11</v>
      </c>
      <c r="I114" s="7">
        <v>59937.25</v>
      </c>
      <c r="J114" s="7">
        <v>3669.1399999999994</v>
      </c>
      <c r="K114" s="8">
        <v>6.5208161425716976E-2</v>
      </c>
    </row>
    <row r="115" spans="1:11" x14ac:dyDescent="0.3">
      <c r="A115" s="5" t="s">
        <v>44</v>
      </c>
      <c r="B115" s="6">
        <v>40229</v>
      </c>
      <c r="C115" s="5">
        <v>8</v>
      </c>
      <c r="D115" s="5">
        <v>2</v>
      </c>
      <c r="E115" s="5">
        <v>2010</v>
      </c>
      <c r="F115" s="5" t="s">
        <v>17</v>
      </c>
      <c r="G115" s="5" t="s">
        <v>6</v>
      </c>
      <c r="H115" s="7">
        <v>672</v>
      </c>
      <c r="I115" s="7">
        <v>678.51</v>
      </c>
      <c r="J115" s="7">
        <v>6.5099999999999909</v>
      </c>
      <c r="K115" s="8">
        <v>9.6874999999999861E-3</v>
      </c>
    </row>
    <row r="116" spans="1:11" x14ac:dyDescent="0.3">
      <c r="A116" s="5" t="s">
        <v>44</v>
      </c>
      <c r="B116" s="6">
        <v>40229</v>
      </c>
      <c r="C116" s="5">
        <v>8</v>
      </c>
      <c r="D116" s="5">
        <v>2</v>
      </c>
      <c r="E116" s="5">
        <v>2010</v>
      </c>
      <c r="F116" s="5" t="s">
        <v>18</v>
      </c>
      <c r="G116" s="5" t="s">
        <v>6</v>
      </c>
      <c r="H116" s="7">
        <v>8425.01</v>
      </c>
      <c r="I116" s="7">
        <v>8888.4599999999991</v>
      </c>
      <c r="J116" s="7">
        <v>463.44999999999891</v>
      </c>
      <c r="K116" s="8">
        <v>5.5008836784763329E-2</v>
      </c>
    </row>
    <row r="117" spans="1:11" x14ac:dyDescent="0.3">
      <c r="A117" s="5" t="s">
        <v>44</v>
      </c>
      <c r="B117" s="6">
        <v>40229</v>
      </c>
      <c r="C117" s="5">
        <v>8</v>
      </c>
      <c r="D117" s="5">
        <v>2</v>
      </c>
      <c r="E117" s="5">
        <v>2010</v>
      </c>
      <c r="F117" s="5" t="s">
        <v>19</v>
      </c>
      <c r="G117" s="5" t="s">
        <v>5</v>
      </c>
      <c r="H117" s="7">
        <v>104599.65</v>
      </c>
      <c r="I117" s="7">
        <v>109578.24000000001</v>
      </c>
      <c r="J117" s="7">
        <v>4978.5900000000111</v>
      </c>
      <c r="K117" s="8">
        <v>4.7596621977224696E-2</v>
      </c>
    </row>
    <row r="118" spans="1:11" x14ac:dyDescent="0.3">
      <c r="A118" s="5" t="s">
        <v>44</v>
      </c>
      <c r="B118" s="6">
        <v>40229</v>
      </c>
      <c r="C118" s="5">
        <v>8</v>
      </c>
      <c r="D118" s="5">
        <v>2</v>
      </c>
      <c r="E118" s="5">
        <v>2010</v>
      </c>
      <c r="F118" s="5" t="s">
        <v>5</v>
      </c>
      <c r="G118" s="5" t="s">
        <v>5</v>
      </c>
      <c r="H118" s="7">
        <v>322887.46000000002</v>
      </c>
      <c r="I118" s="7">
        <v>332795.03999999998</v>
      </c>
      <c r="J118" s="7">
        <v>9907.5799999999581</v>
      </c>
      <c r="K118" s="8">
        <v>3.0684313351778843E-2</v>
      </c>
    </row>
    <row r="119" spans="1:11" x14ac:dyDescent="0.3">
      <c r="A119" s="5" t="s">
        <v>44</v>
      </c>
      <c r="B119" s="6">
        <v>40229</v>
      </c>
      <c r="C119" s="5">
        <v>8</v>
      </c>
      <c r="D119" s="5">
        <v>2</v>
      </c>
      <c r="E119" s="5">
        <v>2010</v>
      </c>
      <c r="F119" s="5" t="s">
        <v>20</v>
      </c>
      <c r="G119" s="5" t="s">
        <v>5</v>
      </c>
      <c r="H119" s="7">
        <v>67860.98</v>
      </c>
      <c r="I119" s="7">
        <v>70084.09</v>
      </c>
      <c r="J119" s="7">
        <v>2223.1100000000006</v>
      </c>
      <c r="K119" s="8">
        <v>3.2759768573928649E-2</v>
      </c>
    </row>
    <row r="120" spans="1:11" x14ac:dyDescent="0.3">
      <c r="A120" s="5" t="s">
        <v>44</v>
      </c>
      <c r="B120" s="6">
        <v>40229</v>
      </c>
      <c r="C120" s="5">
        <v>8</v>
      </c>
      <c r="D120" s="5">
        <v>2</v>
      </c>
      <c r="E120" s="5">
        <v>2010</v>
      </c>
      <c r="F120" s="5" t="s">
        <v>21</v>
      </c>
      <c r="G120" s="5" t="s">
        <v>5</v>
      </c>
      <c r="H120" s="7">
        <v>109622.55</v>
      </c>
      <c r="I120" s="7">
        <v>112122.08</v>
      </c>
      <c r="J120" s="7">
        <v>2499.5299999999988</v>
      </c>
      <c r="K120" s="8">
        <v>2.2801239343547462E-2</v>
      </c>
    </row>
    <row r="121" spans="1:11" x14ac:dyDescent="0.3">
      <c r="A121" s="5" t="s">
        <v>44</v>
      </c>
      <c r="B121" s="6">
        <v>40229</v>
      </c>
      <c r="C121" s="5">
        <v>8</v>
      </c>
      <c r="D121" s="5">
        <v>2</v>
      </c>
      <c r="E121" s="5">
        <v>2010</v>
      </c>
      <c r="F121" s="5" t="s">
        <v>22</v>
      </c>
      <c r="G121" s="5" t="s">
        <v>8</v>
      </c>
      <c r="H121" s="7">
        <v>293751.7</v>
      </c>
      <c r="I121" s="7">
        <v>300705.18</v>
      </c>
      <c r="J121" s="7">
        <v>6953.4799999999814</v>
      </c>
      <c r="K121" s="8">
        <v>2.3671284285333435E-2</v>
      </c>
    </row>
    <row r="122" spans="1:11" x14ac:dyDescent="0.3">
      <c r="A122" s="5" t="s">
        <v>44</v>
      </c>
      <c r="B122" s="6">
        <v>40229</v>
      </c>
      <c r="C122" s="5">
        <v>8</v>
      </c>
      <c r="D122" s="5">
        <v>2</v>
      </c>
      <c r="E122" s="5">
        <v>2010</v>
      </c>
      <c r="F122" s="5" t="s">
        <v>23</v>
      </c>
      <c r="G122" s="5" t="s">
        <v>8</v>
      </c>
      <c r="H122" s="7">
        <v>78779.41</v>
      </c>
      <c r="I122" s="7">
        <v>80339.23</v>
      </c>
      <c r="J122" s="7">
        <v>1559.8199999999924</v>
      </c>
      <c r="K122" s="8">
        <v>1.9799843639346785E-2</v>
      </c>
    </row>
    <row r="123" spans="1:11" x14ac:dyDescent="0.3">
      <c r="A123" s="5" t="s">
        <v>44</v>
      </c>
      <c r="B123" s="6">
        <v>40229</v>
      </c>
      <c r="C123" s="5">
        <v>8</v>
      </c>
      <c r="D123" s="5">
        <v>2</v>
      </c>
      <c r="E123" s="5">
        <v>2010</v>
      </c>
      <c r="F123" s="5" t="s">
        <v>24</v>
      </c>
      <c r="G123" s="5" t="s">
        <v>8</v>
      </c>
      <c r="H123" s="7">
        <v>63793</v>
      </c>
      <c r="I123" s="7">
        <v>64698.18</v>
      </c>
      <c r="J123" s="7">
        <v>905.18000000000029</v>
      </c>
      <c r="K123" s="8">
        <v>1.4189331117834251E-2</v>
      </c>
    </row>
    <row r="124" spans="1:11" x14ac:dyDescent="0.3">
      <c r="A124" s="5" t="s">
        <v>44</v>
      </c>
      <c r="B124" s="6">
        <v>40229</v>
      </c>
      <c r="C124" s="5">
        <v>8</v>
      </c>
      <c r="D124" s="5">
        <v>2</v>
      </c>
      <c r="E124" s="5">
        <v>2010</v>
      </c>
      <c r="F124" s="5" t="s">
        <v>25</v>
      </c>
      <c r="G124" s="5" t="s">
        <v>8</v>
      </c>
      <c r="H124" s="7">
        <v>2436</v>
      </c>
      <c r="I124" s="7">
        <v>2496.06</v>
      </c>
      <c r="J124" s="7">
        <v>60.059999999999945</v>
      </c>
      <c r="K124" s="8">
        <v>2.4655172413793083E-2</v>
      </c>
    </row>
    <row r="125" spans="1:11" x14ac:dyDescent="0.3">
      <c r="A125" s="5" t="s">
        <v>44</v>
      </c>
      <c r="B125" s="6">
        <v>40229</v>
      </c>
      <c r="C125" s="5">
        <v>8</v>
      </c>
      <c r="D125" s="5">
        <v>2</v>
      </c>
      <c r="E125" s="5">
        <v>2010</v>
      </c>
      <c r="F125" s="5" t="s">
        <v>27</v>
      </c>
      <c r="G125" s="5" t="s">
        <v>10</v>
      </c>
      <c r="H125" s="7">
        <v>31891.69</v>
      </c>
      <c r="I125" s="7">
        <v>36594.300000000003</v>
      </c>
      <c r="J125" s="7">
        <v>4702.6100000000042</v>
      </c>
      <c r="K125" s="8">
        <v>0.14745565380824924</v>
      </c>
    </row>
    <row r="126" spans="1:11" x14ac:dyDescent="0.3">
      <c r="A126" s="5" t="s">
        <v>44</v>
      </c>
      <c r="B126" s="6">
        <v>40229</v>
      </c>
      <c r="C126" s="5">
        <v>8</v>
      </c>
      <c r="D126" s="5">
        <v>2</v>
      </c>
      <c r="E126" s="5">
        <v>2010</v>
      </c>
      <c r="F126" s="5" t="s">
        <v>29</v>
      </c>
      <c r="G126" s="5" t="s">
        <v>10</v>
      </c>
      <c r="H126" s="7">
        <v>142414</v>
      </c>
      <c r="I126" s="7">
        <v>148773.71</v>
      </c>
      <c r="J126" s="7">
        <v>6359.7099999999919</v>
      </c>
      <c r="K126" s="8">
        <v>4.4656494445770724E-2</v>
      </c>
    </row>
    <row r="127" spans="1:11" x14ac:dyDescent="0.3">
      <c r="A127" s="5" t="s">
        <v>44</v>
      </c>
      <c r="B127" s="6">
        <v>40229</v>
      </c>
      <c r="C127" s="5">
        <v>8</v>
      </c>
      <c r="D127" s="5">
        <v>2</v>
      </c>
      <c r="E127" s="5">
        <v>2010</v>
      </c>
      <c r="F127" s="5" t="s">
        <v>30</v>
      </c>
      <c r="G127" s="5" t="s">
        <v>10</v>
      </c>
      <c r="H127" s="7">
        <v>24344.880000000001</v>
      </c>
      <c r="I127" s="7">
        <v>27494.12</v>
      </c>
      <c r="J127" s="7">
        <v>3149.239999999998</v>
      </c>
      <c r="K127" s="8">
        <v>0.1293594382063086</v>
      </c>
    </row>
    <row r="128" spans="1:11" x14ac:dyDescent="0.3">
      <c r="A128" s="5" t="s">
        <v>44</v>
      </c>
      <c r="B128" s="6">
        <v>40229</v>
      </c>
      <c r="C128" s="5">
        <v>8</v>
      </c>
      <c r="D128" s="5">
        <v>2</v>
      </c>
      <c r="E128" s="5">
        <v>2010</v>
      </c>
      <c r="F128" s="5" t="s">
        <v>9</v>
      </c>
      <c r="G128" s="5" t="s">
        <v>9</v>
      </c>
      <c r="H128" s="7">
        <v>195663.68</v>
      </c>
      <c r="I128" s="7">
        <v>226046.16</v>
      </c>
      <c r="J128" s="7">
        <v>30382.48000000001</v>
      </c>
      <c r="K128" s="8">
        <v>0.15527909931981251</v>
      </c>
    </row>
    <row r="129" spans="1:11" x14ac:dyDescent="0.3">
      <c r="A129" s="5" t="s">
        <v>44</v>
      </c>
      <c r="B129" s="6">
        <v>40229</v>
      </c>
      <c r="C129" s="5">
        <v>8</v>
      </c>
      <c r="D129" s="5">
        <v>2</v>
      </c>
      <c r="E129" s="5">
        <v>2010</v>
      </c>
      <c r="F129" s="5" t="s">
        <v>33</v>
      </c>
      <c r="G129" s="5" t="s">
        <v>7</v>
      </c>
      <c r="H129" s="7">
        <v>7232</v>
      </c>
      <c r="I129" s="7">
        <v>12829.72</v>
      </c>
      <c r="J129" s="7">
        <v>5597.7199999999993</v>
      </c>
      <c r="K129" s="8">
        <v>0.77402101769911491</v>
      </c>
    </row>
    <row r="130" spans="1:11" x14ac:dyDescent="0.3">
      <c r="A130" s="5" t="s">
        <v>44</v>
      </c>
      <c r="B130" s="6">
        <v>40229</v>
      </c>
      <c r="C130" s="5">
        <v>8</v>
      </c>
      <c r="D130" s="5">
        <v>2</v>
      </c>
      <c r="E130" s="5">
        <v>2010</v>
      </c>
      <c r="F130" s="5" t="s">
        <v>35</v>
      </c>
      <c r="G130" s="5" t="s">
        <v>11</v>
      </c>
      <c r="H130" s="7">
        <v>6347</v>
      </c>
      <c r="I130" s="7">
        <v>6567.95</v>
      </c>
      <c r="J130" s="7">
        <v>220.94999999999982</v>
      </c>
      <c r="K130" s="8">
        <v>3.4811722073420488E-2</v>
      </c>
    </row>
    <row r="131" spans="1:11" x14ac:dyDescent="0.3">
      <c r="A131" s="5" t="s">
        <v>44</v>
      </c>
      <c r="B131" s="6">
        <v>40229</v>
      </c>
      <c r="C131" s="5">
        <v>8</v>
      </c>
      <c r="D131" s="5">
        <v>2</v>
      </c>
      <c r="E131" s="5">
        <v>2010</v>
      </c>
      <c r="F131" s="5" t="s">
        <v>36</v>
      </c>
      <c r="G131" s="5" t="s">
        <v>11</v>
      </c>
      <c r="H131" s="7">
        <v>85177.74</v>
      </c>
      <c r="I131" s="7">
        <v>88801.82</v>
      </c>
      <c r="J131" s="7">
        <v>3624.0800000000017</v>
      </c>
      <c r="K131" s="8">
        <v>4.2547266457175333E-2</v>
      </c>
    </row>
    <row r="132" spans="1:11" x14ac:dyDescent="0.3">
      <c r="A132" s="5" t="s">
        <v>44</v>
      </c>
      <c r="B132" s="6">
        <v>40229</v>
      </c>
      <c r="C132" s="5">
        <v>8</v>
      </c>
      <c r="D132" s="5">
        <v>2</v>
      </c>
      <c r="E132" s="5">
        <v>2010</v>
      </c>
      <c r="F132" s="5" t="s">
        <v>37</v>
      </c>
      <c r="G132" s="5" t="s">
        <v>11</v>
      </c>
      <c r="H132" s="7">
        <v>699873.42</v>
      </c>
      <c r="I132" s="7">
        <v>604406.99</v>
      </c>
      <c r="J132" s="7">
        <v>-95466.430000000051</v>
      </c>
      <c r="K132" s="8">
        <v>-0.13640528025767867</v>
      </c>
    </row>
    <row r="133" spans="1:11" x14ac:dyDescent="0.3">
      <c r="A133" s="5" t="s">
        <v>44</v>
      </c>
      <c r="B133" s="6">
        <v>40229</v>
      </c>
      <c r="C133" s="5">
        <v>8</v>
      </c>
      <c r="D133" s="5">
        <v>2</v>
      </c>
      <c r="E133" s="5">
        <v>2010</v>
      </c>
      <c r="F133" s="5" t="s">
        <v>38</v>
      </c>
      <c r="G133" s="5" t="s">
        <v>11</v>
      </c>
      <c r="H133" s="7">
        <v>146969.44</v>
      </c>
      <c r="I133" s="7">
        <v>149567.13</v>
      </c>
      <c r="J133" s="7">
        <v>2597.6900000000023</v>
      </c>
      <c r="K133" s="8">
        <v>1.7675035027690127E-2</v>
      </c>
    </row>
    <row r="134" spans="1:11" x14ac:dyDescent="0.3">
      <c r="A134" s="5" t="s">
        <v>44</v>
      </c>
      <c r="B134" s="6">
        <v>40230</v>
      </c>
      <c r="C134" s="5">
        <v>9</v>
      </c>
      <c r="D134" s="5">
        <v>2</v>
      </c>
      <c r="E134" s="5">
        <v>2010</v>
      </c>
      <c r="F134" s="5" t="s">
        <v>14</v>
      </c>
      <c r="G134" s="5" t="s">
        <v>6</v>
      </c>
      <c r="H134" s="7">
        <v>4090</v>
      </c>
      <c r="I134" s="7">
        <v>4733.22</v>
      </c>
      <c r="J134" s="7">
        <v>643.22000000000025</v>
      </c>
      <c r="K134" s="8">
        <v>0.15726650366748174</v>
      </c>
    </row>
    <row r="135" spans="1:11" x14ac:dyDescent="0.3">
      <c r="A135" s="5" t="s">
        <v>44</v>
      </c>
      <c r="B135" s="6">
        <v>40230</v>
      </c>
      <c r="C135" s="5">
        <v>9</v>
      </c>
      <c r="D135" s="5">
        <v>2</v>
      </c>
      <c r="E135" s="5">
        <v>2010</v>
      </c>
      <c r="F135" s="5" t="s">
        <v>15</v>
      </c>
      <c r="G135" s="5" t="s">
        <v>6</v>
      </c>
      <c r="H135" s="7">
        <v>63211.86</v>
      </c>
      <c r="I135" s="7">
        <v>72893.59</v>
      </c>
      <c r="J135" s="7">
        <v>9681.7299999999959</v>
      </c>
      <c r="K135" s="8">
        <v>0.15316318804730625</v>
      </c>
    </row>
    <row r="136" spans="1:11" x14ac:dyDescent="0.3">
      <c r="A136" s="5" t="s">
        <v>44</v>
      </c>
      <c r="B136" s="6">
        <v>40230</v>
      </c>
      <c r="C136" s="5">
        <v>9</v>
      </c>
      <c r="D136" s="5">
        <v>2</v>
      </c>
      <c r="E136" s="5">
        <v>2010</v>
      </c>
      <c r="F136" s="5" t="s">
        <v>16</v>
      </c>
      <c r="G136" s="5" t="s">
        <v>6</v>
      </c>
      <c r="H136" s="7">
        <v>82046.929999999993</v>
      </c>
      <c r="I136" s="7">
        <v>86975.51</v>
      </c>
      <c r="J136" s="7">
        <v>4928.5800000000017</v>
      </c>
      <c r="K136" s="8">
        <v>6.0070254913864564E-2</v>
      </c>
    </row>
    <row r="137" spans="1:11" x14ac:dyDescent="0.3">
      <c r="A137" s="5" t="s">
        <v>44</v>
      </c>
      <c r="B137" s="6">
        <v>40230</v>
      </c>
      <c r="C137" s="5">
        <v>9</v>
      </c>
      <c r="D137" s="5">
        <v>2</v>
      </c>
      <c r="E137" s="5">
        <v>2010</v>
      </c>
      <c r="F137" s="5" t="s">
        <v>17</v>
      </c>
      <c r="G137" s="5" t="s">
        <v>6</v>
      </c>
      <c r="H137" s="7">
        <v>768</v>
      </c>
      <c r="I137" s="7">
        <v>776</v>
      </c>
      <c r="J137" s="7">
        <v>8</v>
      </c>
      <c r="K137" s="8">
        <v>1.0416666666666666E-2</v>
      </c>
    </row>
    <row r="138" spans="1:11" x14ac:dyDescent="0.3">
      <c r="A138" s="5" t="s">
        <v>44</v>
      </c>
      <c r="B138" s="6">
        <v>40230</v>
      </c>
      <c r="C138" s="5">
        <v>9</v>
      </c>
      <c r="D138" s="5">
        <v>2</v>
      </c>
      <c r="E138" s="5">
        <v>2010</v>
      </c>
      <c r="F138" s="5" t="s">
        <v>18</v>
      </c>
      <c r="G138" s="5" t="s">
        <v>6</v>
      </c>
      <c r="H138" s="7">
        <v>9899.23</v>
      </c>
      <c r="I138" s="7">
        <v>10157.91</v>
      </c>
      <c r="J138" s="7">
        <v>258.68000000000029</v>
      </c>
      <c r="K138" s="8">
        <v>2.6131325365710292E-2</v>
      </c>
    </row>
    <row r="139" spans="1:11" x14ac:dyDescent="0.3">
      <c r="A139" s="5" t="s">
        <v>44</v>
      </c>
      <c r="B139" s="6">
        <v>40230</v>
      </c>
      <c r="C139" s="5">
        <v>9</v>
      </c>
      <c r="D139" s="5">
        <v>2</v>
      </c>
      <c r="E139" s="5">
        <v>2010</v>
      </c>
      <c r="F139" s="5" t="s">
        <v>19</v>
      </c>
      <c r="G139" s="5" t="s">
        <v>5</v>
      </c>
      <c r="H139" s="7">
        <v>90256.85</v>
      </c>
      <c r="I139" s="7">
        <v>94662.43</v>
      </c>
      <c r="J139" s="7">
        <v>4405.5799999999872</v>
      </c>
      <c r="K139" s="8">
        <v>4.8811586045823523E-2</v>
      </c>
    </row>
    <row r="140" spans="1:11" x14ac:dyDescent="0.3">
      <c r="A140" s="5" t="s">
        <v>44</v>
      </c>
      <c r="B140" s="6">
        <v>40230</v>
      </c>
      <c r="C140" s="5">
        <v>9</v>
      </c>
      <c r="D140" s="5">
        <v>2</v>
      </c>
      <c r="E140" s="5">
        <v>2010</v>
      </c>
      <c r="F140" s="5" t="s">
        <v>5</v>
      </c>
      <c r="G140" s="5" t="s">
        <v>5</v>
      </c>
      <c r="H140" s="7">
        <v>225981.18</v>
      </c>
      <c r="I140" s="7">
        <v>230807.26</v>
      </c>
      <c r="J140" s="7">
        <v>4826.0800000000163</v>
      </c>
      <c r="K140" s="8">
        <v>2.1356114699463098E-2</v>
      </c>
    </row>
    <row r="141" spans="1:11" x14ac:dyDescent="0.3">
      <c r="A141" s="5" t="s">
        <v>44</v>
      </c>
      <c r="B141" s="6">
        <v>40230</v>
      </c>
      <c r="C141" s="5">
        <v>9</v>
      </c>
      <c r="D141" s="5">
        <v>2</v>
      </c>
      <c r="E141" s="5">
        <v>2010</v>
      </c>
      <c r="F141" s="5" t="s">
        <v>20</v>
      </c>
      <c r="G141" s="5" t="s">
        <v>5</v>
      </c>
      <c r="H141" s="7">
        <v>64950.18</v>
      </c>
      <c r="I141" s="7">
        <v>66811.149999999994</v>
      </c>
      <c r="J141" s="7">
        <v>1860.9699999999939</v>
      </c>
      <c r="K141" s="8">
        <v>2.865226855414402E-2</v>
      </c>
    </row>
    <row r="142" spans="1:11" x14ac:dyDescent="0.3">
      <c r="A142" s="5" t="s">
        <v>44</v>
      </c>
      <c r="B142" s="6">
        <v>40230</v>
      </c>
      <c r="C142" s="5">
        <v>9</v>
      </c>
      <c r="D142" s="5">
        <v>2</v>
      </c>
      <c r="E142" s="5">
        <v>2010</v>
      </c>
      <c r="F142" s="5" t="s">
        <v>21</v>
      </c>
      <c r="G142" s="5" t="s">
        <v>5</v>
      </c>
      <c r="H142" s="7">
        <v>112005.69</v>
      </c>
      <c r="I142" s="7">
        <v>113933.71</v>
      </c>
      <c r="J142" s="7">
        <v>1928.0200000000041</v>
      </c>
      <c r="K142" s="8">
        <v>1.7213589773876704E-2</v>
      </c>
    </row>
    <row r="143" spans="1:11" x14ac:dyDescent="0.3">
      <c r="A143" s="5" t="s">
        <v>44</v>
      </c>
      <c r="B143" s="6">
        <v>40230</v>
      </c>
      <c r="C143" s="5">
        <v>9</v>
      </c>
      <c r="D143" s="5">
        <v>2</v>
      </c>
      <c r="E143" s="5">
        <v>2010</v>
      </c>
      <c r="F143" s="5" t="s">
        <v>22</v>
      </c>
      <c r="G143" s="5" t="s">
        <v>8</v>
      </c>
      <c r="H143" s="7">
        <v>302973.90999999997</v>
      </c>
      <c r="I143" s="7">
        <v>307802.95</v>
      </c>
      <c r="J143" s="7">
        <v>4829.0400000000373</v>
      </c>
      <c r="K143" s="8">
        <v>1.5938798162521774E-2</v>
      </c>
    </row>
    <row r="144" spans="1:11" x14ac:dyDescent="0.3">
      <c r="A144" s="5" t="s">
        <v>44</v>
      </c>
      <c r="B144" s="6">
        <v>40230</v>
      </c>
      <c r="C144" s="5">
        <v>9</v>
      </c>
      <c r="D144" s="5">
        <v>2</v>
      </c>
      <c r="E144" s="5">
        <v>2010</v>
      </c>
      <c r="F144" s="5" t="s">
        <v>23</v>
      </c>
      <c r="G144" s="5" t="s">
        <v>8</v>
      </c>
      <c r="H144" s="7">
        <v>102552.81</v>
      </c>
      <c r="I144" s="7">
        <v>103768.96000000001</v>
      </c>
      <c r="J144" s="7">
        <v>1216.1500000000087</v>
      </c>
      <c r="K144" s="8">
        <v>1.1858768180023627E-2</v>
      </c>
    </row>
    <row r="145" spans="1:11" x14ac:dyDescent="0.3">
      <c r="A145" s="5" t="s">
        <v>44</v>
      </c>
      <c r="B145" s="6">
        <v>40230</v>
      </c>
      <c r="C145" s="5">
        <v>9</v>
      </c>
      <c r="D145" s="5">
        <v>2</v>
      </c>
      <c r="E145" s="5">
        <v>2010</v>
      </c>
      <c r="F145" s="5" t="s">
        <v>24</v>
      </c>
      <c r="G145" s="5" t="s">
        <v>8</v>
      </c>
      <c r="H145" s="7">
        <v>73218.990000000005</v>
      </c>
      <c r="I145" s="7">
        <v>74661.149999999994</v>
      </c>
      <c r="J145" s="7">
        <v>1442.1599999999889</v>
      </c>
      <c r="K145" s="8">
        <v>1.9696529547867141E-2</v>
      </c>
    </row>
    <row r="146" spans="1:11" x14ac:dyDescent="0.3">
      <c r="A146" s="5" t="s">
        <v>44</v>
      </c>
      <c r="B146" s="6">
        <v>40230</v>
      </c>
      <c r="C146" s="5">
        <v>9</v>
      </c>
      <c r="D146" s="5">
        <v>2</v>
      </c>
      <c r="E146" s="5">
        <v>2010</v>
      </c>
      <c r="F146" s="5" t="s">
        <v>25</v>
      </c>
      <c r="G146" s="5" t="s">
        <v>8</v>
      </c>
      <c r="H146" s="7">
        <v>3016</v>
      </c>
      <c r="I146" s="7">
        <v>3093.43</v>
      </c>
      <c r="J146" s="7">
        <v>77.429999999999836</v>
      </c>
      <c r="K146" s="8">
        <v>2.5673076923076868E-2</v>
      </c>
    </row>
    <row r="147" spans="1:11" x14ac:dyDescent="0.3">
      <c r="A147" s="5" t="s">
        <v>44</v>
      </c>
      <c r="B147" s="6">
        <v>40230</v>
      </c>
      <c r="C147" s="5">
        <v>9</v>
      </c>
      <c r="D147" s="5">
        <v>2</v>
      </c>
      <c r="E147" s="5">
        <v>2010</v>
      </c>
      <c r="F147" s="5" t="s">
        <v>27</v>
      </c>
      <c r="G147" s="5" t="s">
        <v>10</v>
      </c>
      <c r="H147" s="7">
        <v>23711.7</v>
      </c>
      <c r="I147" s="7">
        <v>27199.599999999999</v>
      </c>
      <c r="J147" s="7">
        <v>3487.8999999999978</v>
      </c>
      <c r="K147" s="8">
        <v>0.14709615928001779</v>
      </c>
    </row>
    <row r="148" spans="1:11" x14ac:dyDescent="0.3">
      <c r="A148" s="5" t="s">
        <v>44</v>
      </c>
      <c r="B148" s="6">
        <v>40230</v>
      </c>
      <c r="C148" s="5">
        <v>9</v>
      </c>
      <c r="D148" s="5">
        <v>2</v>
      </c>
      <c r="E148" s="5">
        <v>2010</v>
      </c>
      <c r="F148" s="5" t="s">
        <v>29</v>
      </c>
      <c r="G148" s="5" t="s">
        <v>10</v>
      </c>
      <c r="H148" s="7">
        <v>130435</v>
      </c>
      <c r="I148" s="7">
        <v>136344.48000000001</v>
      </c>
      <c r="J148" s="7">
        <v>5909.4800000000105</v>
      </c>
      <c r="K148" s="8">
        <v>4.5305937823437038E-2</v>
      </c>
    </row>
    <row r="149" spans="1:11" x14ac:dyDescent="0.3">
      <c r="A149" s="5" t="s">
        <v>44</v>
      </c>
      <c r="B149" s="6">
        <v>40230</v>
      </c>
      <c r="C149" s="5">
        <v>9</v>
      </c>
      <c r="D149" s="5">
        <v>2</v>
      </c>
      <c r="E149" s="5">
        <v>2010</v>
      </c>
      <c r="F149" s="5" t="s">
        <v>30</v>
      </c>
      <c r="G149" s="5" t="s">
        <v>10</v>
      </c>
      <c r="H149" s="7">
        <v>16774.599999999999</v>
      </c>
      <c r="I149" s="7">
        <v>18907.14</v>
      </c>
      <c r="J149" s="7">
        <v>2132.5400000000009</v>
      </c>
      <c r="K149" s="8">
        <v>0.1271291118715201</v>
      </c>
    </row>
    <row r="150" spans="1:11" x14ac:dyDescent="0.3">
      <c r="A150" s="5" t="s">
        <v>44</v>
      </c>
      <c r="B150" s="6">
        <v>40230</v>
      </c>
      <c r="C150" s="5">
        <v>9</v>
      </c>
      <c r="D150" s="5">
        <v>2</v>
      </c>
      <c r="E150" s="5">
        <v>2010</v>
      </c>
      <c r="F150" s="5" t="s">
        <v>9</v>
      </c>
      <c r="G150" s="5" t="s">
        <v>9</v>
      </c>
      <c r="H150" s="7">
        <v>151388.49</v>
      </c>
      <c r="I150" s="7">
        <v>174057.96</v>
      </c>
      <c r="J150" s="7">
        <v>22669.47</v>
      </c>
      <c r="K150" s="8">
        <v>0.14974368262739129</v>
      </c>
    </row>
    <row r="151" spans="1:11" x14ac:dyDescent="0.3">
      <c r="A151" s="5" t="s">
        <v>44</v>
      </c>
      <c r="B151" s="6">
        <v>40230</v>
      </c>
      <c r="C151" s="5">
        <v>9</v>
      </c>
      <c r="D151" s="5">
        <v>2</v>
      </c>
      <c r="E151" s="5">
        <v>2010</v>
      </c>
      <c r="F151" s="5" t="s">
        <v>33</v>
      </c>
      <c r="G151" s="5" t="s">
        <v>7</v>
      </c>
      <c r="H151" s="7">
        <v>5236</v>
      </c>
      <c r="I151" s="7">
        <v>9319.75</v>
      </c>
      <c r="J151" s="7">
        <v>4083.75</v>
      </c>
      <c r="K151" s="8">
        <v>0.77993697478991597</v>
      </c>
    </row>
    <row r="152" spans="1:11" x14ac:dyDescent="0.3">
      <c r="A152" s="5" t="s">
        <v>44</v>
      </c>
      <c r="B152" s="6">
        <v>40230</v>
      </c>
      <c r="C152" s="5">
        <v>9</v>
      </c>
      <c r="D152" s="5">
        <v>2</v>
      </c>
      <c r="E152" s="5">
        <v>2010</v>
      </c>
      <c r="F152" s="5" t="s">
        <v>35</v>
      </c>
      <c r="G152" s="5" t="s">
        <v>11</v>
      </c>
      <c r="H152" s="7">
        <v>5334</v>
      </c>
      <c r="I152" s="7">
        <v>5481.6</v>
      </c>
      <c r="J152" s="7">
        <v>147.60000000000036</v>
      </c>
      <c r="K152" s="8">
        <v>2.7671541057367896E-2</v>
      </c>
    </row>
    <row r="153" spans="1:11" x14ac:dyDescent="0.3">
      <c r="A153" s="5" t="s">
        <v>44</v>
      </c>
      <c r="B153" s="6">
        <v>40230</v>
      </c>
      <c r="C153" s="5">
        <v>9</v>
      </c>
      <c r="D153" s="5">
        <v>2</v>
      </c>
      <c r="E153" s="5">
        <v>2010</v>
      </c>
      <c r="F153" s="5" t="s">
        <v>36</v>
      </c>
      <c r="G153" s="5" t="s">
        <v>11</v>
      </c>
      <c r="H153" s="7">
        <v>65493</v>
      </c>
      <c r="I153" s="7">
        <v>68491.94</v>
      </c>
      <c r="J153" s="7">
        <v>2998.9400000000023</v>
      </c>
      <c r="K153" s="8">
        <v>4.5790237124578234E-2</v>
      </c>
    </row>
    <row r="154" spans="1:11" x14ac:dyDescent="0.3">
      <c r="A154" s="5" t="s">
        <v>44</v>
      </c>
      <c r="B154" s="6">
        <v>40230</v>
      </c>
      <c r="C154" s="5">
        <v>9</v>
      </c>
      <c r="D154" s="5">
        <v>2</v>
      </c>
      <c r="E154" s="5">
        <v>2010</v>
      </c>
      <c r="F154" s="5" t="s">
        <v>37</v>
      </c>
      <c r="G154" s="5" t="s">
        <v>11</v>
      </c>
      <c r="H154" s="7">
        <v>114898.71</v>
      </c>
      <c r="I154" s="7">
        <v>111345.56</v>
      </c>
      <c r="J154" s="7">
        <v>-3553.1500000000087</v>
      </c>
      <c r="K154" s="8">
        <v>-3.092419401401468E-2</v>
      </c>
    </row>
    <row r="155" spans="1:11" x14ac:dyDescent="0.3">
      <c r="A155" s="5" t="s">
        <v>44</v>
      </c>
      <c r="B155" s="6">
        <v>40230</v>
      </c>
      <c r="C155" s="5">
        <v>9</v>
      </c>
      <c r="D155" s="5">
        <v>2</v>
      </c>
      <c r="E155" s="5">
        <v>2010</v>
      </c>
      <c r="F155" s="5" t="s">
        <v>38</v>
      </c>
      <c r="G155" s="5" t="s">
        <v>11</v>
      </c>
      <c r="H155" s="7">
        <v>164039.51</v>
      </c>
      <c r="I155" s="7">
        <v>166970</v>
      </c>
      <c r="J155" s="7">
        <v>2930.4899999999907</v>
      </c>
      <c r="K155" s="8">
        <v>1.786453763486608E-2</v>
      </c>
    </row>
    <row r="156" spans="1:11" x14ac:dyDescent="0.3">
      <c r="A156" s="5" t="s">
        <v>44</v>
      </c>
      <c r="B156" s="6">
        <v>40231</v>
      </c>
      <c r="C156" s="5">
        <v>9</v>
      </c>
      <c r="D156" s="5">
        <v>2</v>
      </c>
      <c r="E156" s="5">
        <v>2010</v>
      </c>
      <c r="F156" s="5" t="s">
        <v>14</v>
      </c>
      <c r="G156" s="5" t="s">
        <v>6</v>
      </c>
      <c r="H156" s="7">
        <v>2040</v>
      </c>
      <c r="I156" s="7">
        <v>2347.04</v>
      </c>
      <c r="J156" s="7">
        <v>307.03999999999996</v>
      </c>
      <c r="K156" s="8">
        <v>0.1505098039215686</v>
      </c>
    </row>
    <row r="157" spans="1:11" x14ac:dyDescent="0.3">
      <c r="A157" s="5" t="s">
        <v>44</v>
      </c>
      <c r="B157" s="6">
        <v>40231</v>
      </c>
      <c r="C157" s="5">
        <v>9</v>
      </c>
      <c r="D157" s="5">
        <v>2</v>
      </c>
      <c r="E157" s="5">
        <v>2010</v>
      </c>
      <c r="F157" s="5" t="s">
        <v>15</v>
      </c>
      <c r="G157" s="5" t="s">
        <v>6</v>
      </c>
      <c r="H157" s="7">
        <v>32345.85</v>
      </c>
      <c r="I157" s="7">
        <v>35697.18</v>
      </c>
      <c r="J157" s="7">
        <v>3351.3300000000017</v>
      </c>
      <c r="K157" s="8">
        <v>0.10360927290517954</v>
      </c>
    </row>
    <row r="158" spans="1:11" x14ac:dyDescent="0.3">
      <c r="A158" s="5" t="s">
        <v>44</v>
      </c>
      <c r="B158" s="6">
        <v>40231</v>
      </c>
      <c r="C158" s="5">
        <v>9</v>
      </c>
      <c r="D158" s="5">
        <v>2</v>
      </c>
      <c r="E158" s="5">
        <v>2010</v>
      </c>
      <c r="F158" s="5" t="s">
        <v>16</v>
      </c>
      <c r="G158" s="5" t="s">
        <v>6</v>
      </c>
      <c r="H158" s="7">
        <v>33613.019999999997</v>
      </c>
      <c r="I158" s="7">
        <v>35699.07</v>
      </c>
      <c r="J158" s="7">
        <v>2086.0500000000029</v>
      </c>
      <c r="K158" s="8">
        <v>6.2060772879080878E-2</v>
      </c>
    </row>
    <row r="159" spans="1:11" x14ac:dyDescent="0.3">
      <c r="A159" s="5" t="s">
        <v>44</v>
      </c>
      <c r="B159" s="6">
        <v>40231</v>
      </c>
      <c r="C159" s="5">
        <v>9</v>
      </c>
      <c r="D159" s="5">
        <v>2</v>
      </c>
      <c r="E159" s="5">
        <v>2010</v>
      </c>
      <c r="F159" s="5" t="s">
        <v>17</v>
      </c>
      <c r="G159" s="5" t="s">
        <v>6</v>
      </c>
      <c r="H159" s="7">
        <v>288</v>
      </c>
      <c r="I159" s="7">
        <v>289.91000000000003</v>
      </c>
      <c r="J159" s="7">
        <v>1.910000000000025</v>
      </c>
      <c r="K159" s="8">
        <v>6.6319444444445314E-3</v>
      </c>
    </row>
    <row r="160" spans="1:11" x14ac:dyDescent="0.3">
      <c r="A160" s="5" t="s">
        <v>44</v>
      </c>
      <c r="B160" s="6">
        <v>40231</v>
      </c>
      <c r="C160" s="5">
        <v>9</v>
      </c>
      <c r="D160" s="5">
        <v>2</v>
      </c>
      <c r="E160" s="5">
        <v>2010</v>
      </c>
      <c r="F160" s="5" t="s">
        <v>18</v>
      </c>
      <c r="G160" s="5" t="s">
        <v>6</v>
      </c>
      <c r="H160" s="7">
        <v>2562</v>
      </c>
      <c r="I160" s="7">
        <v>2700.49</v>
      </c>
      <c r="J160" s="7">
        <v>138.48999999999978</v>
      </c>
      <c r="K160" s="8">
        <v>5.4055425448867989E-2</v>
      </c>
    </row>
    <row r="161" spans="1:11" x14ac:dyDescent="0.3">
      <c r="A161" s="5" t="s">
        <v>44</v>
      </c>
      <c r="B161" s="6">
        <v>40231</v>
      </c>
      <c r="C161" s="5">
        <v>9</v>
      </c>
      <c r="D161" s="5">
        <v>2</v>
      </c>
      <c r="E161" s="5">
        <v>2010</v>
      </c>
      <c r="F161" s="5" t="s">
        <v>19</v>
      </c>
      <c r="G161" s="5" t="s">
        <v>5</v>
      </c>
      <c r="H161" s="7">
        <v>42639.63</v>
      </c>
      <c r="I161" s="7">
        <v>44145.41</v>
      </c>
      <c r="J161" s="7">
        <v>1505.7800000000061</v>
      </c>
      <c r="K161" s="8">
        <v>3.5314096299616252E-2</v>
      </c>
    </row>
    <row r="162" spans="1:11" x14ac:dyDescent="0.3">
      <c r="A162" s="5" t="s">
        <v>44</v>
      </c>
      <c r="B162" s="6">
        <v>40231</v>
      </c>
      <c r="C162" s="5">
        <v>9</v>
      </c>
      <c r="D162" s="5">
        <v>2</v>
      </c>
      <c r="E162" s="5">
        <v>2010</v>
      </c>
      <c r="F162" s="5" t="s">
        <v>5</v>
      </c>
      <c r="G162" s="5" t="s">
        <v>5</v>
      </c>
      <c r="H162" s="7">
        <v>144367.23000000001</v>
      </c>
      <c r="I162" s="7">
        <v>149005.48000000001</v>
      </c>
      <c r="J162" s="7">
        <v>4638.25</v>
      </c>
      <c r="K162" s="8">
        <v>3.2128136004271883E-2</v>
      </c>
    </row>
    <row r="163" spans="1:11" x14ac:dyDescent="0.3">
      <c r="A163" s="5" t="s">
        <v>44</v>
      </c>
      <c r="B163" s="6">
        <v>40231</v>
      </c>
      <c r="C163" s="5">
        <v>9</v>
      </c>
      <c r="D163" s="5">
        <v>2</v>
      </c>
      <c r="E163" s="5">
        <v>2010</v>
      </c>
      <c r="F163" s="5" t="s">
        <v>20</v>
      </c>
      <c r="G163" s="5" t="s">
        <v>5</v>
      </c>
      <c r="H163" s="7">
        <v>44961.83</v>
      </c>
      <c r="I163" s="7">
        <v>46168.13</v>
      </c>
      <c r="J163" s="7">
        <v>1206.2999999999956</v>
      </c>
      <c r="K163" s="8">
        <v>2.6829423980296079E-2</v>
      </c>
    </row>
    <row r="164" spans="1:11" x14ac:dyDescent="0.3">
      <c r="A164" s="5" t="s">
        <v>44</v>
      </c>
      <c r="B164" s="6">
        <v>40231</v>
      </c>
      <c r="C164" s="5">
        <v>9</v>
      </c>
      <c r="D164" s="5">
        <v>2</v>
      </c>
      <c r="E164" s="5">
        <v>2010</v>
      </c>
      <c r="F164" s="5" t="s">
        <v>21</v>
      </c>
      <c r="G164" s="5" t="s">
        <v>5</v>
      </c>
      <c r="H164" s="7">
        <v>46689.18</v>
      </c>
      <c r="I164" s="7">
        <v>47386.39</v>
      </c>
      <c r="J164" s="7">
        <v>697.20999999999913</v>
      </c>
      <c r="K164" s="8">
        <v>1.4933010174948438E-2</v>
      </c>
    </row>
    <row r="165" spans="1:11" x14ac:dyDescent="0.3">
      <c r="A165" s="5" t="s">
        <v>44</v>
      </c>
      <c r="B165" s="6">
        <v>40231</v>
      </c>
      <c r="C165" s="5">
        <v>9</v>
      </c>
      <c r="D165" s="5">
        <v>2</v>
      </c>
      <c r="E165" s="5">
        <v>2010</v>
      </c>
      <c r="F165" s="5" t="s">
        <v>22</v>
      </c>
      <c r="G165" s="5" t="s">
        <v>8</v>
      </c>
      <c r="H165" s="7">
        <v>158538.35999999999</v>
      </c>
      <c r="I165" s="7">
        <v>163402.4</v>
      </c>
      <c r="J165" s="7">
        <v>4864.0400000000081</v>
      </c>
      <c r="K165" s="8">
        <v>3.068052425923927E-2</v>
      </c>
    </row>
    <row r="166" spans="1:11" x14ac:dyDescent="0.3">
      <c r="A166" s="5" t="s">
        <v>44</v>
      </c>
      <c r="B166" s="6">
        <v>40231</v>
      </c>
      <c r="C166" s="5">
        <v>9</v>
      </c>
      <c r="D166" s="5">
        <v>2</v>
      </c>
      <c r="E166" s="5">
        <v>2010</v>
      </c>
      <c r="F166" s="5" t="s">
        <v>23</v>
      </c>
      <c r="G166" s="5" t="s">
        <v>8</v>
      </c>
      <c r="H166" s="7">
        <v>66205.97</v>
      </c>
      <c r="I166" s="7">
        <v>67448.009999999995</v>
      </c>
      <c r="J166" s="7">
        <v>1242.0399999999936</v>
      </c>
      <c r="K166" s="8">
        <v>1.8760241712340951E-2</v>
      </c>
    </row>
    <row r="167" spans="1:11" x14ac:dyDescent="0.3">
      <c r="A167" s="5" t="s">
        <v>44</v>
      </c>
      <c r="B167" s="6">
        <v>40231</v>
      </c>
      <c r="C167" s="5">
        <v>9</v>
      </c>
      <c r="D167" s="5">
        <v>2</v>
      </c>
      <c r="E167" s="5">
        <v>2010</v>
      </c>
      <c r="F167" s="5" t="s">
        <v>24</v>
      </c>
      <c r="G167" s="5" t="s">
        <v>8</v>
      </c>
      <c r="H167" s="7">
        <v>37695</v>
      </c>
      <c r="I167" s="7">
        <v>38233.800000000003</v>
      </c>
      <c r="J167" s="7">
        <v>538.80000000000291</v>
      </c>
      <c r="K167" s="8">
        <v>1.4293672900915318E-2</v>
      </c>
    </row>
    <row r="168" spans="1:11" x14ac:dyDescent="0.3">
      <c r="A168" s="5" t="s">
        <v>44</v>
      </c>
      <c r="B168" s="6">
        <v>40231</v>
      </c>
      <c r="C168" s="5">
        <v>9</v>
      </c>
      <c r="D168" s="5">
        <v>2</v>
      </c>
      <c r="E168" s="5">
        <v>2010</v>
      </c>
      <c r="F168" s="5" t="s">
        <v>25</v>
      </c>
      <c r="G168" s="5" t="s">
        <v>8</v>
      </c>
      <c r="H168" s="7">
        <v>1252</v>
      </c>
      <c r="I168" s="7">
        <v>1289.3399999999999</v>
      </c>
      <c r="J168" s="7">
        <v>37.339999999999918</v>
      </c>
      <c r="K168" s="8">
        <v>2.9824281150159677E-2</v>
      </c>
    </row>
    <row r="169" spans="1:11" x14ac:dyDescent="0.3">
      <c r="A169" s="5" t="s">
        <v>44</v>
      </c>
      <c r="B169" s="6">
        <v>40231</v>
      </c>
      <c r="C169" s="5">
        <v>9</v>
      </c>
      <c r="D169" s="5">
        <v>2</v>
      </c>
      <c r="E169" s="5">
        <v>2010</v>
      </c>
      <c r="F169" s="5" t="s">
        <v>27</v>
      </c>
      <c r="G169" s="5" t="s">
        <v>10</v>
      </c>
      <c r="H169" s="7">
        <v>11155.29</v>
      </c>
      <c r="I169" s="7">
        <v>12825.04</v>
      </c>
      <c r="J169" s="7">
        <v>1669.75</v>
      </c>
      <c r="K169" s="8">
        <v>0.14968234801605335</v>
      </c>
    </row>
    <row r="170" spans="1:11" x14ac:dyDescent="0.3">
      <c r="A170" s="5" t="s">
        <v>44</v>
      </c>
      <c r="B170" s="6">
        <v>40231</v>
      </c>
      <c r="C170" s="5">
        <v>9</v>
      </c>
      <c r="D170" s="5">
        <v>2</v>
      </c>
      <c r="E170" s="5">
        <v>2010</v>
      </c>
      <c r="F170" s="5" t="s">
        <v>29</v>
      </c>
      <c r="G170" s="5" t="s">
        <v>10</v>
      </c>
      <c r="H170" s="7">
        <v>60971</v>
      </c>
      <c r="I170" s="7">
        <v>63685.31</v>
      </c>
      <c r="J170" s="7">
        <v>2714.3099999999977</v>
      </c>
      <c r="K170" s="8">
        <v>4.4518049564547045E-2</v>
      </c>
    </row>
    <row r="171" spans="1:11" x14ac:dyDescent="0.3">
      <c r="A171" s="5" t="s">
        <v>44</v>
      </c>
      <c r="B171" s="6">
        <v>40231</v>
      </c>
      <c r="C171" s="5">
        <v>9</v>
      </c>
      <c r="D171" s="5">
        <v>2</v>
      </c>
      <c r="E171" s="5">
        <v>2010</v>
      </c>
      <c r="F171" s="5" t="s">
        <v>30</v>
      </c>
      <c r="G171" s="5" t="s">
        <v>10</v>
      </c>
      <c r="H171" s="7">
        <v>8003.78</v>
      </c>
      <c r="I171" s="7">
        <v>9045.81</v>
      </c>
      <c r="J171" s="7">
        <v>1042.0299999999997</v>
      </c>
      <c r="K171" s="8">
        <v>0.13019223416935496</v>
      </c>
    </row>
    <row r="172" spans="1:11" x14ac:dyDescent="0.3">
      <c r="A172" s="5" t="s">
        <v>44</v>
      </c>
      <c r="B172" s="6">
        <v>40231</v>
      </c>
      <c r="C172" s="5">
        <v>9</v>
      </c>
      <c r="D172" s="5">
        <v>2</v>
      </c>
      <c r="E172" s="5">
        <v>2010</v>
      </c>
      <c r="F172" s="5" t="s">
        <v>9</v>
      </c>
      <c r="G172" s="5" t="s">
        <v>9</v>
      </c>
      <c r="H172" s="7">
        <v>220499.27</v>
      </c>
      <c r="I172" s="7">
        <v>165863.82</v>
      </c>
      <c r="J172" s="7">
        <v>-54635.449999999983</v>
      </c>
      <c r="K172" s="8">
        <v>-0.24778063891095869</v>
      </c>
    </row>
    <row r="173" spans="1:11" x14ac:dyDescent="0.3">
      <c r="A173" s="5" t="s">
        <v>44</v>
      </c>
      <c r="B173" s="6">
        <v>40231</v>
      </c>
      <c r="C173" s="5">
        <v>9</v>
      </c>
      <c r="D173" s="5">
        <v>2</v>
      </c>
      <c r="E173" s="5">
        <v>2010</v>
      </c>
      <c r="F173" s="5" t="s">
        <v>33</v>
      </c>
      <c r="G173" s="5" t="s">
        <v>7</v>
      </c>
      <c r="H173" s="7">
        <v>2533</v>
      </c>
      <c r="I173" s="7">
        <v>4166.38</v>
      </c>
      <c r="J173" s="7">
        <v>1633.38</v>
      </c>
      <c r="K173" s="8">
        <v>0.64484011054086066</v>
      </c>
    </row>
    <row r="174" spans="1:11" x14ac:dyDescent="0.3">
      <c r="A174" s="5" t="s">
        <v>44</v>
      </c>
      <c r="B174" s="6">
        <v>40231</v>
      </c>
      <c r="C174" s="5">
        <v>9</v>
      </c>
      <c r="D174" s="5">
        <v>2</v>
      </c>
      <c r="E174" s="5">
        <v>2010</v>
      </c>
      <c r="F174" s="5" t="s">
        <v>35</v>
      </c>
      <c r="G174" s="5" t="s">
        <v>11</v>
      </c>
      <c r="H174" s="7">
        <v>2541</v>
      </c>
      <c r="I174" s="7">
        <v>2641.89</v>
      </c>
      <c r="J174" s="7">
        <v>100.88999999999987</v>
      </c>
      <c r="K174" s="8">
        <v>3.9704840613931473E-2</v>
      </c>
    </row>
    <row r="175" spans="1:11" x14ac:dyDescent="0.3">
      <c r="A175" s="5" t="s">
        <v>44</v>
      </c>
      <c r="B175" s="6">
        <v>40231</v>
      </c>
      <c r="C175" s="5">
        <v>9</v>
      </c>
      <c r="D175" s="5">
        <v>2</v>
      </c>
      <c r="E175" s="5">
        <v>2010</v>
      </c>
      <c r="F175" s="5" t="s">
        <v>36</v>
      </c>
      <c r="G175" s="5" t="s">
        <v>11</v>
      </c>
      <c r="H175" s="7">
        <v>37201.620000000003</v>
      </c>
      <c r="I175" s="7">
        <v>38750.879999999997</v>
      </c>
      <c r="J175" s="7">
        <v>1549.2599999999948</v>
      </c>
      <c r="K175" s="8">
        <v>4.1644960622682414E-2</v>
      </c>
    </row>
    <row r="176" spans="1:11" x14ac:dyDescent="0.3">
      <c r="A176" s="5" t="s">
        <v>44</v>
      </c>
      <c r="B176" s="6">
        <v>40231</v>
      </c>
      <c r="C176" s="5">
        <v>9</v>
      </c>
      <c r="D176" s="5">
        <v>2</v>
      </c>
      <c r="E176" s="5">
        <v>2010</v>
      </c>
      <c r="F176" s="5" t="s">
        <v>37</v>
      </c>
      <c r="G176" s="5" t="s">
        <v>11</v>
      </c>
      <c r="H176" s="7">
        <v>52644.43</v>
      </c>
      <c r="I176" s="7">
        <v>52327.6</v>
      </c>
      <c r="J176" s="7">
        <v>-316.83000000000175</v>
      </c>
      <c r="K176" s="8">
        <v>-6.0183005115641243E-3</v>
      </c>
    </row>
    <row r="177" spans="1:11" x14ac:dyDescent="0.3">
      <c r="A177" s="5" t="s">
        <v>44</v>
      </c>
      <c r="B177" s="6">
        <v>40231</v>
      </c>
      <c r="C177" s="5">
        <v>9</v>
      </c>
      <c r="D177" s="5">
        <v>2</v>
      </c>
      <c r="E177" s="5">
        <v>2010</v>
      </c>
      <c r="F177" s="5" t="s">
        <v>38</v>
      </c>
      <c r="G177" s="5" t="s">
        <v>11</v>
      </c>
      <c r="H177" s="7">
        <v>66551.87</v>
      </c>
      <c r="I177" s="7">
        <v>67788.679999999993</v>
      </c>
      <c r="J177" s="7">
        <v>1236.8099999999977</v>
      </c>
      <c r="K177" s="8">
        <v>1.8584150978777872E-2</v>
      </c>
    </row>
    <row r="178" spans="1:11" x14ac:dyDescent="0.3">
      <c r="A178" s="5" t="s">
        <v>44</v>
      </c>
      <c r="B178" s="6">
        <v>40232</v>
      </c>
      <c r="C178" s="5">
        <v>9</v>
      </c>
      <c r="D178" s="5">
        <v>2</v>
      </c>
      <c r="E178" s="5">
        <v>2010</v>
      </c>
      <c r="F178" s="5" t="s">
        <v>14</v>
      </c>
      <c r="G178" s="5" t="s">
        <v>6</v>
      </c>
      <c r="H178" s="7">
        <v>3481</v>
      </c>
      <c r="I178" s="7">
        <v>4016.78</v>
      </c>
      <c r="J178" s="7">
        <v>535.7800000000002</v>
      </c>
      <c r="K178" s="8">
        <v>0.1539155415110601</v>
      </c>
    </row>
    <row r="179" spans="1:11" x14ac:dyDescent="0.3">
      <c r="A179" s="5" t="s">
        <v>44</v>
      </c>
      <c r="B179" s="6">
        <v>40232</v>
      </c>
      <c r="C179" s="5">
        <v>9</v>
      </c>
      <c r="D179" s="5">
        <v>2</v>
      </c>
      <c r="E179" s="5">
        <v>2010</v>
      </c>
      <c r="F179" s="5" t="s">
        <v>15</v>
      </c>
      <c r="G179" s="5" t="s">
        <v>6</v>
      </c>
      <c r="H179" s="7">
        <v>38888.67</v>
      </c>
      <c r="I179" s="7">
        <v>42892.99</v>
      </c>
      <c r="J179" s="7">
        <v>4004.3199999999997</v>
      </c>
      <c r="K179" s="8">
        <v>0.10296880813872009</v>
      </c>
    </row>
    <row r="180" spans="1:11" x14ac:dyDescent="0.3">
      <c r="A180" s="5" t="s">
        <v>44</v>
      </c>
      <c r="B180" s="6">
        <v>40232</v>
      </c>
      <c r="C180" s="5">
        <v>9</v>
      </c>
      <c r="D180" s="5">
        <v>2</v>
      </c>
      <c r="E180" s="5">
        <v>2010</v>
      </c>
      <c r="F180" s="5" t="s">
        <v>16</v>
      </c>
      <c r="G180" s="5" t="s">
        <v>6</v>
      </c>
      <c r="H180" s="7">
        <v>30956.99</v>
      </c>
      <c r="I180" s="7">
        <v>32607.16</v>
      </c>
      <c r="J180" s="7">
        <v>1650.1699999999983</v>
      </c>
      <c r="K180" s="8">
        <v>5.3305247054057842E-2</v>
      </c>
    </row>
    <row r="181" spans="1:11" x14ac:dyDescent="0.3">
      <c r="A181" s="5" t="s">
        <v>44</v>
      </c>
      <c r="B181" s="6">
        <v>40232</v>
      </c>
      <c r="C181" s="5">
        <v>9</v>
      </c>
      <c r="D181" s="5">
        <v>2</v>
      </c>
      <c r="E181" s="5">
        <v>2010</v>
      </c>
      <c r="F181" s="5" t="s">
        <v>17</v>
      </c>
      <c r="G181" s="5" t="s">
        <v>6</v>
      </c>
      <c r="H181" s="7">
        <v>192</v>
      </c>
      <c r="I181" s="7">
        <v>193.29</v>
      </c>
      <c r="J181" s="7">
        <v>1.289999999999992</v>
      </c>
      <c r="K181" s="8">
        <v>6.7187499999999583E-3</v>
      </c>
    </row>
    <row r="182" spans="1:11" x14ac:dyDescent="0.3">
      <c r="A182" s="5" t="s">
        <v>44</v>
      </c>
      <c r="B182" s="6">
        <v>40232</v>
      </c>
      <c r="C182" s="5">
        <v>9</v>
      </c>
      <c r="D182" s="5">
        <v>2</v>
      </c>
      <c r="E182" s="5">
        <v>2010</v>
      </c>
      <c r="F182" s="5" t="s">
        <v>18</v>
      </c>
      <c r="G182" s="5" t="s">
        <v>6</v>
      </c>
      <c r="H182" s="7">
        <v>5708.99</v>
      </c>
      <c r="I182" s="7">
        <v>6248.41</v>
      </c>
      <c r="J182" s="7">
        <v>539.42000000000007</v>
      </c>
      <c r="K182" s="8">
        <v>9.4486064960702346E-2</v>
      </c>
    </row>
    <row r="183" spans="1:11" x14ac:dyDescent="0.3">
      <c r="A183" s="5" t="s">
        <v>44</v>
      </c>
      <c r="B183" s="6">
        <v>40232</v>
      </c>
      <c r="C183" s="5">
        <v>9</v>
      </c>
      <c r="D183" s="5">
        <v>2</v>
      </c>
      <c r="E183" s="5">
        <v>2010</v>
      </c>
      <c r="F183" s="5" t="s">
        <v>19</v>
      </c>
      <c r="G183" s="5" t="s">
        <v>5</v>
      </c>
      <c r="H183" s="7">
        <v>35872.89</v>
      </c>
      <c r="I183" s="7">
        <v>37337.07</v>
      </c>
      <c r="J183" s="7">
        <v>1464.1800000000003</v>
      </c>
      <c r="K183" s="8">
        <v>4.0815780384574542E-2</v>
      </c>
    </row>
    <row r="184" spans="1:11" x14ac:dyDescent="0.3">
      <c r="A184" s="5" t="s">
        <v>44</v>
      </c>
      <c r="B184" s="6">
        <v>40232</v>
      </c>
      <c r="C184" s="5">
        <v>9</v>
      </c>
      <c r="D184" s="5">
        <v>2</v>
      </c>
      <c r="E184" s="5">
        <v>2010</v>
      </c>
      <c r="F184" s="5" t="s">
        <v>5</v>
      </c>
      <c r="G184" s="5" t="s">
        <v>5</v>
      </c>
      <c r="H184" s="7">
        <v>137995.93</v>
      </c>
      <c r="I184" s="7">
        <v>140007.72</v>
      </c>
      <c r="J184" s="7">
        <v>2011.7900000000081</v>
      </c>
      <c r="K184" s="8">
        <v>1.4578618369396897E-2</v>
      </c>
    </row>
    <row r="185" spans="1:11" x14ac:dyDescent="0.3">
      <c r="A185" s="5" t="s">
        <v>44</v>
      </c>
      <c r="B185" s="6">
        <v>40232</v>
      </c>
      <c r="C185" s="5">
        <v>9</v>
      </c>
      <c r="D185" s="5">
        <v>2</v>
      </c>
      <c r="E185" s="5">
        <v>2010</v>
      </c>
      <c r="F185" s="5" t="s">
        <v>20</v>
      </c>
      <c r="G185" s="5" t="s">
        <v>5</v>
      </c>
      <c r="H185" s="7">
        <v>31720.6</v>
      </c>
      <c r="I185" s="7">
        <v>32702.85</v>
      </c>
      <c r="J185" s="7">
        <v>982.25</v>
      </c>
      <c r="K185" s="8">
        <v>3.0965681607535798E-2</v>
      </c>
    </row>
    <row r="186" spans="1:11" x14ac:dyDescent="0.3">
      <c r="A186" s="5" t="s">
        <v>44</v>
      </c>
      <c r="B186" s="6">
        <v>40232</v>
      </c>
      <c r="C186" s="5">
        <v>9</v>
      </c>
      <c r="D186" s="5">
        <v>2</v>
      </c>
      <c r="E186" s="5">
        <v>2010</v>
      </c>
      <c r="F186" s="5" t="s">
        <v>21</v>
      </c>
      <c r="G186" s="5" t="s">
        <v>5</v>
      </c>
      <c r="H186" s="7">
        <v>51926.73</v>
      </c>
      <c r="I186" s="7">
        <v>52820.5</v>
      </c>
      <c r="J186" s="7">
        <v>893.7699999999968</v>
      </c>
      <c r="K186" s="8">
        <v>1.7212137178674581E-2</v>
      </c>
    </row>
    <row r="187" spans="1:11" x14ac:dyDescent="0.3">
      <c r="A187" s="5" t="s">
        <v>44</v>
      </c>
      <c r="B187" s="6">
        <v>40232</v>
      </c>
      <c r="C187" s="5">
        <v>9</v>
      </c>
      <c r="D187" s="5">
        <v>2</v>
      </c>
      <c r="E187" s="5">
        <v>2010</v>
      </c>
      <c r="F187" s="5" t="s">
        <v>22</v>
      </c>
      <c r="G187" s="5" t="s">
        <v>8</v>
      </c>
      <c r="H187" s="7">
        <v>114743.65</v>
      </c>
      <c r="I187" s="7">
        <v>118334.97</v>
      </c>
      <c r="J187" s="7">
        <v>3591.320000000007</v>
      </c>
      <c r="K187" s="8">
        <v>3.1298638312446982E-2</v>
      </c>
    </row>
    <row r="188" spans="1:11" x14ac:dyDescent="0.3">
      <c r="A188" s="5" t="s">
        <v>44</v>
      </c>
      <c r="B188" s="6">
        <v>40232</v>
      </c>
      <c r="C188" s="5">
        <v>9</v>
      </c>
      <c r="D188" s="5">
        <v>2</v>
      </c>
      <c r="E188" s="5">
        <v>2010</v>
      </c>
      <c r="F188" s="5" t="s">
        <v>23</v>
      </c>
      <c r="G188" s="5" t="s">
        <v>8</v>
      </c>
      <c r="H188" s="7">
        <v>47707.34</v>
      </c>
      <c r="I188" s="7">
        <v>48416.800000000003</v>
      </c>
      <c r="J188" s="7">
        <v>709.4600000000064</v>
      </c>
      <c r="K188" s="8">
        <v>1.4871086922892922E-2</v>
      </c>
    </row>
    <row r="189" spans="1:11" x14ac:dyDescent="0.3">
      <c r="A189" s="5" t="s">
        <v>44</v>
      </c>
      <c r="B189" s="6">
        <v>40232</v>
      </c>
      <c r="C189" s="5">
        <v>9</v>
      </c>
      <c r="D189" s="5">
        <v>2</v>
      </c>
      <c r="E189" s="5">
        <v>2010</v>
      </c>
      <c r="F189" s="5" t="s">
        <v>24</v>
      </c>
      <c r="G189" s="5" t="s">
        <v>8</v>
      </c>
      <c r="H189" s="7">
        <v>37374</v>
      </c>
      <c r="I189" s="7">
        <v>37928.51</v>
      </c>
      <c r="J189" s="7">
        <v>554.51000000000204</v>
      </c>
      <c r="K189" s="8">
        <v>1.4836784930700541E-2</v>
      </c>
    </row>
    <row r="190" spans="1:11" x14ac:dyDescent="0.3">
      <c r="A190" s="5" t="s">
        <v>44</v>
      </c>
      <c r="B190" s="6">
        <v>40232</v>
      </c>
      <c r="C190" s="5">
        <v>9</v>
      </c>
      <c r="D190" s="5">
        <v>2</v>
      </c>
      <c r="E190" s="5">
        <v>2010</v>
      </c>
      <c r="F190" s="5" t="s">
        <v>25</v>
      </c>
      <c r="G190" s="5" t="s">
        <v>8</v>
      </c>
      <c r="H190" s="7">
        <v>824</v>
      </c>
      <c r="I190" s="7">
        <v>845.46</v>
      </c>
      <c r="J190" s="7">
        <v>21.460000000000036</v>
      </c>
      <c r="K190" s="8">
        <v>2.6043689320388395E-2</v>
      </c>
    </row>
    <row r="191" spans="1:11" x14ac:dyDescent="0.3">
      <c r="A191" s="5" t="s">
        <v>44</v>
      </c>
      <c r="B191" s="6">
        <v>40232</v>
      </c>
      <c r="C191" s="5">
        <v>9</v>
      </c>
      <c r="D191" s="5">
        <v>2</v>
      </c>
      <c r="E191" s="5">
        <v>2010</v>
      </c>
      <c r="F191" s="5" t="s">
        <v>27</v>
      </c>
      <c r="G191" s="5" t="s">
        <v>10</v>
      </c>
      <c r="H191" s="7">
        <v>10924.15</v>
      </c>
      <c r="I191" s="7">
        <v>12590.9</v>
      </c>
      <c r="J191" s="7">
        <v>1666.75</v>
      </c>
      <c r="K191" s="8">
        <v>0.15257479987001277</v>
      </c>
    </row>
    <row r="192" spans="1:11" x14ac:dyDescent="0.3">
      <c r="A192" s="5" t="s">
        <v>44</v>
      </c>
      <c r="B192" s="6">
        <v>40232</v>
      </c>
      <c r="C192" s="5">
        <v>9</v>
      </c>
      <c r="D192" s="5">
        <v>2</v>
      </c>
      <c r="E192" s="5">
        <v>2010</v>
      </c>
      <c r="F192" s="5" t="s">
        <v>29</v>
      </c>
      <c r="G192" s="5" t="s">
        <v>10</v>
      </c>
      <c r="H192" s="7">
        <v>65359</v>
      </c>
      <c r="I192" s="7">
        <v>68787.820000000007</v>
      </c>
      <c r="J192" s="7">
        <v>3428.820000000007</v>
      </c>
      <c r="K192" s="8">
        <v>5.2461328967701573E-2</v>
      </c>
    </row>
    <row r="193" spans="1:11" x14ac:dyDescent="0.3">
      <c r="A193" s="5" t="s">
        <v>44</v>
      </c>
      <c r="B193" s="6">
        <v>40232</v>
      </c>
      <c r="C193" s="5">
        <v>9</v>
      </c>
      <c r="D193" s="5">
        <v>2</v>
      </c>
      <c r="E193" s="5">
        <v>2010</v>
      </c>
      <c r="F193" s="5" t="s">
        <v>30</v>
      </c>
      <c r="G193" s="5" t="s">
        <v>10</v>
      </c>
      <c r="H193" s="7">
        <v>9769.86</v>
      </c>
      <c r="I193" s="7">
        <v>11122.46</v>
      </c>
      <c r="J193" s="7">
        <v>1352.5999999999985</v>
      </c>
      <c r="K193" s="8">
        <v>0.13844620086674717</v>
      </c>
    </row>
    <row r="194" spans="1:11" x14ac:dyDescent="0.3">
      <c r="A194" s="5" t="s">
        <v>44</v>
      </c>
      <c r="B194" s="6">
        <v>40232</v>
      </c>
      <c r="C194" s="5">
        <v>9</v>
      </c>
      <c r="D194" s="5">
        <v>2</v>
      </c>
      <c r="E194" s="5">
        <v>2010</v>
      </c>
      <c r="F194" s="5" t="s">
        <v>9</v>
      </c>
      <c r="G194" s="5" t="s">
        <v>9</v>
      </c>
      <c r="H194" s="7">
        <v>65107.42</v>
      </c>
      <c r="I194" s="7">
        <v>75319.55</v>
      </c>
      <c r="J194" s="7">
        <v>10212.130000000005</v>
      </c>
      <c r="K194" s="8">
        <v>0.1568504787933542</v>
      </c>
    </row>
    <row r="195" spans="1:11" x14ac:dyDescent="0.3">
      <c r="A195" s="5" t="s">
        <v>44</v>
      </c>
      <c r="B195" s="6">
        <v>40232</v>
      </c>
      <c r="C195" s="5">
        <v>9</v>
      </c>
      <c r="D195" s="5">
        <v>2</v>
      </c>
      <c r="E195" s="5">
        <v>2010</v>
      </c>
      <c r="F195" s="5" t="s">
        <v>33</v>
      </c>
      <c r="G195" s="5" t="s">
        <v>7</v>
      </c>
      <c r="H195" s="7">
        <v>4873</v>
      </c>
      <c r="I195" s="7">
        <v>8663.2000000000007</v>
      </c>
      <c r="J195" s="7">
        <v>3790.2000000000007</v>
      </c>
      <c r="K195" s="8">
        <v>0.77779601887954042</v>
      </c>
    </row>
    <row r="196" spans="1:11" x14ac:dyDescent="0.3">
      <c r="A196" s="5" t="s">
        <v>44</v>
      </c>
      <c r="B196" s="6">
        <v>40232</v>
      </c>
      <c r="C196" s="5">
        <v>9</v>
      </c>
      <c r="D196" s="5">
        <v>2</v>
      </c>
      <c r="E196" s="5">
        <v>2010</v>
      </c>
      <c r="F196" s="5" t="s">
        <v>35</v>
      </c>
      <c r="G196" s="5" t="s">
        <v>11</v>
      </c>
      <c r="H196" s="7">
        <v>698</v>
      </c>
      <c r="I196" s="7">
        <v>720.55</v>
      </c>
      <c r="J196" s="7">
        <v>22.549999999999955</v>
      </c>
      <c r="K196" s="8">
        <v>3.2306590257879589E-2</v>
      </c>
    </row>
    <row r="197" spans="1:11" x14ac:dyDescent="0.3">
      <c r="A197" s="5" t="s">
        <v>44</v>
      </c>
      <c r="B197" s="6">
        <v>40232</v>
      </c>
      <c r="C197" s="5">
        <v>9</v>
      </c>
      <c r="D197" s="5">
        <v>2</v>
      </c>
      <c r="E197" s="5">
        <v>2010</v>
      </c>
      <c r="F197" s="5" t="s">
        <v>36</v>
      </c>
      <c r="G197" s="5" t="s">
        <v>11</v>
      </c>
      <c r="H197" s="7">
        <v>36758.68</v>
      </c>
      <c r="I197" s="7">
        <v>38667.15</v>
      </c>
      <c r="J197" s="7">
        <v>1908.4700000000012</v>
      </c>
      <c r="K197" s="8">
        <v>5.1918893714355388E-2</v>
      </c>
    </row>
    <row r="198" spans="1:11" x14ac:dyDescent="0.3">
      <c r="A198" s="5" t="s">
        <v>44</v>
      </c>
      <c r="B198" s="6">
        <v>40232</v>
      </c>
      <c r="C198" s="5">
        <v>9</v>
      </c>
      <c r="D198" s="5">
        <v>2</v>
      </c>
      <c r="E198" s="5">
        <v>2010</v>
      </c>
      <c r="F198" s="5" t="s">
        <v>37</v>
      </c>
      <c r="G198" s="5" t="s">
        <v>11</v>
      </c>
      <c r="H198" s="7">
        <v>88117.35</v>
      </c>
      <c r="I198" s="7">
        <v>90259.18</v>
      </c>
      <c r="J198" s="7">
        <v>2141.8299999999872</v>
      </c>
      <c r="K198" s="8">
        <v>2.4306563917321469E-2</v>
      </c>
    </row>
    <row r="199" spans="1:11" x14ac:dyDescent="0.3">
      <c r="A199" s="5" t="s">
        <v>44</v>
      </c>
      <c r="B199" s="6">
        <v>40232</v>
      </c>
      <c r="C199" s="5">
        <v>9</v>
      </c>
      <c r="D199" s="5">
        <v>2</v>
      </c>
      <c r="E199" s="5">
        <v>2010</v>
      </c>
      <c r="F199" s="5" t="s">
        <v>38</v>
      </c>
      <c r="G199" s="5" t="s">
        <v>11</v>
      </c>
      <c r="H199" s="7">
        <v>60657.760000000002</v>
      </c>
      <c r="I199" s="7">
        <v>61686.42</v>
      </c>
      <c r="J199" s="7">
        <v>1028.6599999999962</v>
      </c>
      <c r="K199" s="8">
        <v>1.695842378617338E-2</v>
      </c>
    </row>
    <row r="200" spans="1:11" x14ac:dyDescent="0.3">
      <c r="A200" s="5" t="s">
        <v>44</v>
      </c>
      <c r="B200" s="6">
        <v>40233</v>
      </c>
      <c r="C200" s="5">
        <v>9</v>
      </c>
      <c r="D200" s="5">
        <v>2</v>
      </c>
      <c r="E200" s="5">
        <v>2010</v>
      </c>
      <c r="F200" s="5" t="s">
        <v>14</v>
      </c>
      <c r="G200" s="5" t="s">
        <v>6</v>
      </c>
      <c r="H200" s="7">
        <v>2528</v>
      </c>
      <c r="I200" s="7">
        <v>2922.9</v>
      </c>
      <c r="J200" s="7">
        <v>394.90000000000009</v>
      </c>
      <c r="K200" s="8">
        <v>0.15621044303797471</v>
      </c>
    </row>
    <row r="201" spans="1:11" x14ac:dyDescent="0.3">
      <c r="A201" s="5" t="s">
        <v>44</v>
      </c>
      <c r="B201" s="6">
        <v>40233</v>
      </c>
      <c r="C201" s="5">
        <v>9</v>
      </c>
      <c r="D201" s="5">
        <v>2</v>
      </c>
      <c r="E201" s="5">
        <v>2010</v>
      </c>
      <c r="F201" s="5" t="s">
        <v>15</v>
      </c>
      <c r="G201" s="5" t="s">
        <v>6</v>
      </c>
      <c r="H201" s="7">
        <v>39621.1</v>
      </c>
      <c r="I201" s="7">
        <v>44463.96</v>
      </c>
      <c r="J201" s="7">
        <v>4842.8600000000006</v>
      </c>
      <c r="K201" s="8">
        <v>0.12222931720724566</v>
      </c>
    </row>
    <row r="202" spans="1:11" x14ac:dyDescent="0.3">
      <c r="A202" s="5" t="s">
        <v>44</v>
      </c>
      <c r="B202" s="6">
        <v>40233</v>
      </c>
      <c r="C202" s="5">
        <v>9</v>
      </c>
      <c r="D202" s="5">
        <v>2</v>
      </c>
      <c r="E202" s="5">
        <v>2010</v>
      </c>
      <c r="F202" s="5" t="s">
        <v>16</v>
      </c>
      <c r="G202" s="5" t="s">
        <v>6</v>
      </c>
      <c r="H202" s="7">
        <v>25452.959999999999</v>
      </c>
      <c r="I202" s="7">
        <v>27382.65</v>
      </c>
      <c r="J202" s="7">
        <v>1929.6900000000023</v>
      </c>
      <c r="K202" s="8">
        <v>7.5813972127406884E-2</v>
      </c>
    </row>
    <row r="203" spans="1:11" x14ac:dyDescent="0.3">
      <c r="A203" s="5" t="s">
        <v>44</v>
      </c>
      <c r="B203" s="6">
        <v>40233</v>
      </c>
      <c r="C203" s="5">
        <v>9</v>
      </c>
      <c r="D203" s="5">
        <v>2</v>
      </c>
      <c r="E203" s="5">
        <v>2010</v>
      </c>
      <c r="F203" s="5" t="s">
        <v>17</v>
      </c>
      <c r="G203" s="5" t="s">
        <v>6</v>
      </c>
      <c r="H203" s="7">
        <v>710</v>
      </c>
      <c r="I203" s="7">
        <v>724.61</v>
      </c>
      <c r="J203" s="7">
        <v>14.610000000000014</v>
      </c>
      <c r="K203" s="8">
        <v>2.0577464788732413E-2</v>
      </c>
    </row>
    <row r="204" spans="1:11" x14ac:dyDescent="0.3">
      <c r="A204" s="5" t="s">
        <v>44</v>
      </c>
      <c r="B204" s="6">
        <v>40233</v>
      </c>
      <c r="C204" s="5">
        <v>9</v>
      </c>
      <c r="D204" s="5">
        <v>2</v>
      </c>
      <c r="E204" s="5">
        <v>2010</v>
      </c>
      <c r="F204" s="5" t="s">
        <v>18</v>
      </c>
      <c r="G204" s="5" t="s">
        <v>6</v>
      </c>
      <c r="H204" s="7">
        <v>7671.36</v>
      </c>
      <c r="I204" s="7">
        <v>8189.44</v>
      </c>
      <c r="J204" s="7">
        <v>518.07999999999993</v>
      </c>
      <c r="K204" s="8">
        <v>6.7534309431443701E-2</v>
      </c>
    </row>
    <row r="205" spans="1:11" x14ac:dyDescent="0.3">
      <c r="A205" s="5" t="s">
        <v>44</v>
      </c>
      <c r="B205" s="6">
        <v>40233</v>
      </c>
      <c r="C205" s="5">
        <v>9</v>
      </c>
      <c r="D205" s="5">
        <v>2</v>
      </c>
      <c r="E205" s="5">
        <v>2010</v>
      </c>
      <c r="F205" s="5" t="s">
        <v>19</v>
      </c>
      <c r="G205" s="5" t="s">
        <v>5</v>
      </c>
      <c r="H205" s="7">
        <v>43871.54</v>
      </c>
      <c r="I205" s="7">
        <v>46091.62</v>
      </c>
      <c r="J205" s="7">
        <v>2220.0800000000017</v>
      </c>
      <c r="K205" s="8">
        <v>5.0604104619988308E-2</v>
      </c>
    </row>
    <row r="206" spans="1:11" x14ac:dyDescent="0.3">
      <c r="A206" s="5" t="s">
        <v>44</v>
      </c>
      <c r="B206" s="6">
        <v>40233</v>
      </c>
      <c r="C206" s="5">
        <v>9</v>
      </c>
      <c r="D206" s="5">
        <v>2</v>
      </c>
      <c r="E206" s="5">
        <v>2010</v>
      </c>
      <c r="F206" s="5" t="s">
        <v>5</v>
      </c>
      <c r="G206" s="5" t="s">
        <v>5</v>
      </c>
      <c r="H206" s="7">
        <v>129710</v>
      </c>
      <c r="I206" s="7">
        <v>132092.46</v>
      </c>
      <c r="J206" s="7">
        <v>2382.4599999999919</v>
      </c>
      <c r="K206" s="8">
        <v>1.8367589237529812E-2</v>
      </c>
    </row>
    <row r="207" spans="1:11" x14ac:dyDescent="0.3">
      <c r="A207" s="5" t="s">
        <v>44</v>
      </c>
      <c r="B207" s="6">
        <v>40233</v>
      </c>
      <c r="C207" s="5">
        <v>9</v>
      </c>
      <c r="D207" s="5">
        <v>2</v>
      </c>
      <c r="E207" s="5">
        <v>2010</v>
      </c>
      <c r="F207" s="5" t="s">
        <v>20</v>
      </c>
      <c r="G207" s="5" t="s">
        <v>5</v>
      </c>
      <c r="H207" s="7">
        <v>31395.279999999999</v>
      </c>
      <c r="I207" s="7">
        <v>32322.37</v>
      </c>
      <c r="J207" s="7">
        <v>927.09000000000015</v>
      </c>
      <c r="K207" s="8">
        <v>2.9529598079711349E-2</v>
      </c>
    </row>
    <row r="208" spans="1:11" x14ac:dyDescent="0.3">
      <c r="A208" s="5" t="s">
        <v>44</v>
      </c>
      <c r="B208" s="6">
        <v>40233</v>
      </c>
      <c r="C208" s="5">
        <v>9</v>
      </c>
      <c r="D208" s="5">
        <v>2</v>
      </c>
      <c r="E208" s="5">
        <v>2010</v>
      </c>
      <c r="F208" s="5" t="s">
        <v>21</v>
      </c>
      <c r="G208" s="5" t="s">
        <v>5</v>
      </c>
      <c r="H208" s="7">
        <v>56389.55</v>
      </c>
      <c r="I208" s="7">
        <v>57258.14</v>
      </c>
      <c r="J208" s="7">
        <v>868.58999999999651</v>
      </c>
      <c r="K208" s="8">
        <v>1.5403385911041966E-2</v>
      </c>
    </row>
    <row r="209" spans="1:11" x14ac:dyDescent="0.3">
      <c r="A209" s="5" t="s">
        <v>44</v>
      </c>
      <c r="B209" s="6">
        <v>40233</v>
      </c>
      <c r="C209" s="5">
        <v>9</v>
      </c>
      <c r="D209" s="5">
        <v>2</v>
      </c>
      <c r="E209" s="5">
        <v>2010</v>
      </c>
      <c r="F209" s="5" t="s">
        <v>22</v>
      </c>
      <c r="G209" s="5" t="s">
        <v>8</v>
      </c>
      <c r="H209" s="7">
        <v>126358.5</v>
      </c>
      <c r="I209" s="7">
        <v>130248.75</v>
      </c>
      <c r="J209" s="7">
        <v>3890.25</v>
      </c>
      <c r="K209" s="8">
        <v>3.0787402509526468E-2</v>
      </c>
    </row>
    <row r="210" spans="1:11" x14ac:dyDescent="0.3">
      <c r="A210" s="5" t="s">
        <v>44</v>
      </c>
      <c r="B210" s="6">
        <v>40233</v>
      </c>
      <c r="C210" s="5">
        <v>9</v>
      </c>
      <c r="D210" s="5">
        <v>2</v>
      </c>
      <c r="E210" s="5">
        <v>2010</v>
      </c>
      <c r="F210" s="5" t="s">
        <v>23</v>
      </c>
      <c r="G210" s="5" t="s">
        <v>8</v>
      </c>
      <c r="H210" s="7">
        <v>53928.9</v>
      </c>
      <c r="I210" s="7">
        <v>54806.13</v>
      </c>
      <c r="J210" s="7">
        <v>877.22999999999593</v>
      </c>
      <c r="K210" s="8">
        <v>1.6266417449641954E-2</v>
      </c>
    </row>
    <row r="211" spans="1:11" x14ac:dyDescent="0.3">
      <c r="A211" s="5" t="s">
        <v>44</v>
      </c>
      <c r="B211" s="6">
        <v>40233</v>
      </c>
      <c r="C211" s="5">
        <v>9</v>
      </c>
      <c r="D211" s="5">
        <v>2</v>
      </c>
      <c r="E211" s="5">
        <v>2010</v>
      </c>
      <c r="F211" s="5" t="s">
        <v>24</v>
      </c>
      <c r="G211" s="5" t="s">
        <v>8</v>
      </c>
      <c r="H211" s="7">
        <v>28256.49</v>
      </c>
      <c r="I211" s="7">
        <v>28667.119999999999</v>
      </c>
      <c r="J211" s="7">
        <v>410.62999999999738</v>
      </c>
      <c r="K211" s="8">
        <v>1.4532236664921842E-2</v>
      </c>
    </row>
    <row r="212" spans="1:11" x14ac:dyDescent="0.3">
      <c r="A212" s="5" t="s">
        <v>44</v>
      </c>
      <c r="B212" s="6">
        <v>40233</v>
      </c>
      <c r="C212" s="5">
        <v>9</v>
      </c>
      <c r="D212" s="5">
        <v>2</v>
      </c>
      <c r="E212" s="5">
        <v>2010</v>
      </c>
      <c r="F212" s="5" t="s">
        <v>25</v>
      </c>
      <c r="G212" s="5" t="s">
        <v>8</v>
      </c>
      <c r="H212" s="7">
        <v>500</v>
      </c>
      <c r="I212" s="7">
        <v>514.37</v>
      </c>
      <c r="J212" s="7">
        <v>14.370000000000005</v>
      </c>
      <c r="K212" s="8">
        <v>2.8740000000000009E-2</v>
      </c>
    </row>
    <row r="213" spans="1:11" x14ac:dyDescent="0.3">
      <c r="A213" s="5" t="s">
        <v>44</v>
      </c>
      <c r="B213" s="6">
        <v>40233</v>
      </c>
      <c r="C213" s="5">
        <v>9</v>
      </c>
      <c r="D213" s="5">
        <v>2</v>
      </c>
      <c r="E213" s="5">
        <v>2010</v>
      </c>
      <c r="F213" s="5" t="s">
        <v>27</v>
      </c>
      <c r="G213" s="5" t="s">
        <v>10</v>
      </c>
      <c r="H213" s="7">
        <v>10139.64</v>
      </c>
      <c r="I213" s="7">
        <v>11690.12</v>
      </c>
      <c r="J213" s="7">
        <v>1550.4800000000014</v>
      </c>
      <c r="K213" s="8">
        <v>0.15291272668457673</v>
      </c>
    </row>
    <row r="214" spans="1:11" x14ac:dyDescent="0.3">
      <c r="A214" s="5" t="s">
        <v>44</v>
      </c>
      <c r="B214" s="6">
        <v>40233</v>
      </c>
      <c r="C214" s="5">
        <v>9</v>
      </c>
      <c r="D214" s="5">
        <v>2</v>
      </c>
      <c r="E214" s="5">
        <v>2010</v>
      </c>
      <c r="F214" s="5" t="s">
        <v>29</v>
      </c>
      <c r="G214" s="5" t="s">
        <v>10</v>
      </c>
      <c r="H214" s="7">
        <v>60837</v>
      </c>
      <c r="I214" s="7">
        <v>63964.3</v>
      </c>
      <c r="J214" s="7">
        <v>3127.3000000000029</v>
      </c>
      <c r="K214" s="8">
        <v>5.1404572875059631E-2</v>
      </c>
    </row>
    <row r="215" spans="1:11" x14ac:dyDescent="0.3">
      <c r="A215" s="5" t="s">
        <v>44</v>
      </c>
      <c r="B215" s="6">
        <v>40233</v>
      </c>
      <c r="C215" s="5">
        <v>9</v>
      </c>
      <c r="D215" s="5">
        <v>2</v>
      </c>
      <c r="E215" s="5">
        <v>2010</v>
      </c>
      <c r="F215" s="5" t="s">
        <v>30</v>
      </c>
      <c r="G215" s="5" t="s">
        <v>10</v>
      </c>
      <c r="H215" s="7">
        <v>3728.78</v>
      </c>
      <c r="I215" s="7">
        <v>4220.01</v>
      </c>
      <c r="J215" s="7">
        <v>491.23</v>
      </c>
      <c r="K215" s="8">
        <v>0.1317401402067164</v>
      </c>
    </row>
    <row r="216" spans="1:11" x14ac:dyDescent="0.3">
      <c r="A216" s="5" t="s">
        <v>44</v>
      </c>
      <c r="B216" s="6">
        <v>40233</v>
      </c>
      <c r="C216" s="5">
        <v>9</v>
      </c>
      <c r="D216" s="5">
        <v>2</v>
      </c>
      <c r="E216" s="5">
        <v>2010</v>
      </c>
      <c r="F216" s="5" t="s">
        <v>9</v>
      </c>
      <c r="G216" s="5" t="s">
        <v>9</v>
      </c>
      <c r="H216" s="7">
        <v>71495.320000000007</v>
      </c>
      <c r="I216" s="7">
        <v>81843.600000000006</v>
      </c>
      <c r="J216" s="7">
        <v>10348.279999999999</v>
      </c>
      <c r="K216" s="8">
        <v>0.14474066274547759</v>
      </c>
    </row>
    <row r="217" spans="1:11" x14ac:dyDescent="0.3">
      <c r="A217" s="5" t="s">
        <v>44</v>
      </c>
      <c r="B217" s="6">
        <v>40233</v>
      </c>
      <c r="C217" s="5">
        <v>9</v>
      </c>
      <c r="D217" s="5">
        <v>2</v>
      </c>
      <c r="E217" s="5">
        <v>2010</v>
      </c>
      <c r="F217" s="5" t="s">
        <v>33</v>
      </c>
      <c r="G217" s="5" t="s">
        <v>7</v>
      </c>
      <c r="H217" s="7">
        <v>4998</v>
      </c>
      <c r="I217" s="7">
        <v>8310.67</v>
      </c>
      <c r="J217" s="7">
        <v>3312.67</v>
      </c>
      <c r="K217" s="8">
        <v>0.6627991196478592</v>
      </c>
    </row>
    <row r="218" spans="1:11" x14ac:dyDescent="0.3">
      <c r="A218" s="5" t="s">
        <v>44</v>
      </c>
      <c r="B218" s="6">
        <v>40233</v>
      </c>
      <c r="C218" s="5">
        <v>9</v>
      </c>
      <c r="D218" s="5">
        <v>2</v>
      </c>
      <c r="E218" s="5">
        <v>2010</v>
      </c>
      <c r="F218" s="5" t="s">
        <v>35</v>
      </c>
      <c r="G218" s="5" t="s">
        <v>11</v>
      </c>
      <c r="H218" s="7">
        <v>1903</v>
      </c>
      <c r="I218" s="7">
        <v>1951.96</v>
      </c>
      <c r="J218" s="7">
        <v>48.960000000000036</v>
      </c>
      <c r="K218" s="8">
        <v>2.5727798213347364E-2</v>
      </c>
    </row>
    <row r="219" spans="1:11" x14ac:dyDescent="0.3">
      <c r="A219" s="5" t="s">
        <v>44</v>
      </c>
      <c r="B219" s="6">
        <v>40233</v>
      </c>
      <c r="C219" s="5">
        <v>9</v>
      </c>
      <c r="D219" s="5">
        <v>2</v>
      </c>
      <c r="E219" s="5">
        <v>2010</v>
      </c>
      <c r="F219" s="5" t="s">
        <v>36</v>
      </c>
      <c r="G219" s="5" t="s">
        <v>11</v>
      </c>
      <c r="H219" s="7">
        <v>28220.35</v>
      </c>
      <c r="I219" s="7">
        <v>29496.23</v>
      </c>
      <c r="J219" s="7">
        <v>1275.880000000001</v>
      </c>
      <c r="K219" s="8">
        <v>4.5211345713288498E-2</v>
      </c>
    </row>
    <row r="220" spans="1:11" x14ac:dyDescent="0.3">
      <c r="A220" s="5" t="s">
        <v>44</v>
      </c>
      <c r="B220" s="6">
        <v>40233</v>
      </c>
      <c r="C220" s="5">
        <v>9</v>
      </c>
      <c r="D220" s="5">
        <v>2</v>
      </c>
      <c r="E220" s="5">
        <v>2010</v>
      </c>
      <c r="F220" s="5" t="s">
        <v>37</v>
      </c>
      <c r="G220" s="5" t="s">
        <v>11</v>
      </c>
      <c r="H220" s="7">
        <v>68018.91</v>
      </c>
      <c r="I220" s="7">
        <v>68017.710000000006</v>
      </c>
      <c r="J220" s="7">
        <v>-1.1999999999970896</v>
      </c>
      <c r="K220" s="8">
        <v>-1.7642152748362029E-5</v>
      </c>
    </row>
    <row r="221" spans="1:11" x14ac:dyDescent="0.3">
      <c r="A221" s="5" t="s">
        <v>44</v>
      </c>
      <c r="B221" s="6">
        <v>40233</v>
      </c>
      <c r="C221" s="5">
        <v>9</v>
      </c>
      <c r="D221" s="5">
        <v>2</v>
      </c>
      <c r="E221" s="5">
        <v>2010</v>
      </c>
      <c r="F221" s="5" t="s">
        <v>38</v>
      </c>
      <c r="G221" s="5" t="s">
        <v>11</v>
      </c>
      <c r="H221" s="7">
        <v>77050.13</v>
      </c>
      <c r="I221" s="7">
        <v>78454.649999999994</v>
      </c>
      <c r="J221" s="7">
        <v>1404.5199999999895</v>
      </c>
      <c r="K221" s="8">
        <v>1.8228651917913563E-2</v>
      </c>
    </row>
    <row r="222" spans="1:11" x14ac:dyDescent="0.3">
      <c r="A222" s="5" t="s">
        <v>44</v>
      </c>
      <c r="B222" s="6">
        <v>40234</v>
      </c>
      <c r="C222" s="5">
        <v>9</v>
      </c>
      <c r="D222" s="5">
        <v>2</v>
      </c>
      <c r="E222" s="5">
        <v>2010</v>
      </c>
      <c r="F222" s="5" t="s">
        <v>14</v>
      </c>
      <c r="G222" s="5" t="s">
        <v>6</v>
      </c>
      <c r="H222" s="7">
        <v>1462</v>
      </c>
      <c r="I222" s="7">
        <v>1730.58</v>
      </c>
      <c r="J222" s="7">
        <v>268.57999999999993</v>
      </c>
      <c r="K222" s="8">
        <v>0.18370725034199722</v>
      </c>
    </row>
    <row r="223" spans="1:11" x14ac:dyDescent="0.3">
      <c r="A223" s="5" t="s">
        <v>44</v>
      </c>
      <c r="B223" s="6">
        <v>40234</v>
      </c>
      <c r="C223" s="5">
        <v>9</v>
      </c>
      <c r="D223" s="5">
        <v>2</v>
      </c>
      <c r="E223" s="5">
        <v>2010</v>
      </c>
      <c r="F223" s="5" t="s">
        <v>15</v>
      </c>
      <c r="G223" s="5" t="s">
        <v>6</v>
      </c>
      <c r="H223" s="7">
        <v>35139.51</v>
      </c>
      <c r="I223" s="7">
        <v>40317.97</v>
      </c>
      <c r="J223" s="7">
        <v>5178.4599999999991</v>
      </c>
      <c r="K223" s="8">
        <v>0.14736858880502315</v>
      </c>
    </row>
    <row r="224" spans="1:11" x14ac:dyDescent="0.3">
      <c r="A224" s="5" t="s">
        <v>44</v>
      </c>
      <c r="B224" s="6">
        <v>40234</v>
      </c>
      <c r="C224" s="5">
        <v>9</v>
      </c>
      <c r="D224" s="5">
        <v>2</v>
      </c>
      <c r="E224" s="5">
        <v>2010</v>
      </c>
      <c r="F224" s="5" t="s">
        <v>16</v>
      </c>
      <c r="G224" s="5" t="s">
        <v>6</v>
      </c>
      <c r="H224" s="7">
        <v>30112.79</v>
      </c>
      <c r="I224" s="7">
        <v>32193.79</v>
      </c>
      <c r="J224" s="7">
        <v>2081</v>
      </c>
      <c r="K224" s="8">
        <v>6.9106847953975703E-2</v>
      </c>
    </row>
    <row r="225" spans="1:11" x14ac:dyDescent="0.3">
      <c r="A225" s="5" t="s">
        <v>44</v>
      </c>
      <c r="B225" s="6">
        <v>40234</v>
      </c>
      <c r="C225" s="5">
        <v>9</v>
      </c>
      <c r="D225" s="5">
        <v>2</v>
      </c>
      <c r="E225" s="5">
        <v>2010</v>
      </c>
      <c r="F225" s="5" t="s">
        <v>17</v>
      </c>
      <c r="G225" s="5" t="s">
        <v>6</v>
      </c>
      <c r="H225" s="7">
        <v>96</v>
      </c>
      <c r="I225" s="7">
        <v>96.64</v>
      </c>
      <c r="J225" s="7">
        <v>0.64000000000000057</v>
      </c>
      <c r="K225" s="8">
        <v>6.6666666666666723E-3</v>
      </c>
    </row>
    <row r="226" spans="1:11" x14ac:dyDescent="0.3">
      <c r="A226" s="5" t="s">
        <v>44</v>
      </c>
      <c r="B226" s="6">
        <v>40234</v>
      </c>
      <c r="C226" s="5">
        <v>9</v>
      </c>
      <c r="D226" s="5">
        <v>2</v>
      </c>
      <c r="E226" s="5">
        <v>2010</v>
      </c>
      <c r="F226" s="5" t="s">
        <v>18</v>
      </c>
      <c r="G226" s="5" t="s">
        <v>6</v>
      </c>
      <c r="H226" s="7">
        <v>1598</v>
      </c>
      <c r="I226" s="7">
        <v>1688.9</v>
      </c>
      <c r="J226" s="7">
        <v>90.900000000000091</v>
      </c>
      <c r="K226" s="8">
        <v>5.6883604505632096E-2</v>
      </c>
    </row>
    <row r="227" spans="1:11" x14ac:dyDescent="0.3">
      <c r="A227" s="5" t="s">
        <v>44</v>
      </c>
      <c r="B227" s="6">
        <v>40234</v>
      </c>
      <c r="C227" s="5">
        <v>9</v>
      </c>
      <c r="D227" s="5">
        <v>2</v>
      </c>
      <c r="E227" s="5">
        <v>2010</v>
      </c>
      <c r="F227" s="5" t="s">
        <v>19</v>
      </c>
      <c r="G227" s="5" t="s">
        <v>5</v>
      </c>
      <c r="H227" s="7">
        <v>54517.73</v>
      </c>
      <c r="I227" s="7">
        <v>57298.19</v>
      </c>
      <c r="J227" s="7">
        <v>2780.4599999999991</v>
      </c>
      <c r="K227" s="8">
        <v>5.1001022969958565E-2</v>
      </c>
    </row>
    <row r="228" spans="1:11" x14ac:dyDescent="0.3">
      <c r="A228" s="5" t="s">
        <v>44</v>
      </c>
      <c r="B228" s="6">
        <v>40234</v>
      </c>
      <c r="C228" s="5">
        <v>9</v>
      </c>
      <c r="D228" s="5">
        <v>2</v>
      </c>
      <c r="E228" s="5">
        <v>2010</v>
      </c>
      <c r="F228" s="5" t="s">
        <v>5</v>
      </c>
      <c r="G228" s="5" t="s">
        <v>5</v>
      </c>
      <c r="H228" s="7">
        <v>144060.89000000001</v>
      </c>
      <c r="I228" s="7">
        <v>143842.31</v>
      </c>
      <c r="J228" s="7">
        <v>-218.5800000000163</v>
      </c>
      <c r="K228" s="8">
        <v>-1.5172750911091573E-3</v>
      </c>
    </row>
    <row r="229" spans="1:11" x14ac:dyDescent="0.3">
      <c r="A229" s="5" t="s">
        <v>44</v>
      </c>
      <c r="B229" s="6">
        <v>40234</v>
      </c>
      <c r="C229" s="5">
        <v>9</v>
      </c>
      <c r="D229" s="5">
        <v>2</v>
      </c>
      <c r="E229" s="5">
        <v>2010</v>
      </c>
      <c r="F229" s="5" t="s">
        <v>20</v>
      </c>
      <c r="G229" s="5" t="s">
        <v>5</v>
      </c>
      <c r="H229" s="7">
        <v>34098.47</v>
      </c>
      <c r="I229" s="7">
        <v>34985.440000000002</v>
      </c>
      <c r="J229" s="7">
        <v>886.97000000000116</v>
      </c>
      <c r="K229" s="8">
        <v>2.6012017548001455E-2</v>
      </c>
    </row>
    <row r="230" spans="1:11" x14ac:dyDescent="0.3">
      <c r="A230" s="5" t="s">
        <v>44</v>
      </c>
      <c r="B230" s="6">
        <v>40234</v>
      </c>
      <c r="C230" s="5">
        <v>9</v>
      </c>
      <c r="D230" s="5">
        <v>2</v>
      </c>
      <c r="E230" s="5">
        <v>2010</v>
      </c>
      <c r="F230" s="5" t="s">
        <v>21</v>
      </c>
      <c r="G230" s="5" t="s">
        <v>5</v>
      </c>
      <c r="H230" s="7">
        <v>54472.21</v>
      </c>
      <c r="I230" s="7">
        <v>55142.19</v>
      </c>
      <c r="J230" s="7">
        <v>669.9800000000032</v>
      </c>
      <c r="K230" s="8">
        <v>1.2299482616916097E-2</v>
      </c>
    </row>
    <row r="231" spans="1:11" x14ac:dyDescent="0.3">
      <c r="A231" s="5" t="s">
        <v>44</v>
      </c>
      <c r="B231" s="6">
        <v>40234</v>
      </c>
      <c r="C231" s="5">
        <v>9</v>
      </c>
      <c r="D231" s="5">
        <v>2</v>
      </c>
      <c r="E231" s="5">
        <v>2010</v>
      </c>
      <c r="F231" s="5" t="s">
        <v>22</v>
      </c>
      <c r="G231" s="5" t="s">
        <v>8</v>
      </c>
      <c r="H231" s="7">
        <v>91016.52</v>
      </c>
      <c r="I231" s="7">
        <v>93558.61</v>
      </c>
      <c r="J231" s="7">
        <v>2542.0899999999965</v>
      </c>
      <c r="K231" s="8">
        <v>2.7929984578623709E-2</v>
      </c>
    </row>
    <row r="232" spans="1:11" x14ac:dyDescent="0.3">
      <c r="A232" s="5" t="s">
        <v>44</v>
      </c>
      <c r="B232" s="6">
        <v>40234</v>
      </c>
      <c r="C232" s="5">
        <v>9</v>
      </c>
      <c r="D232" s="5">
        <v>2</v>
      </c>
      <c r="E232" s="5">
        <v>2010</v>
      </c>
      <c r="F232" s="5" t="s">
        <v>23</v>
      </c>
      <c r="G232" s="5" t="s">
        <v>8</v>
      </c>
      <c r="H232" s="7">
        <v>29191.43</v>
      </c>
      <c r="I232" s="7">
        <v>29791.48</v>
      </c>
      <c r="J232" s="7">
        <v>600.04999999999927</v>
      </c>
      <c r="K232" s="8">
        <v>2.0555690488612558E-2</v>
      </c>
    </row>
    <row r="233" spans="1:11" x14ac:dyDescent="0.3">
      <c r="A233" s="5" t="s">
        <v>44</v>
      </c>
      <c r="B233" s="6">
        <v>40234</v>
      </c>
      <c r="C233" s="5">
        <v>9</v>
      </c>
      <c r="D233" s="5">
        <v>2</v>
      </c>
      <c r="E233" s="5">
        <v>2010</v>
      </c>
      <c r="F233" s="5" t="s">
        <v>24</v>
      </c>
      <c r="G233" s="5" t="s">
        <v>8</v>
      </c>
      <c r="H233" s="7">
        <v>27588.47</v>
      </c>
      <c r="I233" s="7">
        <v>28135.29</v>
      </c>
      <c r="J233" s="7">
        <v>546.81999999999971</v>
      </c>
      <c r="K233" s="8">
        <v>1.9820598967612183E-2</v>
      </c>
    </row>
    <row r="234" spans="1:11" x14ac:dyDescent="0.3">
      <c r="A234" s="5" t="s">
        <v>44</v>
      </c>
      <c r="B234" s="6">
        <v>40234</v>
      </c>
      <c r="C234" s="5">
        <v>9</v>
      </c>
      <c r="D234" s="5">
        <v>2</v>
      </c>
      <c r="E234" s="5">
        <v>2010</v>
      </c>
      <c r="F234" s="5" t="s">
        <v>25</v>
      </c>
      <c r="G234" s="5" t="s">
        <v>8</v>
      </c>
      <c r="H234" s="7">
        <v>340</v>
      </c>
      <c r="I234" s="7">
        <v>350.13</v>
      </c>
      <c r="J234" s="7">
        <v>10.129999999999995</v>
      </c>
      <c r="K234" s="8">
        <v>2.9794117647058811E-2</v>
      </c>
    </row>
    <row r="235" spans="1:11" x14ac:dyDescent="0.3">
      <c r="A235" s="5" t="s">
        <v>44</v>
      </c>
      <c r="B235" s="6">
        <v>40234</v>
      </c>
      <c r="C235" s="5">
        <v>9</v>
      </c>
      <c r="D235" s="5">
        <v>2</v>
      </c>
      <c r="E235" s="5">
        <v>2010</v>
      </c>
      <c r="F235" s="5" t="s">
        <v>27</v>
      </c>
      <c r="G235" s="5" t="s">
        <v>10</v>
      </c>
      <c r="H235" s="7">
        <v>7688.65</v>
      </c>
      <c r="I235" s="7">
        <v>8882.1</v>
      </c>
      <c r="J235" s="7">
        <v>1193.4500000000007</v>
      </c>
      <c r="K235" s="8">
        <v>0.15522230820755278</v>
      </c>
    </row>
    <row r="236" spans="1:11" x14ac:dyDescent="0.3">
      <c r="A236" s="5" t="s">
        <v>44</v>
      </c>
      <c r="B236" s="6">
        <v>40234</v>
      </c>
      <c r="C236" s="5">
        <v>9</v>
      </c>
      <c r="D236" s="5">
        <v>2</v>
      </c>
      <c r="E236" s="5">
        <v>2010</v>
      </c>
      <c r="F236" s="5" t="s">
        <v>29</v>
      </c>
      <c r="G236" s="5" t="s">
        <v>10</v>
      </c>
      <c r="H236" s="7">
        <v>56232</v>
      </c>
      <c r="I236" s="7">
        <v>58603.77</v>
      </c>
      <c r="J236" s="7">
        <v>2371.7699999999968</v>
      </c>
      <c r="K236" s="8">
        <v>4.2178297055057559E-2</v>
      </c>
    </row>
    <row r="237" spans="1:11" x14ac:dyDescent="0.3">
      <c r="A237" s="5" t="s">
        <v>44</v>
      </c>
      <c r="B237" s="6">
        <v>40234</v>
      </c>
      <c r="C237" s="5">
        <v>9</v>
      </c>
      <c r="D237" s="5">
        <v>2</v>
      </c>
      <c r="E237" s="5">
        <v>2010</v>
      </c>
      <c r="F237" s="5" t="s">
        <v>30</v>
      </c>
      <c r="G237" s="5" t="s">
        <v>10</v>
      </c>
      <c r="H237" s="7">
        <v>7391.9</v>
      </c>
      <c r="I237" s="7">
        <v>8387.9500000000007</v>
      </c>
      <c r="J237" s="7">
        <v>996.05000000000109</v>
      </c>
      <c r="K237" s="8">
        <v>0.13474884671058876</v>
      </c>
    </row>
    <row r="238" spans="1:11" x14ac:dyDescent="0.3">
      <c r="A238" s="5" t="s">
        <v>44</v>
      </c>
      <c r="B238" s="6">
        <v>40234</v>
      </c>
      <c r="C238" s="5">
        <v>9</v>
      </c>
      <c r="D238" s="5">
        <v>2</v>
      </c>
      <c r="E238" s="5">
        <v>2010</v>
      </c>
      <c r="F238" s="5" t="s">
        <v>9</v>
      </c>
      <c r="G238" s="5" t="s">
        <v>9</v>
      </c>
      <c r="H238" s="7">
        <v>56330.2</v>
      </c>
      <c r="I238" s="7">
        <v>61401.71</v>
      </c>
      <c r="J238" s="7">
        <v>5071.510000000002</v>
      </c>
      <c r="K238" s="8">
        <v>9.0031812420335852E-2</v>
      </c>
    </row>
    <row r="239" spans="1:11" x14ac:dyDescent="0.3">
      <c r="A239" s="5" t="s">
        <v>44</v>
      </c>
      <c r="B239" s="6">
        <v>40234</v>
      </c>
      <c r="C239" s="5">
        <v>9</v>
      </c>
      <c r="D239" s="5">
        <v>2</v>
      </c>
      <c r="E239" s="5">
        <v>2010</v>
      </c>
      <c r="F239" s="5" t="s">
        <v>33</v>
      </c>
      <c r="G239" s="5" t="s">
        <v>7</v>
      </c>
      <c r="H239" s="7">
        <v>3921</v>
      </c>
      <c r="I239" s="7">
        <v>6445.25</v>
      </c>
      <c r="J239" s="7">
        <v>2524.25</v>
      </c>
      <c r="K239" s="8">
        <v>0.64377709767916347</v>
      </c>
    </row>
    <row r="240" spans="1:11" x14ac:dyDescent="0.3">
      <c r="A240" s="5" t="s">
        <v>44</v>
      </c>
      <c r="B240" s="6">
        <v>40234</v>
      </c>
      <c r="C240" s="5">
        <v>9</v>
      </c>
      <c r="D240" s="5">
        <v>2</v>
      </c>
      <c r="E240" s="5">
        <v>2010</v>
      </c>
      <c r="F240" s="5" t="s">
        <v>35</v>
      </c>
      <c r="G240" s="5" t="s">
        <v>11</v>
      </c>
      <c r="H240" s="7">
        <v>1549</v>
      </c>
      <c r="I240" s="7">
        <v>1584.26</v>
      </c>
      <c r="J240" s="7">
        <v>35.259999999999991</v>
      </c>
      <c r="K240" s="8">
        <v>2.2763072950290505E-2</v>
      </c>
    </row>
    <row r="241" spans="1:11" x14ac:dyDescent="0.3">
      <c r="A241" s="5" t="s">
        <v>44</v>
      </c>
      <c r="B241" s="6">
        <v>40234</v>
      </c>
      <c r="C241" s="5">
        <v>9</v>
      </c>
      <c r="D241" s="5">
        <v>2</v>
      </c>
      <c r="E241" s="5">
        <v>2010</v>
      </c>
      <c r="F241" s="5" t="s">
        <v>36</v>
      </c>
      <c r="G241" s="5" t="s">
        <v>11</v>
      </c>
      <c r="H241" s="7">
        <v>30387.87</v>
      </c>
      <c r="I241" s="7">
        <v>31440.31</v>
      </c>
      <c r="J241" s="7">
        <v>1052.4400000000023</v>
      </c>
      <c r="K241" s="8">
        <v>3.4633556086688617E-2</v>
      </c>
    </row>
    <row r="242" spans="1:11" x14ac:dyDescent="0.3">
      <c r="A242" s="5" t="s">
        <v>44</v>
      </c>
      <c r="B242" s="6">
        <v>40234</v>
      </c>
      <c r="C242" s="5">
        <v>9</v>
      </c>
      <c r="D242" s="5">
        <v>2</v>
      </c>
      <c r="E242" s="5">
        <v>2010</v>
      </c>
      <c r="F242" s="5" t="s">
        <v>37</v>
      </c>
      <c r="G242" s="5" t="s">
        <v>11</v>
      </c>
      <c r="H242" s="7">
        <v>94167.31</v>
      </c>
      <c r="I242" s="7">
        <v>94154.14</v>
      </c>
      <c r="J242" s="7">
        <v>-13.169999999998254</v>
      </c>
      <c r="K242" s="8">
        <v>-1.3985745159332102E-4</v>
      </c>
    </row>
    <row r="243" spans="1:11" x14ac:dyDescent="0.3">
      <c r="A243" s="5" t="s">
        <v>44</v>
      </c>
      <c r="B243" s="6">
        <v>40234</v>
      </c>
      <c r="C243" s="5">
        <v>9</v>
      </c>
      <c r="D243" s="5">
        <v>2</v>
      </c>
      <c r="E243" s="5">
        <v>2010</v>
      </c>
      <c r="F243" s="5" t="s">
        <v>38</v>
      </c>
      <c r="G243" s="5" t="s">
        <v>11</v>
      </c>
      <c r="H243" s="7">
        <v>65576.570000000007</v>
      </c>
      <c r="I243" s="7">
        <v>66641.59</v>
      </c>
      <c r="J243" s="7">
        <v>1065.0199999999895</v>
      </c>
      <c r="K243" s="8">
        <v>1.6240861637014402E-2</v>
      </c>
    </row>
    <row r="244" spans="1:11" x14ac:dyDescent="0.3">
      <c r="A244" s="5" t="s">
        <v>44</v>
      </c>
      <c r="B244" s="6">
        <v>40235</v>
      </c>
      <c r="C244" s="5">
        <v>9</v>
      </c>
      <c r="D244" s="5">
        <v>2</v>
      </c>
      <c r="E244" s="5">
        <v>2010</v>
      </c>
      <c r="F244" s="5" t="s">
        <v>14</v>
      </c>
      <c r="G244" s="5" t="s">
        <v>6</v>
      </c>
      <c r="H244" s="7">
        <v>1809</v>
      </c>
      <c r="I244" s="7">
        <v>2188.23</v>
      </c>
      <c r="J244" s="7">
        <v>379.23</v>
      </c>
      <c r="K244" s="8">
        <v>0.20963515754560533</v>
      </c>
    </row>
    <row r="245" spans="1:11" x14ac:dyDescent="0.3">
      <c r="A245" s="5" t="s">
        <v>44</v>
      </c>
      <c r="B245" s="6">
        <v>40235</v>
      </c>
      <c r="C245" s="5">
        <v>9</v>
      </c>
      <c r="D245" s="5">
        <v>2</v>
      </c>
      <c r="E245" s="5">
        <v>2010</v>
      </c>
      <c r="F245" s="5" t="s">
        <v>15</v>
      </c>
      <c r="G245" s="5" t="s">
        <v>6</v>
      </c>
      <c r="H245" s="7">
        <v>40794.47</v>
      </c>
      <c r="I245" s="7">
        <v>47345.82</v>
      </c>
      <c r="J245" s="7">
        <v>6551.3499999999985</v>
      </c>
      <c r="K245" s="8">
        <v>0.1605940707159573</v>
      </c>
    </row>
    <row r="246" spans="1:11" x14ac:dyDescent="0.3">
      <c r="A246" s="5" t="s">
        <v>44</v>
      </c>
      <c r="B246" s="6">
        <v>40235</v>
      </c>
      <c r="C246" s="5">
        <v>9</v>
      </c>
      <c r="D246" s="5">
        <v>2</v>
      </c>
      <c r="E246" s="5">
        <v>2010</v>
      </c>
      <c r="F246" s="5" t="s">
        <v>16</v>
      </c>
      <c r="G246" s="5" t="s">
        <v>6</v>
      </c>
      <c r="H246" s="7">
        <v>30800.95</v>
      </c>
      <c r="I246" s="7">
        <v>33247.4</v>
      </c>
      <c r="J246" s="7">
        <v>2446.4500000000007</v>
      </c>
      <c r="K246" s="8">
        <v>7.9427744923452059E-2</v>
      </c>
    </row>
    <row r="247" spans="1:11" x14ac:dyDescent="0.3">
      <c r="A247" s="5" t="s">
        <v>44</v>
      </c>
      <c r="B247" s="6">
        <v>40235</v>
      </c>
      <c r="C247" s="5">
        <v>9</v>
      </c>
      <c r="D247" s="5">
        <v>2</v>
      </c>
      <c r="E247" s="5">
        <v>2010</v>
      </c>
      <c r="F247" s="5" t="s">
        <v>17</v>
      </c>
      <c r="G247" s="5" t="s">
        <v>6</v>
      </c>
      <c r="H247" s="7">
        <v>1002</v>
      </c>
      <c r="I247" s="7">
        <v>1019.98</v>
      </c>
      <c r="J247" s="7">
        <v>17.980000000000018</v>
      </c>
      <c r="K247" s="8">
        <v>1.7944111776447124E-2</v>
      </c>
    </row>
    <row r="248" spans="1:11" x14ac:dyDescent="0.3">
      <c r="A248" s="5" t="s">
        <v>44</v>
      </c>
      <c r="B248" s="6">
        <v>40235</v>
      </c>
      <c r="C248" s="5">
        <v>9</v>
      </c>
      <c r="D248" s="5">
        <v>2</v>
      </c>
      <c r="E248" s="5">
        <v>2010</v>
      </c>
      <c r="F248" s="5" t="s">
        <v>18</v>
      </c>
      <c r="G248" s="5" t="s">
        <v>6</v>
      </c>
      <c r="H248" s="7">
        <v>4066.56</v>
      </c>
      <c r="I248" s="7">
        <v>4308.6499999999996</v>
      </c>
      <c r="J248" s="7">
        <v>242.08999999999969</v>
      </c>
      <c r="K248" s="8">
        <v>5.9531889361032347E-2</v>
      </c>
    </row>
    <row r="249" spans="1:11" x14ac:dyDescent="0.3">
      <c r="A249" s="5" t="s">
        <v>44</v>
      </c>
      <c r="B249" s="6">
        <v>40235</v>
      </c>
      <c r="C249" s="5">
        <v>9</v>
      </c>
      <c r="D249" s="5">
        <v>2</v>
      </c>
      <c r="E249" s="5">
        <v>2010</v>
      </c>
      <c r="F249" s="5" t="s">
        <v>19</v>
      </c>
      <c r="G249" s="5" t="s">
        <v>5</v>
      </c>
      <c r="H249" s="7">
        <v>45527.39</v>
      </c>
      <c r="I249" s="7">
        <v>47609.31</v>
      </c>
      <c r="J249" s="7">
        <v>2081.9199999999983</v>
      </c>
      <c r="K249" s="8">
        <v>4.5728955690189976E-2</v>
      </c>
    </row>
    <row r="250" spans="1:11" x14ac:dyDescent="0.3">
      <c r="A250" s="5" t="s">
        <v>44</v>
      </c>
      <c r="B250" s="6">
        <v>40235</v>
      </c>
      <c r="C250" s="5">
        <v>9</v>
      </c>
      <c r="D250" s="5">
        <v>2</v>
      </c>
      <c r="E250" s="5">
        <v>2010</v>
      </c>
      <c r="F250" s="5" t="s">
        <v>5</v>
      </c>
      <c r="G250" s="5" t="s">
        <v>5</v>
      </c>
      <c r="H250" s="7">
        <v>308124.87</v>
      </c>
      <c r="I250" s="7">
        <v>290266.99</v>
      </c>
      <c r="J250" s="7">
        <v>-17857.880000000005</v>
      </c>
      <c r="K250" s="8">
        <v>-5.7956632971561187E-2</v>
      </c>
    </row>
    <row r="251" spans="1:11" x14ac:dyDescent="0.3">
      <c r="A251" s="5" t="s">
        <v>44</v>
      </c>
      <c r="B251" s="6">
        <v>40235</v>
      </c>
      <c r="C251" s="5">
        <v>9</v>
      </c>
      <c r="D251" s="5">
        <v>2</v>
      </c>
      <c r="E251" s="5">
        <v>2010</v>
      </c>
      <c r="F251" s="5" t="s">
        <v>20</v>
      </c>
      <c r="G251" s="5" t="s">
        <v>5</v>
      </c>
      <c r="H251" s="7">
        <v>41367.26</v>
      </c>
      <c r="I251" s="7">
        <v>42351.23</v>
      </c>
      <c r="J251" s="7">
        <v>983.97000000000116</v>
      </c>
      <c r="K251" s="8">
        <v>2.37862019384412E-2</v>
      </c>
    </row>
    <row r="252" spans="1:11" x14ac:dyDescent="0.3">
      <c r="A252" s="5" t="s">
        <v>44</v>
      </c>
      <c r="B252" s="6">
        <v>40235</v>
      </c>
      <c r="C252" s="5">
        <v>9</v>
      </c>
      <c r="D252" s="5">
        <v>2</v>
      </c>
      <c r="E252" s="5">
        <v>2010</v>
      </c>
      <c r="F252" s="5" t="s">
        <v>21</v>
      </c>
      <c r="G252" s="5" t="s">
        <v>5</v>
      </c>
      <c r="H252" s="7">
        <v>53744.54</v>
      </c>
      <c r="I252" s="7">
        <v>54286.98</v>
      </c>
      <c r="J252" s="7">
        <v>542.44000000000233</v>
      </c>
      <c r="K252" s="8">
        <v>1.0092932230883403E-2</v>
      </c>
    </row>
    <row r="253" spans="1:11" x14ac:dyDescent="0.3">
      <c r="A253" s="5" t="s">
        <v>44</v>
      </c>
      <c r="B253" s="6">
        <v>40235</v>
      </c>
      <c r="C253" s="5">
        <v>9</v>
      </c>
      <c r="D253" s="5">
        <v>2</v>
      </c>
      <c r="E253" s="5">
        <v>2010</v>
      </c>
      <c r="F253" s="5" t="s">
        <v>22</v>
      </c>
      <c r="G253" s="5" t="s">
        <v>8</v>
      </c>
      <c r="H253" s="7">
        <v>162172.71</v>
      </c>
      <c r="I253" s="7">
        <v>167077.57</v>
      </c>
      <c r="J253" s="7">
        <v>4904.8600000000151</v>
      </c>
      <c r="K253" s="8">
        <v>3.0244669402145499E-2</v>
      </c>
    </row>
    <row r="254" spans="1:11" x14ac:dyDescent="0.3">
      <c r="A254" s="5" t="s">
        <v>44</v>
      </c>
      <c r="B254" s="6">
        <v>40235</v>
      </c>
      <c r="C254" s="5">
        <v>9</v>
      </c>
      <c r="D254" s="5">
        <v>2</v>
      </c>
      <c r="E254" s="5">
        <v>2010</v>
      </c>
      <c r="F254" s="5" t="s">
        <v>23</v>
      </c>
      <c r="G254" s="5" t="s">
        <v>8</v>
      </c>
      <c r="H254" s="7">
        <v>63880.09</v>
      </c>
      <c r="I254" s="7">
        <v>65750.45</v>
      </c>
      <c r="J254" s="7">
        <v>1870.3600000000006</v>
      </c>
      <c r="K254" s="8">
        <v>2.9279232386804726E-2</v>
      </c>
    </row>
    <row r="255" spans="1:11" x14ac:dyDescent="0.3">
      <c r="A255" s="5" t="s">
        <v>44</v>
      </c>
      <c r="B255" s="6">
        <v>40235</v>
      </c>
      <c r="C255" s="5">
        <v>9</v>
      </c>
      <c r="D255" s="5">
        <v>2</v>
      </c>
      <c r="E255" s="5">
        <v>2010</v>
      </c>
      <c r="F255" s="5" t="s">
        <v>24</v>
      </c>
      <c r="G255" s="5" t="s">
        <v>8</v>
      </c>
      <c r="H255" s="7">
        <v>45977.49</v>
      </c>
      <c r="I255" s="7">
        <v>46839.1</v>
      </c>
      <c r="J255" s="7">
        <v>861.61000000000058</v>
      </c>
      <c r="K255" s="8">
        <v>1.8739822465297706E-2</v>
      </c>
    </row>
    <row r="256" spans="1:11" x14ac:dyDescent="0.3">
      <c r="A256" s="5" t="s">
        <v>44</v>
      </c>
      <c r="B256" s="6">
        <v>40235</v>
      </c>
      <c r="C256" s="5">
        <v>9</v>
      </c>
      <c r="D256" s="5">
        <v>2</v>
      </c>
      <c r="E256" s="5">
        <v>2010</v>
      </c>
      <c r="F256" s="5" t="s">
        <v>25</v>
      </c>
      <c r="G256" s="5" t="s">
        <v>8</v>
      </c>
      <c r="H256" s="7">
        <v>660</v>
      </c>
      <c r="I256" s="7">
        <v>679.69</v>
      </c>
      <c r="J256" s="7">
        <v>19.690000000000055</v>
      </c>
      <c r="K256" s="8">
        <v>2.9833333333333416E-2</v>
      </c>
    </row>
    <row r="257" spans="1:11" x14ac:dyDescent="0.3">
      <c r="A257" s="5" t="s">
        <v>44</v>
      </c>
      <c r="B257" s="6">
        <v>40235</v>
      </c>
      <c r="C257" s="5">
        <v>9</v>
      </c>
      <c r="D257" s="5">
        <v>2</v>
      </c>
      <c r="E257" s="5">
        <v>2010</v>
      </c>
      <c r="F257" s="5" t="s">
        <v>27</v>
      </c>
      <c r="G257" s="5" t="s">
        <v>10</v>
      </c>
      <c r="H257" s="7">
        <v>2332.36</v>
      </c>
      <c r="I257" s="7">
        <v>2681.66</v>
      </c>
      <c r="J257" s="7">
        <v>349.29999999999973</v>
      </c>
      <c r="K257" s="8">
        <v>0.14976247234560691</v>
      </c>
    </row>
    <row r="258" spans="1:11" x14ac:dyDescent="0.3">
      <c r="A258" s="5" t="s">
        <v>44</v>
      </c>
      <c r="B258" s="6">
        <v>40235</v>
      </c>
      <c r="C258" s="5">
        <v>9</v>
      </c>
      <c r="D258" s="5">
        <v>2</v>
      </c>
      <c r="E258" s="5">
        <v>2010</v>
      </c>
      <c r="F258" s="5" t="s">
        <v>29</v>
      </c>
      <c r="G258" s="5" t="s">
        <v>10</v>
      </c>
      <c r="H258" s="7">
        <v>62018</v>
      </c>
      <c r="I258" s="7">
        <v>65238.5</v>
      </c>
      <c r="J258" s="7">
        <v>3220.5</v>
      </c>
      <c r="K258" s="8">
        <v>5.1928472378986748E-2</v>
      </c>
    </row>
    <row r="259" spans="1:11" x14ac:dyDescent="0.3">
      <c r="A259" s="5" t="s">
        <v>44</v>
      </c>
      <c r="B259" s="6">
        <v>40235</v>
      </c>
      <c r="C259" s="5">
        <v>9</v>
      </c>
      <c r="D259" s="5">
        <v>2</v>
      </c>
      <c r="E259" s="5">
        <v>2010</v>
      </c>
      <c r="F259" s="5" t="s">
        <v>30</v>
      </c>
      <c r="G259" s="5" t="s">
        <v>10</v>
      </c>
      <c r="H259" s="7">
        <v>9025.64</v>
      </c>
      <c r="I259" s="7">
        <v>10269.540000000001</v>
      </c>
      <c r="J259" s="7">
        <v>1243.9000000000015</v>
      </c>
      <c r="K259" s="8">
        <v>0.13781848157028218</v>
      </c>
    </row>
    <row r="260" spans="1:11" x14ac:dyDescent="0.3">
      <c r="A260" s="5" t="s">
        <v>44</v>
      </c>
      <c r="B260" s="6">
        <v>40235</v>
      </c>
      <c r="C260" s="5">
        <v>9</v>
      </c>
      <c r="D260" s="5">
        <v>2</v>
      </c>
      <c r="E260" s="5">
        <v>2010</v>
      </c>
      <c r="F260" s="5" t="s">
        <v>9</v>
      </c>
      <c r="G260" s="5" t="s">
        <v>9</v>
      </c>
      <c r="H260" s="7">
        <v>-75712.05</v>
      </c>
      <c r="I260" s="7">
        <v>84974.52</v>
      </c>
      <c r="J260" s="7">
        <v>160686.57</v>
      </c>
      <c r="K260" s="8">
        <v>-2.1223381218709569</v>
      </c>
    </row>
    <row r="261" spans="1:11" x14ac:dyDescent="0.3">
      <c r="A261" s="5" t="s">
        <v>44</v>
      </c>
      <c r="B261" s="6">
        <v>40235</v>
      </c>
      <c r="C261" s="5">
        <v>9</v>
      </c>
      <c r="D261" s="5">
        <v>2</v>
      </c>
      <c r="E261" s="5">
        <v>2010</v>
      </c>
      <c r="F261" s="5" t="s">
        <v>33</v>
      </c>
      <c r="G261" s="5" t="s">
        <v>7</v>
      </c>
      <c r="H261" s="7">
        <v>3510</v>
      </c>
      <c r="I261" s="7">
        <v>5898.88</v>
      </c>
      <c r="J261" s="7">
        <v>2388.88</v>
      </c>
      <c r="K261" s="8">
        <v>0.68059259259259264</v>
      </c>
    </row>
    <row r="262" spans="1:11" x14ac:dyDescent="0.3">
      <c r="A262" s="5" t="s">
        <v>44</v>
      </c>
      <c r="B262" s="6">
        <v>40235</v>
      </c>
      <c r="C262" s="5">
        <v>9</v>
      </c>
      <c r="D262" s="5">
        <v>2</v>
      </c>
      <c r="E262" s="5">
        <v>2010</v>
      </c>
      <c r="F262" s="5" t="s">
        <v>35</v>
      </c>
      <c r="G262" s="5" t="s">
        <v>11</v>
      </c>
      <c r="H262" s="7">
        <v>923</v>
      </c>
      <c r="I262" s="7">
        <v>959.87</v>
      </c>
      <c r="J262" s="7">
        <v>36.870000000000005</v>
      </c>
      <c r="K262" s="8">
        <v>3.994582881906826E-2</v>
      </c>
    </row>
    <row r="263" spans="1:11" x14ac:dyDescent="0.3">
      <c r="A263" s="5" t="s">
        <v>44</v>
      </c>
      <c r="B263" s="6">
        <v>40235</v>
      </c>
      <c r="C263" s="5">
        <v>9</v>
      </c>
      <c r="D263" s="5">
        <v>2</v>
      </c>
      <c r="E263" s="5">
        <v>2010</v>
      </c>
      <c r="F263" s="5" t="s">
        <v>36</v>
      </c>
      <c r="G263" s="5" t="s">
        <v>11</v>
      </c>
      <c r="H263" s="7">
        <v>29155.65</v>
      </c>
      <c r="I263" s="7">
        <v>30422.49</v>
      </c>
      <c r="J263" s="7">
        <v>1266.8400000000001</v>
      </c>
      <c r="K263" s="8">
        <v>4.3450926321313366E-2</v>
      </c>
    </row>
    <row r="264" spans="1:11" x14ac:dyDescent="0.3">
      <c r="A264" s="5" t="s">
        <v>44</v>
      </c>
      <c r="B264" s="6">
        <v>40235</v>
      </c>
      <c r="C264" s="5">
        <v>9</v>
      </c>
      <c r="D264" s="5">
        <v>2</v>
      </c>
      <c r="E264" s="5">
        <v>2010</v>
      </c>
      <c r="F264" s="5" t="s">
        <v>37</v>
      </c>
      <c r="G264" s="5" t="s">
        <v>11</v>
      </c>
      <c r="H264" s="7">
        <v>60976.4</v>
      </c>
      <c r="I264" s="7">
        <v>61947.32</v>
      </c>
      <c r="J264" s="7">
        <v>970.91999999999825</v>
      </c>
      <c r="K264" s="8">
        <v>1.5922881639453924E-2</v>
      </c>
    </row>
    <row r="265" spans="1:11" x14ac:dyDescent="0.3">
      <c r="A265" s="5" t="s">
        <v>44</v>
      </c>
      <c r="B265" s="6">
        <v>40235</v>
      </c>
      <c r="C265" s="5">
        <v>9</v>
      </c>
      <c r="D265" s="5">
        <v>2</v>
      </c>
      <c r="E265" s="5">
        <v>2010</v>
      </c>
      <c r="F265" s="5" t="s">
        <v>38</v>
      </c>
      <c r="G265" s="5" t="s">
        <v>11</v>
      </c>
      <c r="H265" s="7">
        <v>77060.960000000006</v>
      </c>
      <c r="I265" s="7">
        <v>78707.66</v>
      </c>
      <c r="J265" s="7">
        <v>1646.6999999999971</v>
      </c>
      <c r="K265" s="8">
        <v>2.1368796859006129E-2</v>
      </c>
    </row>
    <row r="266" spans="1:11" x14ac:dyDescent="0.3">
      <c r="A266" s="5" t="s">
        <v>44</v>
      </c>
      <c r="B266" s="6">
        <v>40236</v>
      </c>
      <c r="C266" s="5">
        <v>9</v>
      </c>
      <c r="D266" s="5">
        <v>2</v>
      </c>
      <c r="E266" s="5">
        <v>2010</v>
      </c>
      <c r="F266" s="5" t="s">
        <v>14</v>
      </c>
      <c r="G266" s="5" t="s">
        <v>6</v>
      </c>
      <c r="H266" s="7">
        <v>4086</v>
      </c>
      <c r="I266" s="7">
        <v>4679.92</v>
      </c>
      <c r="J266" s="7">
        <v>593.92000000000007</v>
      </c>
      <c r="K266" s="8">
        <v>0.14535487028879102</v>
      </c>
    </row>
    <row r="267" spans="1:11" x14ac:dyDescent="0.3">
      <c r="A267" s="5" t="s">
        <v>44</v>
      </c>
      <c r="B267" s="6">
        <v>40236</v>
      </c>
      <c r="C267" s="5">
        <v>9</v>
      </c>
      <c r="D267" s="5">
        <v>2</v>
      </c>
      <c r="E267" s="5">
        <v>2010</v>
      </c>
      <c r="F267" s="5" t="s">
        <v>15</v>
      </c>
      <c r="G267" s="5" t="s">
        <v>6</v>
      </c>
      <c r="H267" s="7">
        <v>67931.48</v>
      </c>
      <c r="I267" s="7">
        <v>74869.36</v>
      </c>
      <c r="J267" s="7">
        <v>6937.8800000000047</v>
      </c>
      <c r="K267" s="8">
        <v>0.10213055861582884</v>
      </c>
    </row>
    <row r="268" spans="1:11" x14ac:dyDescent="0.3">
      <c r="A268" s="5" t="s">
        <v>44</v>
      </c>
      <c r="B268" s="6">
        <v>40236</v>
      </c>
      <c r="C268" s="5">
        <v>9</v>
      </c>
      <c r="D268" s="5">
        <v>2</v>
      </c>
      <c r="E268" s="5">
        <v>2010</v>
      </c>
      <c r="F268" s="5" t="s">
        <v>16</v>
      </c>
      <c r="G268" s="5" t="s">
        <v>6</v>
      </c>
      <c r="H268" s="7">
        <v>53058.65</v>
      </c>
      <c r="I268" s="7">
        <v>57266.07</v>
      </c>
      <c r="J268" s="7">
        <v>4207.4199999999983</v>
      </c>
      <c r="K268" s="8">
        <v>7.9297532070642551E-2</v>
      </c>
    </row>
    <row r="269" spans="1:11" x14ac:dyDescent="0.3">
      <c r="A269" s="5" t="s">
        <v>44</v>
      </c>
      <c r="B269" s="6">
        <v>40236</v>
      </c>
      <c r="C269" s="5">
        <v>9</v>
      </c>
      <c r="D269" s="5">
        <v>2</v>
      </c>
      <c r="E269" s="5">
        <v>2010</v>
      </c>
      <c r="F269" s="5" t="s">
        <v>18</v>
      </c>
      <c r="G269" s="5" t="s">
        <v>6</v>
      </c>
      <c r="H269" s="7">
        <v>2639.56</v>
      </c>
      <c r="I269" s="7">
        <v>2828.43</v>
      </c>
      <c r="J269" s="7">
        <v>188.86999999999989</v>
      </c>
      <c r="K269" s="8">
        <v>7.1553592265377525E-2</v>
      </c>
    </row>
    <row r="270" spans="1:11" x14ac:dyDescent="0.3">
      <c r="A270" s="5" t="s">
        <v>44</v>
      </c>
      <c r="B270" s="6">
        <v>40236</v>
      </c>
      <c r="C270" s="5">
        <v>9</v>
      </c>
      <c r="D270" s="5">
        <v>2</v>
      </c>
      <c r="E270" s="5">
        <v>2010</v>
      </c>
      <c r="F270" s="5" t="s">
        <v>19</v>
      </c>
      <c r="G270" s="5" t="s">
        <v>5</v>
      </c>
      <c r="H270" s="7">
        <v>75248.66</v>
      </c>
      <c r="I270" s="7">
        <v>78482.960000000006</v>
      </c>
      <c r="J270" s="7">
        <v>3234.3000000000029</v>
      </c>
      <c r="K270" s="8">
        <v>4.298149628179429E-2</v>
      </c>
    </row>
    <row r="271" spans="1:11" x14ac:dyDescent="0.3">
      <c r="A271" s="5" t="s">
        <v>44</v>
      </c>
      <c r="B271" s="6">
        <v>40236</v>
      </c>
      <c r="C271" s="5">
        <v>9</v>
      </c>
      <c r="D271" s="5">
        <v>2</v>
      </c>
      <c r="E271" s="5">
        <v>2010</v>
      </c>
      <c r="F271" s="5" t="s">
        <v>5</v>
      </c>
      <c r="G271" s="5" t="s">
        <v>5</v>
      </c>
      <c r="H271" s="7">
        <v>271900.93</v>
      </c>
      <c r="I271" s="7">
        <v>272793.86</v>
      </c>
      <c r="J271" s="7">
        <v>892.92999999999302</v>
      </c>
      <c r="K271" s="8">
        <v>3.2840270167519949E-3</v>
      </c>
    </row>
    <row r="272" spans="1:11" x14ac:dyDescent="0.3">
      <c r="A272" s="5" t="s">
        <v>44</v>
      </c>
      <c r="B272" s="6">
        <v>40236</v>
      </c>
      <c r="C272" s="5">
        <v>9</v>
      </c>
      <c r="D272" s="5">
        <v>2</v>
      </c>
      <c r="E272" s="5">
        <v>2010</v>
      </c>
      <c r="F272" s="5" t="s">
        <v>20</v>
      </c>
      <c r="G272" s="5" t="s">
        <v>5</v>
      </c>
      <c r="H272" s="7">
        <v>66495.11</v>
      </c>
      <c r="I272" s="7">
        <v>68286.64</v>
      </c>
      <c r="J272" s="7">
        <v>1791.5299999999988</v>
      </c>
      <c r="K272" s="8">
        <v>2.6942281921181855E-2</v>
      </c>
    </row>
    <row r="273" spans="1:11" x14ac:dyDescent="0.3">
      <c r="A273" s="5" t="s">
        <v>44</v>
      </c>
      <c r="B273" s="6">
        <v>40236</v>
      </c>
      <c r="C273" s="5">
        <v>9</v>
      </c>
      <c r="D273" s="5">
        <v>2</v>
      </c>
      <c r="E273" s="5">
        <v>2010</v>
      </c>
      <c r="F273" s="5" t="s">
        <v>21</v>
      </c>
      <c r="G273" s="5" t="s">
        <v>5</v>
      </c>
      <c r="H273" s="7">
        <v>105517.66</v>
      </c>
      <c r="I273" s="7">
        <v>106193.01</v>
      </c>
      <c r="J273" s="7">
        <v>675.34999999999127</v>
      </c>
      <c r="K273" s="8">
        <v>6.4003504247534607E-3</v>
      </c>
    </row>
    <row r="274" spans="1:11" x14ac:dyDescent="0.3">
      <c r="A274" s="5" t="s">
        <v>44</v>
      </c>
      <c r="B274" s="6">
        <v>40236</v>
      </c>
      <c r="C274" s="5">
        <v>9</v>
      </c>
      <c r="D274" s="5">
        <v>2</v>
      </c>
      <c r="E274" s="5">
        <v>2010</v>
      </c>
      <c r="F274" s="5" t="s">
        <v>22</v>
      </c>
      <c r="G274" s="5" t="s">
        <v>8</v>
      </c>
      <c r="H274" s="7">
        <v>208400.07</v>
      </c>
      <c r="I274" s="7">
        <v>213826.97</v>
      </c>
      <c r="J274" s="7">
        <v>5426.8999999999942</v>
      </c>
      <c r="K274" s="8">
        <v>2.6040778201274088E-2</v>
      </c>
    </row>
    <row r="275" spans="1:11" x14ac:dyDescent="0.3">
      <c r="A275" s="5" t="s">
        <v>44</v>
      </c>
      <c r="B275" s="6">
        <v>40236</v>
      </c>
      <c r="C275" s="5">
        <v>9</v>
      </c>
      <c r="D275" s="5">
        <v>2</v>
      </c>
      <c r="E275" s="5">
        <v>2010</v>
      </c>
      <c r="F275" s="5" t="s">
        <v>23</v>
      </c>
      <c r="G275" s="5" t="s">
        <v>8</v>
      </c>
      <c r="H275" s="7">
        <v>56677.5</v>
      </c>
      <c r="I275" s="7">
        <v>58449.68</v>
      </c>
      <c r="J275" s="7">
        <v>1772.1800000000003</v>
      </c>
      <c r="K275" s="8">
        <v>3.1267787040712813E-2</v>
      </c>
    </row>
    <row r="276" spans="1:11" x14ac:dyDescent="0.3">
      <c r="A276" s="5" t="s">
        <v>44</v>
      </c>
      <c r="B276" s="6">
        <v>40236</v>
      </c>
      <c r="C276" s="5">
        <v>9</v>
      </c>
      <c r="D276" s="5">
        <v>2</v>
      </c>
      <c r="E276" s="5">
        <v>2010</v>
      </c>
      <c r="F276" s="5" t="s">
        <v>24</v>
      </c>
      <c r="G276" s="5" t="s">
        <v>8</v>
      </c>
      <c r="H276" s="7">
        <v>48735.99</v>
      </c>
      <c r="I276" s="7">
        <v>49862.77</v>
      </c>
      <c r="J276" s="7">
        <v>1126.7799999999988</v>
      </c>
      <c r="K276" s="8">
        <v>2.3120080252806988E-2</v>
      </c>
    </row>
    <row r="277" spans="1:11" x14ac:dyDescent="0.3">
      <c r="A277" s="5" t="s">
        <v>44</v>
      </c>
      <c r="B277" s="6">
        <v>40236</v>
      </c>
      <c r="C277" s="5">
        <v>9</v>
      </c>
      <c r="D277" s="5">
        <v>2</v>
      </c>
      <c r="E277" s="5">
        <v>2010</v>
      </c>
      <c r="F277" s="5" t="s">
        <v>25</v>
      </c>
      <c r="G277" s="5" t="s">
        <v>8</v>
      </c>
      <c r="H277" s="7">
        <v>700</v>
      </c>
      <c r="I277" s="7">
        <v>720.95</v>
      </c>
      <c r="J277" s="7">
        <v>20.950000000000045</v>
      </c>
      <c r="K277" s="8">
        <v>2.9928571428571492E-2</v>
      </c>
    </row>
    <row r="278" spans="1:11" x14ac:dyDescent="0.3">
      <c r="A278" s="5" t="s">
        <v>44</v>
      </c>
      <c r="B278" s="6">
        <v>40236</v>
      </c>
      <c r="C278" s="5">
        <v>9</v>
      </c>
      <c r="D278" s="5">
        <v>2</v>
      </c>
      <c r="E278" s="5">
        <v>2010</v>
      </c>
      <c r="F278" s="5" t="s">
        <v>27</v>
      </c>
      <c r="G278" s="5" t="s">
        <v>10</v>
      </c>
      <c r="H278" s="7">
        <v>8215.69</v>
      </c>
      <c r="I278" s="7">
        <v>9446.66</v>
      </c>
      <c r="J278" s="7">
        <v>1230.9699999999993</v>
      </c>
      <c r="K278" s="8">
        <v>0.14983160270165979</v>
      </c>
    </row>
    <row r="279" spans="1:11" x14ac:dyDescent="0.3">
      <c r="A279" s="5" t="s">
        <v>44</v>
      </c>
      <c r="B279" s="6">
        <v>40236</v>
      </c>
      <c r="C279" s="5">
        <v>9</v>
      </c>
      <c r="D279" s="5">
        <v>2</v>
      </c>
      <c r="E279" s="5">
        <v>2010</v>
      </c>
      <c r="F279" s="5" t="s">
        <v>29</v>
      </c>
      <c r="G279" s="5" t="s">
        <v>10</v>
      </c>
      <c r="H279" s="7">
        <v>95623</v>
      </c>
      <c r="I279" s="7">
        <v>100835.59</v>
      </c>
      <c r="J279" s="7">
        <v>5212.5899999999965</v>
      </c>
      <c r="K279" s="8">
        <v>5.4511885215899905E-2</v>
      </c>
    </row>
    <row r="280" spans="1:11" x14ac:dyDescent="0.3">
      <c r="A280" s="5" t="s">
        <v>44</v>
      </c>
      <c r="B280" s="6">
        <v>40236</v>
      </c>
      <c r="C280" s="5">
        <v>9</v>
      </c>
      <c r="D280" s="5">
        <v>2</v>
      </c>
      <c r="E280" s="5">
        <v>2010</v>
      </c>
      <c r="F280" s="5" t="s">
        <v>30</v>
      </c>
      <c r="G280" s="5" t="s">
        <v>10</v>
      </c>
      <c r="H280" s="7">
        <v>13782.64</v>
      </c>
      <c r="I280" s="7">
        <v>15652.5</v>
      </c>
      <c r="J280" s="7">
        <v>1869.8600000000006</v>
      </c>
      <c r="K280" s="8">
        <v>0.13566776756847748</v>
      </c>
    </row>
    <row r="281" spans="1:11" x14ac:dyDescent="0.3">
      <c r="A281" s="5" t="s">
        <v>44</v>
      </c>
      <c r="B281" s="6">
        <v>40236</v>
      </c>
      <c r="C281" s="5">
        <v>9</v>
      </c>
      <c r="D281" s="5">
        <v>2</v>
      </c>
      <c r="E281" s="5">
        <v>2010</v>
      </c>
      <c r="F281" s="5" t="s">
        <v>9</v>
      </c>
      <c r="G281" s="5" t="s">
        <v>9</v>
      </c>
      <c r="H281" s="7">
        <v>102542.65</v>
      </c>
      <c r="I281" s="7">
        <v>115236.76</v>
      </c>
      <c r="J281" s="7">
        <v>12694.11</v>
      </c>
      <c r="K281" s="8">
        <v>0.12379346545071734</v>
      </c>
    </row>
    <row r="282" spans="1:11" x14ac:dyDescent="0.3">
      <c r="A282" s="5" t="s">
        <v>44</v>
      </c>
      <c r="B282" s="6">
        <v>40236</v>
      </c>
      <c r="C282" s="5">
        <v>9</v>
      </c>
      <c r="D282" s="5">
        <v>2</v>
      </c>
      <c r="E282" s="5">
        <v>2010</v>
      </c>
      <c r="F282" s="5" t="s">
        <v>33</v>
      </c>
      <c r="G282" s="5" t="s">
        <v>7</v>
      </c>
      <c r="H282" s="7">
        <v>1682</v>
      </c>
      <c r="I282" s="7">
        <v>3039.75</v>
      </c>
      <c r="J282" s="7">
        <v>1357.75</v>
      </c>
      <c r="K282" s="8">
        <v>0.80722354340071345</v>
      </c>
    </row>
    <row r="283" spans="1:11" x14ac:dyDescent="0.3">
      <c r="A283" s="5" t="s">
        <v>44</v>
      </c>
      <c r="B283" s="6">
        <v>40236</v>
      </c>
      <c r="C283" s="5">
        <v>9</v>
      </c>
      <c r="D283" s="5">
        <v>2</v>
      </c>
      <c r="E283" s="5">
        <v>2010</v>
      </c>
      <c r="F283" s="5" t="s">
        <v>35</v>
      </c>
      <c r="G283" s="5" t="s">
        <v>11</v>
      </c>
      <c r="H283" s="7">
        <v>6491</v>
      </c>
      <c r="I283" s="7">
        <v>6784.07</v>
      </c>
      <c r="J283" s="7">
        <v>293.06999999999971</v>
      </c>
      <c r="K283" s="8">
        <v>4.5150207980280341E-2</v>
      </c>
    </row>
    <row r="284" spans="1:11" x14ac:dyDescent="0.3">
      <c r="A284" s="5" t="s">
        <v>44</v>
      </c>
      <c r="B284" s="6">
        <v>40236</v>
      </c>
      <c r="C284" s="5">
        <v>9</v>
      </c>
      <c r="D284" s="5">
        <v>2</v>
      </c>
      <c r="E284" s="5">
        <v>2010</v>
      </c>
      <c r="F284" s="5" t="s">
        <v>36</v>
      </c>
      <c r="G284" s="5" t="s">
        <v>11</v>
      </c>
      <c r="H284" s="7">
        <v>76420.160000000003</v>
      </c>
      <c r="I284" s="7">
        <v>79355.05</v>
      </c>
      <c r="J284" s="7">
        <v>2934.8899999999994</v>
      </c>
      <c r="K284" s="8">
        <v>3.8404656572297143E-2</v>
      </c>
    </row>
    <row r="285" spans="1:11" x14ac:dyDescent="0.3">
      <c r="A285" s="5" t="s">
        <v>44</v>
      </c>
      <c r="B285" s="6">
        <v>40236</v>
      </c>
      <c r="C285" s="5">
        <v>9</v>
      </c>
      <c r="D285" s="5">
        <v>2</v>
      </c>
      <c r="E285" s="5">
        <v>2010</v>
      </c>
      <c r="F285" s="5" t="s">
        <v>37</v>
      </c>
      <c r="G285" s="5" t="s">
        <v>11</v>
      </c>
      <c r="H285" s="7">
        <v>136763.18</v>
      </c>
      <c r="I285" s="7">
        <v>133920.94</v>
      </c>
      <c r="J285" s="7">
        <v>-2842.2399999999907</v>
      </c>
      <c r="K285" s="8">
        <v>-2.0782201759274616E-2</v>
      </c>
    </row>
    <row r="286" spans="1:11" x14ac:dyDescent="0.3">
      <c r="A286" s="5" t="s">
        <v>44</v>
      </c>
      <c r="B286" s="6">
        <v>40236</v>
      </c>
      <c r="C286" s="5">
        <v>9</v>
      </c>
      <c r="D286" s="5">
        <v>2</v>
      </c>
      <c r="E286" s="5">
        <v>2010</v>
      </c>
      <c r="F286" s="5" t="s">
        <v>38</v>
      </c>
      <c r="G286" s="5" t="s">
        <v>11</v>
      </c>
      <c r="H286" s="7">
        <v>146853.53</v>
      </c>
      <c r="I286" s="7">
        <v>150001.62</v>
      </c>
      <c r="J286" s="7">
        <v>3148.0899999999965</v>
      </c>
      <c r="K286" s="8">
        <v>2.1436937879532051E-2</v>
      </c>
    </row>
    <row r="287" spans="1:11" x14ac:dyDescent="0.3">
      <c r="A287" s="5" t="s">
        <v>44</v>
      </c>
      <c r="B287" s="6">
        <v>40237</v>
      </c>
      <c r="C287" s="5">
        <v>10</v>
      </c>
      <c r="D287" s="5">
        <v>2</v>
      </c>
      <c r="E287" s="5">
        <v>2010</v>
      </c>
      <c r="F287" s="5" t="s">
        <v>14</v>
      </c>
      <c r="G287" s="5" t="s">
        <v>6</v>
      </c>
      <c r="H287" s="7">
        <v>2273</v>
      </c>
      <c r="I287" s="7">
        <v>2655.62</v>
      </c>
      <c r="J287" s="7">
        <v>382.61999999999989</v>
      </c>
      <c r="K287" s="8">
        <v>0.16833260008798939</v>
      </c>
    </row>
    <row r="288" spans="1:11" x14ac:dyDescent="0.3">
      <c r="A288" s="5" t="s">
        <v>44</v>
      </c>
      <c r="B288" s="6">
        <v>40237</v>
      </c>
      <c r="C288" s="5">
        <v>10</v>
      </c>
      <c r="D288" s="5">
        <v>2</v>
      </c>
      <c r="E288" s="5">
        <v>2010</v>
      </c>
      <c r="F288" s="5" t="s">
        <v>15</v>
      </c>
      <c r="G288" s="5" t="s">
        <v>6</v>
      </c>
      <c r="H288" s="7">
        <v>55657.99</v>
      </c>
      <c r="I288" s="7">
        <v>62724.08</v>
      </c>
      <c r="J288" s="7">
        <v>7066.0900000000038</v>
      </c>
      <c r="K288" s="8">
        <v>0.12695553684205996</v>
      </c>
    </row>
    <row r="289" spans="1:11" x14ac:dyDescent="0.3">
      <c r="A289" s="5" t="s">
        <v>44</v>
      </c>
      <c r="B289" s="6">
        <v>40237</v>
      </c>
      <c r="C289" s="5">
        <v>10</v>
      </c>
      <c r="D289" s="5">
        <v>2</v>
      </c>
      <c r="E289" s="5">
        <v>2010</v>
      </c>
      <c r="F289" s="5" t="s">
        <v>16</v>
      </c>
      <c r="G289" s="5" t="s">
        <v>6</v>
      </c>
      <c r="H289" s="7">
        <v>145583.97</v>
      </c>
      <c r="I289" s="7">
        <v>151503.91</v>
      </c>
      <c r="J289" s="7">
        <v>5919.9400000000023</v>
      </c>
      <c r="K289" s="8">
        <v>4.066340545597158E-2</v>
      </c>
    </row>
    <row r="290" spans="1:11" x14ac:dyDescent="0.3">
      <c r="A290" s="5" t="s">
        <v>44</v>
      </c>
      <c r="B290" s="6">
        <v>40237</v>
      </c>
      <c r="C290" s="5">
        <v>10</v>
      </c>
      <c r="D290" s="5">
        <v>2</v>
      </c>
      <c r="E290" s="5">
        <v>2010</v>
      </c>
      <c r="F290" s="5" t="s">
        <v>17</v>
      </c>
      <c r="G290" s="5" t="s">
        <v>6</v>
      </c>
      <c r="H290" s="7">
        <v>710</v>
      </c>
      <c r="I290" s="7">
        <v>724.65</v>
      </c>
      <c r="J290" s="7">
        <v>14.649999999999977</v>
      </c>
      <c r="K290" s="8">
        <v>2.0633802816901376E-2</v>
      </c>
    </row>
    <row r="291" spans="1:11" x14ac:dyDescent="0.3">
      <c r="A291" s="5" t="s">
        <v>44</v>
      </c>
      <c r="B291" s="6">
        <v>40237</v>
      </c>
      <c r="C291" s="5">
        <v>10</v>
      </c>
      <c r="D291" s="5">
        <v>2</v>
      </c>
      <c r="E291" s="5">
        <v>2010</v>
      </c>
      <c r="F291" s="5" t="s">
        <v>18</v>
      </c>
      <c r="G291" s="5" t="s">
        <v>6</v>
      </c>
      <c r="H291" s="7">
        <v>7281.64</v>
      </c>
      <c r="I291" s="7">
        <v>7918.33</v>
      </c>
      <c r="J291" s="7">
        <v>636.6899999999996</v>
      </c>
      <c r="K291" s="8">
        <v>8.7437720074049194E-2</v>
      </c>
    </row>
    <row r="292" spans="1:11" x14ac:dyDescent="0.3">
      <c r="A292" s="5" t="s">
        <v>44</v>
      </c>
      <c r="B292" s="6">
        <v>40237</v>
      </c>
      <c r="C292" s="5">
        <v>10</v>
      </c>
      <c r="D292" s="5">
        <v>2</v>
      </c>
      <c r="E292" s="5">
        <v>2010</v>
      </c>
      <c r="F292" s="5" t="s">
        <v>19</v>
      </c>
      <c r="G292" s="5" t="s">
        <v>5</v>
      </c>
      <c r="H292" s="7">
        <v>80535.23</v>
      </c>
      <c r="I292" s="7">
        <v>83045.100000000006</v>
      </c>
      <c r="J292" s="7">
        <v>2509.8700000000099</v>
      </c>
      <c r="K292" s="8">
        <v>3.1164870330661624E-2</v>
      </c>
    </row>
    <row r="293" spans="1:11" x14ac:dyDescent="0.3">
      <c r="A293" s="5" t="s">
        <v>44</v>
      </c>
      <c r="B293" s="6">
        <v>40237</v>
      </c>
      <c r="C293" s="5">
        <v>10</v>
      </c>
      <c r="D293" s="5">
        <v>2</v>
      </c>
      <c r="E293" s="5">
        <v>2010</v>
      </c>
      <c r="F293" s="5" t="s">
        <v>5</v>
      </c>
      <c r="G293" s="5" t="s">
        <v>5</v>
      </c>
      <c r="H293" s="7">
        <v>228922.34</v>
      </c>
      <c r="I293" s="7">
        <v>232866.52</v>
      </c>
      <c r="J293" s="7">
        <v>3944.179999999993</v>
      </c>
      <c r="K293" s="8">
        <v>1.7229336376694354E-2</v>
      </c>
    </row>
    <row r="294" spans="1:11" x14ac:dyDescent="0.3">
      <c r="A294" s="5" t="s">
        <v>44</v>
      </c>
      <c r="B294" s="6">
        <v>40237</v>
      </c>
      <c r="C294" s="5">
        <v>10</v>
      </c>
      <c r="D294" s="5">
        <v>2</v>
      </c>
      <c r="E294" s="5">
        <v>2010</v>
      </c>
      <c r="F294" s="5" t="s">
        <v>20</v>
      </c>
      <c r="G294" s="5" t="s">
        <v>5</v>
      </c>
      <c r="H294" s="7">
        <v>52868.49</v>
      </c>
      <c r="I294" s="7">
        <v>54092.47</v>
      </c>
      <c r="J294" s="7">
        <v>1223.9800000000032</v>
      </c>
      <c r="K294" s="8">
        <v>2.3151408334151462E-2</v>
      </c>
    </row>
    <row r="295" spans="1:11" x14ac:dyDescent="0.3">
      <c r="A295" s="5" t="s">
        <v>44</v>
      </c>
      <c r="B295" s="6">
        <v>40237</v>
      </c>
      <c r="C295" s="5">
        <v>10</v>
      </c>
      <c r="D295" s="5">
        <v>2</v>
      </c>
      <c r="E295" s="5">
        <v>2010</v>
      </c>
      <c r="F295" s="5" t="s">
        <v>21</v>
      </c>
      <c r="G295" s="5" t="s">
        <v>5</v>
      </c>
      <c r="H295" s="7">
        <v>91994.76</v>
      </c>
      <c r="I295" s="7">
        <v>92433.03</v>
      </c>
      <c r="J295" s="7">
        <v>438.27000000000407</v>
      </c>
      <c r="K295" s="8">
        <v>4.7640756930069075E-3</v>
      </c>
    </row>
    <row r="296" spans="1:11" x14ac:dyDescent="0.3">
      <c r="A296" s="5" t="s">
        <v>44</v>
      </c>
      <c r="B296" s="6">
        <v>40237</v>
      </c>
      <c r="C296" s="5">
        <v>10</v>
      </c>
      <c r="D296" s="5">
        <v>2</v>
      </c>
      <c r="E296" s="5">
        <v>2010</v>
      </c>
      <c r="F296" s="5" t="s">
        <v>22</v>
      </c>
      <c r="G296" s="5" t="s">
        <v>8</v>
      </c>
      <c r="H296" s="7">
        <v>182363.71</v>
      </c>
      <c r="I296" s="7">
        <v>188290.68</v>
      </c>
      <c r="J296" s="7">
        <v>5926.9700000000012</v>
      </c>
      <c r="K296" s="8">
        <v>3.2500819379031064E-2</v>
      </c>
    </row>
    <row r="297" spans="1:11" x14ac:dyDescent="0.3">
      <c r="A297" s="5" t="s">
        <v>44</v>
      </c>
      <c r="B297" s="6">
        <v>40237</v>
      </c>
      <c r="C297" s="5">
        <v>10</v>
      </c>
      <c r="D297" s="5">
        <v>2</v>
      </c>
      <c r="E297" s="5">
        <v>2010</v>
      </c>
      <c r="F297" s="5" t="s">
        <v>23</v>
      </c>
      <c r="G297" s="5" t="s">
        <v>8</v>
      </c>
      <c r="H297" s="7">
        <v>57555.12</v>
      </c>
      <c r="I297" s="7">
        <v>59087.58</v>
      </c>
      <c r="J297" s="7">
        <v>1532.4599999999991</v>
      </c>
      <c r="K297" s="8">
        <v>2.6625954389461772E-2</v>
      </c>
    </row>
    <row r="298" spans="1:11" x14ac:dyDescent="0.3">
      <c r="A298" s="5" t="s">
        <v>44</v>
      </c>
      <c r="B298" s="6">
        <v>40237</v>
      </c>
      <c r="C298" s="5">
        <v>10</v>
      </c>
      <c r="D298" s="5">
        <v>2</v>
      </c>
      <c r="E298" s="5">
        <v>2010</v>
      </c>
      <c r="F298" s="5" t="s">
        <v>24</v>
      </c>
      <c r="G298" s="5" t="s">
        <v>8</v>
      </c>
      <c r="H298" s="7">
        <v>40355</v>
      </c>
      <c r="I298" s="7">
        <v>41185.230000000003</v>
      </c>
      <c r="J298" s="7">
        <v>830.2300000000032</v>
      </c>
      <c r="K298" s="8">
        <v>2.0573163176805926E-2</v>
      </c>
    </row>
    <row r="299" spans="1:11" x14ac:dyDescent="0.3">
      <c r="A299" s="5" t="s">
        <v>44</v>
      </c>
      <c r="B299" s="6">
        <v>40237</v>
      </c>
      <c r="C299" s="5">
        <v>10</v>
      </c>
      <c r="D299" s="5">
        <v>2</v>
      </c>
      <c r="E299" s="5">
        <v>2010</v>
      </c>
      <c r="F299" s="5" t="s">
        <v>25</v>
      </c>
      <c r="G299" s="5" t="s">
        <v>8</v>
      </c>
      <c r="H299" s="7">
        <v>1480</v>
      </c>
      <c r="I299" s="7">
        <v>1524.28</v>
      </c>
      <c r="J299" s="7">
        <v>44.279999999999973</v>
      </c>
      <c r="K299" s="8">
        <v>2.9918918918918902E-2</v>
      </c>
    </row>
    <row r="300" spans="1:11" x14ac:dyDescent="0.3">
      <c r="A300" s="5" t="s">
        <v>44</v>
      </c>
      <c r="B300" s="6">
        <v>40237</v>
      </c>
      <c r="C300" s="5">
        <v>10</v>
      </c>
      <c r="D300" s="5">
        <v>2</v>
      </c>
      <c r="E300" s="5">
        <v>2010</v>
      </c>
      <c r="F300" s="5" t="s">
        <v>27</v>
      </c>
      <c r="G300" s="5" t="s">
        <v>10</v>
      </c>
      <c r="H300" s="7">
        <v>5397.86</v>
      </c>
      <c r="I300" s="7">
        <v>6208.33</v>
      </c>
      <c r="J300" s="7">
        <v>810.47000000000025</v>
      </c>
      <c r="K300" s="8">
        <v>0.15014653955456428</v>
      </c>
    </row>
    <row r="301" spans="1:11" x14ac:dyDescent="0.3">
      <c r="A301" s="5" t="s">
        <v>44</v>
      </c>
      <c r="B301" s="6">
        <v>40237</v>
      </c>
      <c r="C301" s="5">
        <v>10</v>
      </c>
      <c r="D301" s="5">
        <v>2</v>
      </c>
      <c r="E301" s="5">
        <v>2010</v>
      </c>
      <c r="F301" s="5" t="s">
        <v>29</v>
      </c>
      <c r="G301" s="5" t="s">
        <v>10</v>
      </c>
      <c r="H301" s="7">
        <v>90433</v>
      </c>
      <c r="I301" s="7">
        <v>95964.25</v>
      </c>
      <c r="J301" s="7">
        <v>5531.25</v>
      </c>
      <c r="K301" s="8">
        <v>6.1164066214766735E-2</v>
      </c>
    </row>
    <row r="302" spans="1:11" x14ac:dyDescent="0.3">
      <c r="A302" s="5" t="s">
        <v>44</v>
      </c>
      <c r="B302" s="6">
        <v>40237</v>
      </c>
      <c r="C302" s="5">
        <v>10</v>
      </c>
      <c r="D302" s="5">
        <v>2</v>
      </c>
      <c r="E302" s="5">
        <v>2010</v>
      </c>
      <c r="F302" s="5" t="s">
        <v>30</v>
      </c>
      <c r="G302" s="5" t="s">
        <v>10</v>
      </c>
      <c r="H302" s="7">
        <v>17606.7</v>
      </c>
      <c r="I302" s="7">
        <v>19883.330000000002</v>
      </c>
      <c r="J302" s="7">
        <v>2276.630000000001</v>
      </c>
      <c r="K302" s="8">
        <v>0.12930475330413996</v>
      </c>
    </row>
    <row r="303" spans="1:11" x14ac:dyDescent="0.3">
      <c r="A303" s="5" t="s">
        <v>44</v>
      </c>
      <c r="B303" s="6">
        <v>40237</v>
      </c>
      <c r="C303" s="5">
        <v>10</v>
      </c>
      <c r="D303" s="5">
        <v>2</v>
      </c>
      <c r="E303" s="5">
        <v>2010</v>
      </c>
      <c r="F303" s="5" t="s">
        <v>9</v>
      </c>
      <c r="G303" s="5" t="s">
        <v>9</v>
      </c>
      <c r="H303" s="7">
        <v>86215.9</v>
      </c>
      <c r="I303" s="7">
        <v>98633.13</v>
      </c>
      <c r="J303" s="7">
        <v>12417.23000000001</v>
      </c>
      <c r="K303" s="8">
        <v>0.14402482604716776</v>
      </c>
    </row>
    <row r="304" spans="1:11" x14ac:dyDescent="0.3">
      <c r="A304" s="5" t="s">
        <v>44</v>
      </c>
      <c r="B304" s="6">
        <v>40237</v>
      </c>
      <c r="C304" s="5">
        <v>10</v>
      </c>
      <c r="D304" s="5">
        <v>2</v>
      </c>
      <c r="E304" s="5">
        <v>2010</v>
      </c>
      <c r="F304" s="5" t="s">
        <v>33</v>
      </c>
      <c r="G304" s="5" t="s">
        <v>7</v>
      </c>
      <c r="H304" s="7">
        <v>4583</v>
      </c>
      <c r="I304" s="7">
        <v>8454.81</v>
      </c>
      <c r="J304" s="7">
        <v>3871.8099999999995</v>
      </c>
      <c r="K304" s="8">
        <v>0.84481998690813864</v>
      </c>
    </row>
    <row r="305" spans="1:11" x14ac:dyDescent="0.3">
      <c r="A305" s="5" t="s">
        <v>44</v>
      </c>
      <c r="B305" s="6">
        <v>40237</v>
      </c>
      <c r="C305" s="5">
        <v>10</v>
      </c>
      <c r="D305" s="5">
        <v>2</v>
      </c>
      <c r="E305" s="5">
        <v>2010</v>
      </c>
      <c r="F305" s="5" t="s">
        <v>35</v>
      </c>
      <c r="G305" s="5" t="s">
        <v>11</v>
      </c>
      <c r="H305" s="7">
        <v>6220</v>
      </c>
      <c r="I305" s="7">
        <v>6758.62</v>
      </c>
      <c r="J305" s="7">
        <v>538.61999999999989</v>
      </c>
      <c r="K305" s="8">
        <v>8.659485530546622E-2</v>
      </c>
    </row>
    <row r="306" spans="1:11" x14ac:dyDescent="0.3">
      <c r="A306" s="5" t="s">
        <v>44</v>
      </c>
      <c r="B306" s="6">
        <v>40237</v>
      </c>
      <c r="C306" s="5">
        <v>10</v>
      </c>
      <c r="D306" s="5">
        <v>2</v>
      </c>
      <c r="E306" s="5">
        <v>2010</v>
      </c>
      <c r="F306" s="5" t="s">
        <v>36</v>
      </c>
      <c r="G306" s="5" t="s">
        <v>11</v>
      </c>
      <c r="H306" s="7">
        <v>73658.289999999994</v>
      </c>
      <c r="I306" s="7">
        <v>76257.070000000007</v>
      </c>
      <c r="J306" s="7">
        <v>2598.7800000000134</v>
      </c>
      <c r="K306" s="8">
        <v>3.5281568442601823E-2</v>
      </c>
    </row>
    <row r="307" spans="1:11" x14ac:dyDescent="0.3">
      <c r="A307" s="5" t="s">
        <v>44</v>
      </c>
      <c r="B307" s="6">
        <v>40237</v>
      </c>
      <c r="C307" s="5">
        <v>10</v>
      </c>
      <c r="D307" s="5">
        <v>2</v>
      </c>
      <c r="E307" s="5">
        <v>2010</v>
      </c>
      <c r="F307" s="5" t="s">
        <v>37</v>
      </c>
      <c r="G307" s="5" t="s">
        <v>11</v>
      </c>
      <c r="H307" s="7">
        <v>158361.01</v>
      </c>
      <c r="I307" s="7">
        <v>157760.42000000001</v>
      </c>
      <c r="J307" s="7">
        <v>-600.58999999999651</v>
      </c>
      <c r="K307" s="8">
        <v>-3.7925370645210993E-3</v>
      </c>
    </row>
    <row r="308" spans="1:11" x14ac:dyDescent="0.3">
      <c r="A308" s="5" t="s">
        <v>44</v>
      </c>
      <c r="B308" s="6">
        <v>40237</v>
      </c>
      <c r="C308" s="5">
        <v>10</v>
      </c>
      <c r="D308" s="5">
        <v>2</v>
      </c>
      <c r="E308" s="5">
        <v>2010</v>
      </c>
      <c r="F308" s="5" t="s">
        <v>38</v>
      </c>
      <c r="G308" s="5" t="s">
        <v>11</v>
      </c>
      <c r="H308" s="7">
        <v>136848.15</v>
      </c>
      <c r="I308" s="7">
        <v>140567.85</v>
      </c>
      <c r="J308" s="7">
        <v>3719.7000000000116</v>
      </c>
      <c r="K308" s="8">
        <v>2.7181222398695283E-2</v>
      </c>
    </row>
    <row r="309" spans="1:11" x14ac:dyDescent="0.3">
      <c r="A309" s="5" t="s">
        <v>44</v>
      </c>
      <c r="B309" s="6">
        <v>40238</v>
      </c>
      <c r="C309" s="5">
        <v>10</v>
      </c>
      <c r="D309" s="5">
        <v>3</v>
      </c>
      <c r="E309" s="5">
        <v>2010</v>
      </c>
      <c r="F309" s="5" t="s">
        <v>14</v>
      </c>
      <c r="G309" s="5" t="s">
        <v>6</v>
      </c>
      <c r="H309" s="7">
        <v>1761</v>
      </c>
      <c r="I309" s="7">
        <v>2034.59</v>
      </c>
      <c r="J309" s="7">
        <v>273.58999999999992</v>
      </c>
      <c r="K309" s="8">
        <v>0.15536059057353771</v>
      </c>
    </row>
    <row r="310" spans="1:11" x14ac:dyDescent="0.3">
      <c r="A310" s="5" t="s">
        <v>44</v>
      </c>
      <c r="B310" s="6">
        <v>40238</v>
      </c>
      <c r="C310" s="5">
        <v>10</v>
      </c>
      <c r="D310" s="5">
        <v>3</v>
      </c>
      <c r="E310" s="5">
        <v>2010</v>
      </c>
      <c r="F310" s="5" t="s">
        <v>15</v>
      </c>
      <c r="G310" s="5" t="s">
        <v>6</v>
      </c>
      <c r="H310" s="7">
        <v>25984.080000000002</v>
      </c>
      <c r="I310" s="7">
        <v>30920.68</v>
      </c>
      <c r="J310" s="7">
        <v>4936.5999999999985</v>
      </c>
      <c r="K310" s="8">
        <v>0.18998556038928444</v>
      </c>
    </row>
    <row r="311" spans="1:11" x14ac:dyDescent="0.3">
      <c r="A311" s="5" t="s">
        <v>44</v>
      </c>
      <c r="B311" s="6">
        <v>40238</v>
      </c>
      <c r="C311" s="5">
        <v>10</v>
      </c>
      <c r="D311" s="5">
        <v>3</v>
      </c>
      <c r="E311" s="5">
        <v>2010</v>
      </c>
      <c r="F311" s="5" t="s">
        <v>16</v>
      </c>
      <c r="G311" s="5" t="s">
        <v>6</v>
      </c>
      <c r="H311" s="7">
        <v>18750.849999999999</v>
      </c>
      <c r="I311" s="7">
        <v>20558.88</v>
      </c>
      <c r="J311" s="7">
        <v>1808.0300000000025</v>
      </c>
      <c r="K311" s="8">
        <v>9.6423895450073072E-2</v>
      </c>
    </row>
    <row r="312" spans="1:11" x14ac:dyDescent="0.3">
      <c r="A312" s="5" t="s">
        <v>44</v>
      </c>
      <c r="B312" s="6">
        <v>40238</v>
      </c>
      <c r="C312" s="5">
        <v>10</v>
      </c>
      <c r="D312" s="5">
        <v>3</v>
      </c>
      <c r="E312" s="5">
        <v>2010</v>
      </c>
      <c r="F312" s="5" t="s">
        <v>17</v>
      </c>
      <c r="G312" s="5" t="s">
        <v>6</v>
      </c>
      <c r="H312" s="7">
        <v>1420</v>
      </c>
      <c r="I312" s="7">
        <v>1634</v>
      </c>
      <c r="J312" s="7">
        <v>214</v>
      </c>
      <c r="K312" s="8">
        <v>0.15070422535211267</v>
      </c>
    </row>
    <row r="313" spans="1:11" x14ac:dyDescent="0.3">
      <c r="A313" s="5" t="s">
        <v>44</v>
      </c>
      <c r="B313" s="6">
        <v>40238</v>
      </c>
      <c r="C313" s="5">
        <v>10</v>
      </c>
      <c r="D313" s="5">
        <v>3</v>
      </c>
      <c r="E313" s="5">
        <v>2010</v>
      </c>
      <c r="F313" s="5" t="s">
        <v>18</v>
      </c>
      <c r="G313" s="5" t="s">
        <v>6</v>
      </c>
      <c r="H313" s="7">
        <v>4215.17</v>
      </c>
      <c r="I313" s="7">
        <v>4744.51</v>
      </c>
      <c r="J313" s="7">
        <v>529.34000000000015</v>
      </c>
      <c r="K313" s="8">
        <v>0.12557975123186019</v>
      </c>
    </row>
    <row r="314" spans="1:11" x14ac:dyDescent="0.3">
      <c r="A314" s="5" t="s">
        <v>44</v>
      </c>
      <c r="B314" s="6">
        <v>40238</v>
      </c>
      <c r="C314" s="5">
        <v>10</v>
      </c>
      <c r="D314" s="5">
        <v>3</v>
      </c>
      <c r="E314" s="5">
        <v>2010</v>
      </c>
      <c r="F314" s="5" t="s">
        <v>19</v>
      </c>
      <c r="G314" s="5" t="s">
        <v>5</v>
      </c>
      <c r="H314" s="7">
        <v>31868.7</v>
      </c>
      <c r="I314" s="7">
        <v>35136.089999999997</v>
      </c>
      <c r="J314" s="7">
        <v>3267.3899999999958</v>
      </c>
      <c r="K314" s="8">
        <v>0.10252661702548255</v>
      </c>
    </row>
    <row r="315" spans="1:11" x14ac:dyDescent="0.3">
      <c r="A315" s="5" t="s">
        <v>44</v>
      </c>
      <c r="B315" s="6">
        <v>40238</v>
      </c>
      <c r="C315" s="5">
        <v>10</v>
      </c>
      <c r="D315" s="5">
        <v>3</v>
      </c>
      <c r="E315" s="5">
        <v>2010</v>
      </c>
      <c r="F315" s="5" t="s">
        <v>5</v>
      </c>
      <c r="G315" s="5" t="s">
        <v>5</v>
      </c>
      <c r="H315" s="7">
        <v>155928.57</v>
      </c>
      <c r="I315" s="7">
        <v>161138.04</v>
      </c>
      <c r="J315" s="7">
        <v>5209.4700000000012</v>
      </c>
      <c r="K315" s="8">
        <v>3.3409336082540875E-2</v>
      </c>
    </row>
    <row r="316" spans="1:11" x14ac:dyDescent="0.3">
      <c r="A316" s="5" t="s">
        <v>44</v>
      </c>
      <c r="B316" s="6">
        <v>40238</v>
      </c>
      <c r="C316" s="5">
        <v>10</v>
      </c>
      <c r="D316" s="5">
        <v>3</v>
      </c>
      <c r="E316" s="5">
        <v>2010</v>
      </c>
      <c r="F316" s="5" t="s">
        <v>20</v>
      </c>
      <c r="G316" s="5" t="s">
        <v>5</v>
      </c>
      <c r="H316" s="7">
        <v>23145.25</v>
      </c>
      <c r="I316" s="7">
        <v>25459.599999999999</v>
      </c>
      <c r="J316" s="7">
        <v>2314.3499999999985</v>
      </c>
      <c r="K316" s="8">
        <v>9.9992439053369422E-2</v>
      </c>
    </row>
    <row r="317" spans="1:11" x14ac:dyDescent="0.3">
      <c r="A317" s="5" t="s">
        <v>44</v>
      </c>
      <c r="B317" s="6">
        <v>40238</v>
      </c>
      <c r="C317" s="5">
        <v>10</v>
      </c>
      <c r="D317" s="5">
        <v>3</v>
      </c>
      <c r="E317" s="5">
        <v>2010</v>
      </c>
      <c r="F317" s="5" t="s">
        <v>21</v>
      </c>
      <c r="G317" s="5" t="s">
        <v>5</v>
      </c>
      <c r="H317" s="7">
        <v>51221.67</v>
      </c>
      <c r="I317" s="7">
        <v>54080.5</v>
      </c>
      <c r="J317" s="7">
        <v>2858.8300000000017</v>
      </c>
      <c r="K317" s="8">
        <v>5.5812901063163341E-2</v>
      </c>
    </row>
    <row r="318" spans="1:11" x14ac:dyDescent="0.3">
      <c r="A318" s="5" t="s">
        <v>44</v>
      </c>
      <c r="B318" s="6">
        <v>40238</v>
      </c>
      <c r="C318" s="5">
        <v>10</v>
      </c>
      <c r="D318" s="5">
        <v>3</v>
      </c>
      <c r="E318" s="5">
        <v>2010</v>
      </c>
      <c r="F318" s="5" t="s">
        <v>22</v>
      </c>
      <c r="G318" s="5" t="s">
        <v>8</v>
      </c>
      <c r="H318" s="7">
        <v>61377.5</v>
      </c>
      <c r="I318" s="7">
        <v>67070.98</v>
      </c>
      <c r="J318" s="7">
        <v>5693.4799999999959</v>
      </c>
      <c r="K318" s="8">
        <v>9.27616797686448E-2</v>
      </c>
    </row>
    <row r="319" spans="1:11" x14ac:dyDescent="0.3">
      <c r="A319" s="5" t="s">
        <v>44</v>
      </c>
      <c r="B319" s="6">
        <v>40238</v>
      </c>
      <c r="C319" s="5">
        <v>10</v>
      </c>
      <c r="D319" s="5">
        <v>3</v>
      </c>
      <c r="E319" s="5">
        <v>2010</v>
      </c>
      <c r="F319" s="5" t="s">
        <v>23</v>
      </c>
      <c r="G319" s="5" t="s">
        <v>8</v>
      </c>
      <c r="H319" s="7">
        <v>33718.269999999997</v>
      </c>
      <c r="I319" s="7">
        <v>36728.339999999997</v>
      </c>
      <c r="J319" s="7">
        <v>3010.0699999999997</v>
      </c>
      <c r="K319" s="8">
        <v>8.927118740077708E-2</v>
      </c>
    </row>
    <row r="320" spans="1:11" x14ac:dyDescent="0.3">
      <c r="A320" s="5" t="s">
        <v>44</v>
      </c>
      <c r="B320" s="6">
        <v>40238</v>
      </c>
      <c r="C320" s="5">
        <v>10</v>
      </c>
      <c r="D320" s="5">
        <v>3</v>
      </c>
      <c r="E320" s="5">
        <v>2010</v>
      </c>
      <c r="F320" s="5" t="s">
        <v>24</v>
      </c>
      <c r="G320" s="5" t="s">
        <v>8</v>
      </c>
      <c r="H320" s="7">
        <v>13252</v>
      </c>
      <c r="I320" s="7">
        <v>14622.23</v>
      </c>
      <c r="J320" s="7">
        <v>1370.2299999999996</v>
      </c>
      <c r="K320" s="8">
        <v>0.10339797766374884</v>
      </c>
    </row>
    <row r="321" spans="1:11" x14ac:dyDescent="0.3">
      <c r="A321" s="5" t="s">
        <v>44</v>
      </c>
      <c r="B321" s="6">
        <v>40238</v>
      </c>
      <c r="C321" s="5">
        <v>10</v>
      </c>
      <c r="D321" s="5">
        <v>3</v>
      </c>
      <c r="E321" s="5">
        <v>2010</v>
      </c>
      <c r="F321" s="5" t="s">
        <v>25</v>
      </c>
      <c r="G321" s="5" t="s">
        <v>8</v>
      </c>
      <c r="H321" s="7">
        <v>180</v>
      </c>
      <c r="I321" s="7">
        <v>206.99</v>
      </c>
      <c r="J321" s="7">
        <v>26.990000000000009</v>
      </c>
      <c r="K321" s="8">
        <v>0.14994444444444449</v>
      </c>
    </row>
    <row r="322" spans="1:11" x14ac:dyDescent="0.3">
      <c r="A322" s="5" t="s">
        <v>44</v>
      </c>
      <c r="B322" s="6">
        <v>40238</v>
      </c>
      <c r="C322" s="5">
        <v>10</v>
      </c>
      <c r="D322" s="5">
        <v>3</v>
      </c>
      <c r="E322" s="5">
        <v>2010</v>
      </c>
      <c r="F322" s="5" t="s">
        <v>27</v>
      </c>
      <c r="G322" s="5" t="s">
        <v>10</v>
      </c>
      <c r="H322" s="7">
        <v>1324.58</v>
      </c>
      <c r="I322" s="7">
        <v>1523.03</v>
      </c>
      <c r="J322" s="7">
        <v>198.45000000000005</v>
      </c>
      <c r="K322" s="8">
        <v>0.14982107535973671</v>
      </c>
    </row>
    <row r="323" spans="1:11" x14ac:dyDescent="0.3">
      <c r="A323" s="5" t="s">
        <v>44</v>
      </c>
      <c r="B323" s="6">
        <v>40238</v>
      </c>
      <c r="C323" s="5">
        <v>10</v>
      </c>
      <c r="D323" s="5">
        <v>3</v>
      </c>
      <c r="E323" s="5">
        <v>2010</v>
      </c>
      <c r="F323" s="5" t="s">
        <v>29</v>
      </c>
      <c r="G323" s="5" t="s">
        <v>10</v>
      </c>
      <c r="H323" s="7">
        <v>48951</v>
      </c>
      <c r="I323" s="7">
        <v>54897.88</v>
      </c>
      <c r="J323" s="7">
        <v>5946.8799999999974</v>
      </c>
      <c r="K323" s="8">
        <v>0.12148638434352715</v>
      </c>
    </row>
    <row r="324" spans="1:11" x14ac:dyDescent="0.3">
      <c r="A324" s="5" t="s">
        <v>44</v>
      </c>
      <c r="B324" s="6">
        <v>40238</v>
      </c>
      <c r="C324" s="5">
        <v>10</v>
      </c>
      <c r="D324" s="5">
        <v>3</v>
      </c>
      <c r="E324" s="5">
        <v>2010</v>
      </c>
      <c r="F324" s="5" t="s">
        <v>30</v>
      </c>
      <c r="G324" s="5" t="s">
        <v>10</v>
      </c>
      <c r="H324" s="7">
        <v>8368.92</v>
      </c>
      <c r="I324" s="7">
        <v>9469.67</v>
      </c>
      <c r="J324" s="7">
        <v>1100.75</v>
      </c>
      <c r="K324" s="8">
        <v>0.13152832145605406</v>
      </c>
    </row>
    <row r="325" spans="1:11" x14ac:dyDescent="0.3">
      <c r="A325" s="5" t="s">
        <v>44</v>
      </c>
      <c r="B325" s="6">
        <v>40238</v>
      </c>
      <c r="C325" s="5">
        <v>10</v>
      </c>
      <c r="D325" s="5">
        <v>3</v>
      </c>
      <c r="E325" s="5">
        <v>2010</v>
      </c>
      <c r="F325" s="5" t="s">
        <v>9</v>
      </c>
      <c r="G325" s="5" t="s">
        <v>9</v>
      </c>
      <c r="H325" s="7">
        <v>42114.66</v>
      </c>
      <c r="I325" s="7">
        <v>48871.13</v>
      </c>
      <c r="J325" s="7">
        <v>6756.4699999999939</v>
      </c>
      <c r="K325" s="8">
        <v>0.1604303584547517</v>
      </c>
    </row>
    <row r="326" spans="1:11" x14ac:dyDescent="0.3">
      <c r="A326" s="5" t="s">
        <v>44</v>
      </c>
      <c r="B326" s="6">
        <v>40238</v>
      </c>
      <c r="C326" s="5">
        <v>10</v>
      </c>
      <c r="D326" s="5">
        <v>3</v>
      </c>
      <c r="E326" s="5">
        <v>2010</v>
      </c>
      <c r="F326" s="5" t="s">
        <v>33</v>
      </c>
      <c r="G326" s="5" t="s">
        <v>7</v>
      </c>
      <c r="H326" s="7">
        <v>3026</v>
      </c>
      <c r="I326" s="7">
        <v>5091.99</v>
      </c>
      <c r="J326" s="7">
        <v>2065.9899999999998</v>
      </c>
      <c r="K326" s="8">
        <v>0.68274619960343685</v>
      </c>
    </row>
    <row r="327" spans="1:11" x14ac:dyDescent="0.3">
      <c r="A327" s="5" t="s">
        <v>44</v>
      </c>
      <c r="B327" s="6">
        <v>40238</v>
      </c>
      <c r="C327" s="5">
        <v>10</v>
      </c>
      <c r="D327" s="5">
        <v>3</v>
      </c>
      <c r="E327" s="5">
        <v>2010</v>
      </c>
      <c r="F327" s="5" t="s">
        <v>35</v>
      </c>
      <c r="G327" s="5" t="s">
        <v>11</v>
      </c>
      <c r="H327" s="7">
        <v>2940</v>
      </c>
      <c r="I327" s="7">
        <v>3293</v>
      </c>
      <c r="J327" s="7">
        <v>353</v>
      </c>
      <c r="K327" s="8">
        <v>0.12006802721088436</v>
      </c>
    </row>
    <row r="328" spans="1:11" x14ac:dyDescent="0.3">
      <c r="A328" s="5" t="s">
        <v>44</v>
      </c>
      <c r="B328" s="6">
        <v>40238</v>
      </c>
      <c r="C328" s="5">
        <v>10</v>
      </c>
      <c r="D328" s="5">
        <v>3</v>
      </c>
      <c r="E328" s="5">
        <v>2010</v>
      </c>
      <c r="F328" s="5" t="s">
        <v>36</v>
      </c>
      <c r="G328" s="5" t="s">
        <v>11</v>
      </c>
      <c r="H328" s="7">
        <v>20239.849999999999</v>
      </c>
      <c r="I328" s="7">
        <v>22700.49</v>
      </c>
      <c r="J328" s="7">
        <v>2460.6400000000031</v>
      </c>
      <c r="K328" s="8">
        <v>0.12157402352290177</v>
      </c>
    </row>
    <row r="329" spans="1:11" x14ac:dyDescent="0.3">
      <c r="A329" s="5" t="s">
        <v>44</v>
      </c>
      <c r="B329" s="6">
        <v>40238</v>
      </c>
      <c r="C329" s="5">
        <v>10</v>
      </c>
      <c r="D329" s="5">
        <v>3</v>
      </c>
      <c r="E329" s="5">
        <v>2010</v>
      </c>
      <c r="F329" s="5" t="s">
        <v>37</v>
      </c>
      <c r="G329" s="5" t="s">
        <v>11</v>
      </c>
      <c r="H329" s="7">
        <v>59698.81</v>
      </c>
      <c r="I329" s="7">
        <v>62913.59</v>
      </c>
      <c r="J329" s="7">
        <v>3214.7799999999988</v>
      </c>
      <c r="K329" s="8">
        <v>5.3849984614433667E-2</v>
      </c>
    </row>
    <row r="330" spans="1:11" x14ac:dyDescent="0.3">
      <c r="A330" s="5" t="s">
        <v>44</v>
      </c>
      <c r="B330" s="6">
        <v>40238</v>
      </c>
      <c r="C330" s="5">
        <v>10</v>
      </c>
      <c r="D330" s="5">
        <v>3</v>
      </c>
      <c r="E330" s="5">
        <v>2010</v>
      </c>
      <c r="F330" s="5" t="s">
        <v>38</v>
      </c>
      <c r="G330" s="5" t="s">
        <v>11</v>
      </c>
      <c r="H330" s="7">
        <v>91037.7</v>
      </c>
      <c r="I330" s="7">
        <v>93840.27</v>
      </c>
      <c r="J330" s="7">
        <v>2802.570000000007</v>
      </c>
      <c r="K330" s="8">
        <v>3.0784718858231339E-2</v>
      </c>
    </row>
    <row r="331" spans="1:11" x14ac:dyDescent="0.3">
      <c r="A331" s="5" t="s">
        <v>44</v>
      </c>
      <c r="B331" s="6">
        <v>40239</v>
      </c>
      <c r="C331" s="5">
        <v>10</v>
      </c>
      <c r="D331" s="5">
        <v>3</v>
      </c>
      <c r="E331" s="5">
        <v>2010</v>
      </c>
      <c r="F331" s="5" t="s">
        <v>14</v>
      </c>
      <c r="G331" s="5" t="s">
        <v>6</v>
      </c>
      <c r="H331" s="7">
        <v>2744</v>
      </c>
      <c r="I331" s="7">
        <v>3156.54</v>
      </c>
      <c r="J331" s="7">
        <v>412.53999999999996</v>
      </c>
      <c r="K331" s="8">
        <v>0.15034256559766762</v>
      </c>
    </row>
    <row r="332" spans="1:11" x14ac:dyDescent="0.3">
      <c r="A332" s="5" t="s">
        <v>44</v>
      </c>
      <c r="B332" s="6">
        <v>40239</v>
      </c>
      <c r="C332" s="5">
        <v>10</v>
      </c>
      <c r="D332" s="5">
        <v>3</v>
      </c>
      <c r="E332" s="5">
        <v>2010</v>
      </c>
      <c r="F332" s="5" t="s">
        <v>15</v>
      </c>
      <c r="G332" s="5" t="s">
        <v>6</v>
      </c>
      <c r="H332" s="7">
        <v>34139.21</v>
      </c>
      <c r="I332" s="7">
        <v>39272.5</v>
      </c>
      <c r="J332" s="7">
        <v>5133.2900000000009</v>
      </c>
      <c r="K332" s="8">
        <v>0.15036346769594261</v>
      </c>
    </row>
    <row r="333" spans="1:11" x14ac:dyDescent="0.3">
      <c r="A333" s="5" t="s">
        <v>44</v>
      </c>
      <c r="B333" s="6">
        <v>40239</v>
      </c>
      <c r="C333" s="5">
        <v>10</v>
      </c>
      <c r="D333" s="5">
        <v>3</v>
      </c>
      <c r="E333" s="5">
        <v>2010</v>
      </c>
      <c r="F333" s="5" t="s">
        <v>16</v>
      </c>
      <c r="G333" s="5" t="s">
        <v>6</v>
      </c>
      <c r="H333" s="7">
        <v>34322.75</v>
      </c>
      <c r="I333" s="7">
        <v>38007.660000000003</v>
      </c>
      <c r="J333" s="7">
        <v>3684.9100000000035</v>
      </c>
      <c r="K333" s="8">
        <v>0.10736056988440622</v>
      </c>
    </row>
    <row r="334" spans="1:11" x14ac:dyDescent="0.3">
      <c r="A334" s="5" t="s">
        <v>44</v>
      </c>
      <c r="B334" s="6">
        <v>40239</v>
      </c>
      <c r="C334" s="5">
        <v>10</v>
      </c>
      <c r="D334" s="5">
        <v>3</v>
      </c>
      <c r="E334" s="5">
        <v>2010</v>
      </c>
      <c r="F334" s="5" t="s">
        <v>18</v>
      </c>
      <c r="G334" s="5" t="s">
        <v>6</v>
      </c>
      <c r="H334" s="7">
        <v>3422</v>
      </c>
      <c r="I334" s="7">
        <v>3838.83</v>
      </c>
      <c r="J334" s="7">
        <v>416.82999999999993</v>
      </c>
      <c r="K334" s="8">
        <v>0.12180888369374633</v>
      </c>
    </row>
    <row r="335" spans="1:11" x14ac:dyDescent="0.3">
      <c r="A335" s="5" t="s">
        <v>44</v>
      </c>
      <c r="B335" s="6">
        <v>40239</v>
      </c>
      <c r="C335" s="5">
        <v>10</v>
      </c>
      <c r="D335" s="5">
        <v>3</v>
      </c>
      <c r="E335" s="5">
        <v>2010</v>
      </c>
      <c r="F335" s="5" t="s">
        <v>19</v>
      </c>
      <c r="G335" s="5" t="s">
        <v>5</v>
      </c>
      <c r="H335" s="7">
        <v>51122.38</v>
      </c>
      <c r="I335" s="7">
        <v>57127.63</v>
      </c>
      <c r="J335" s="7">
        <v>6005.25</v>
      </c>
      <c r="K335" s="8">
        <v>0.1174681225717582</v>
      </c>
    </row>
    <row r="336" spans="1:11" x14ac:dyDescent="0.3">
      <c r="A336" s="5" t="s">
        <v>44</v>
      </c>
      <c r="B336" s="6">
        <v>40239</v>
      </c>
      <c r="C336" s="5">
        <v>10</v>
      </c>
      <c r="D336" s="5">
        <v>3</v>
      </c>
      <c r="E336" s="5">
        <v>2010</v>
      </c>
      <c r="F336" s="5" t="s">
        <v>5</v>
      </c>
      <c r="G336" s="5" t="s">
        <v>5</v>
      </c>
      <c r="H336" s="7">
        <v>199955.11</v>
      </c>
      <c r="I336" s="7">
        <v>207476.32</v>
      </c>
      <c r="J336" s="7">
        <v>7521.210000000021</v>
      </c>
      <c r="K336" s="8">
        <v>3.7614492572858087E-2</v>
      </c>
    </row>
    <row r="337" spans="1:11" x14ac:dyDescent="0.3">
      <c r="A337" s="5" t="s">
        <v>44</v>
      </c>
      <c r="B337" s="6">
        <v>40239</v>
      </c>
      <c r="C337" s="5">
        <v>10</v>
      </c>
      <c r="D337" s="5">
        <v>3</v>
      </c>
      <c r="E337" s="5">
        <v>2010</v>
      </c>
      <c r="F337" s="5" t="s">
        <v>20</v>
      </c>
      <c r="G337" s="5" t="s">
        <v>5</v>
      </c>
      <c r="H337" s="7">
        <v>40530.6</v>
      </c>
      <c r="I337" s="7">
        <v>44775.35</v>
      </c>
      <c r="J337" s="7">
        <v>4244.75</v>
      </c>
      <c r="K337" s="8">
        <v>0.10472951300992336</v>
      </c>
    </row>
    <row r="338" spans="1:11" x14ac:dyDescent="0.3">
      <c r="A338" s="5" t="s">
        <v>44</v>
      </c>
      <c r="B338" s="6">
        <v>40239</v>
      </c>
      <c r="C338" s="5">
        <v>10</v>
      </c>
      <c r="D338" s="5">
        <v>3</v>
      </c>
      <c r="E338" s="5">
        <v>2010</v>
      </c>
      <c r="F338" s="5" t="s">
        <v>21</v>
      </c>
      <c r="G338" s="5" t="s">
        <v>5</v>
      </c>
      <c r="H338" s="7">
        <v>51949.83</v>
      </c>
      <c r="I338" s="7">
        <v>54890.86</v>
      </c>
      <c r="J338" s="7">
        <v>2941.0299999999988</v>
      </c>
      <c r="K338" s="8">
        <v>5.6612889782314949E-2</v>
      </c>
    </row>
    <row r="339" spans="1:11" x14ac:dyDescent="0.3">
      <c r="A339" s="5" t="s">
        <v>44</v>
      </c>
      <c r="B339" s="6">
        <v>40239</v>
      </c>
      <c r="C339" s="5">
        <v>10</v>
      </c>
      <c r="D339" s="5">
        <v>3</v>
      </c>
      <c r="E339" s="5">
        <v>2010</v>
      </c>
      <c r="F339" s="5" t="s">
        <v>22</v>
      </c>
      <c r="G339" s="5" t="s">
        <v>8</v>
      </c>
      <c r="H339" s="7">
        <v>95666</v>
      </c>
      <c r="I339" s="7">
        <v>105602.27</v>
      </c>
      <c r="J339" s="7">
        <v>9936.2700000000041</v>
      </c>
      <c r="K339" s="8">
        <v>0.10386417326950018</v>
      </c>
    </row>
    <row r="340" spans="1:11" x14ac:dyDescent="0.3">
      <c r="A340" s="5" t="s">
        <v>44</v>
      </c>
      <c r="B340" s="6">
        <v>40239</v>
      </c>
      <c r="C340" s="5">
        <v>10</v>
      </c>
      <c r="D340" s="5">
        <v>3</v>
      </c>
      <c r="E340" s="5">
        <v>2010</v>
      </c>
      <c r="F340" s="5" t="s">
        <v>23</v>
      </c>
      <c r="G340" s="5" t="s">
        <v>8</v>
      </c>
      <c r="H340" s="7">
        <v>31426.61</v>
      </c>
      <c r="I340" s="7">
        <v>33103.33</v>
      </c>
      <c r="J340" s="7">
        <v>1676.7200000000012</v>
      </c>
      <c r="K340" s="8">
        <v>5.3353511562335268E-2</v>
      </c>
    </row>
    <row r="341" spans="1:11" x14ac:dyDescent="0.3">
      <c r="A341" s="5" t="s">
        <v>44</v>
      </c>
      <c r="B341" s="6">
        <v>40239</v>
      </c>
      <c r="C341" s="5">
        <v>10</v>
      </c>
      <c r="D341" s="5">
        <v>3</v>
      </c>
      <c r="E341" s="5">
        <v>2010</v>
      </c>
      <c r="F341" s="5" t="s">
        <v>24</v>
      </c>
      <c r="G341" s="5" t="s">
        <v>8</v>
      </c>
      <c r="H341" s="7">
        <v>33678.44</v>
      </c>
      <c r="I341" s="7">
        <v>35755.11</v>
      </c>
      <c r="J341" s="7">
        <v>2076.6699999999983</v>
      </c>
      <c r="K341" s="8">
        <v>6.1661704045674268E-2</v>
      </c>
    </row>
    <row r="342" spans="1:11" x14ac:dyDescent="0.3">
      <c r="A342" s="5" t="s">
        <v>44</v>
      </c>
      <c r="B342" s="6">
        <v>40239</v>
      </c>
      <c r="C342" s="5">
        <v>10</v>
      </c>
      <c r="D342" s="5">
        <v>3</v>
      </c>
      <c r="E342" s="5">
        <v>2010</v>
      </c>
      <c r="F342" s="5" t="s">
        <v>25</v>
      </c>
      <c r="G342" s="5" t="s">
        <v>8</v>
      </c>
      <c r="H342" s="7">
        <v>520</v>
      </c>
      <c r="I342" s="7">
        <v>595.55999999999995</v>
      </c>
      <c r="J342" s="7">
        <v>75.559999999999945</v>
      </c>
      <c r="K342" s="8">
        <v>0.14530769230769219</v>
      </c>
    </row>
    <row r="343" spans="1:11" x14ac:dyDescent="0.3">
      <c r="A343" s="5" t="s">
        <v>44</v>
      </c>
      <c r="B343" s="6">
        <v>40239</v>
      </c>
      <c r="C343" s="5">
        <v>10</v>
      </c>
      <c r="D343" s="5">
        <v>3</v>
      </c>
      <c r="E343" s="5">
        <v>2010</v>
      </c>
      <c r="F343" s="5" t="s">
        <v>27</v>
      </c>
      <c r="G343" s="5" t="s">
        <v>10</v>
      </c>
      <c r="H343" s="7">
        <v>4153.38</v>
      </c>
      <c r="I343" s="7">
        <v>4775.47</v>
      </c>
      <c r="J343" s="7">
        <v>622.09000000000015</v>
      </c>
      <c r="K343" s="8">
        <v>0.14977921596386559</v>
      </c>
    </row>
    <row r="344" spans="1:11" x14ac:dyDescent="0.3">
      <c r="A344" s="5" t="s">
        <v>44</v>
      </c>
      <c r="B344" s="6">
        <v>40239</v>
      </c>
      <c r="C344" s="5">
        <v>10</v>
      </c>
      <c r="D344" s="5">
        <v>3</v>
      </c>
      <c r="E344" s="5">
        <v>2010</v>
      </c>
      <c r="F344" s="5" t="s">
        <v>29</v>
      </c>
      <c r="G344" s="5" t="s">
        <v>10</v>
      </c>
      <c r="H344" s="7">
        <v>61611</v>
      </c>
      <c r="I344" s="7">
        <v>67411.38</v>
      </c>
      <c r="J344" s="7">
        <v>5800.3800000000047</v>
      </c>
      <c r="K344" s="8">
        <v>9.4145201343915935E-2</v>
      </c>
    </row>
    <row r="345" spans="1:11" x14ac:dyDescent="0.3">
      <c r="A345" s="5" t="s">
        <v>44</v>
      </c>
      <c r="B345" s="6">
        <v>40239</v>
      </c>
      <c r="C345" s="5">
        <v>10</v>
      </c>
      <c r="D345" s="5">
        <v>3</v>
      </c>
      <c r="E345" s="5">
        <v>2010</v>
      </c>
      <c r="F345" s="5" t="s">
        <v>30</v>
      </c>
      <c r="G345" s="5" t="s">
        <v>10</v>
      </c>
      <c r="H345" s="7">
        <v>9632.52</v>
      </c>
      <c r="I345" s="7">
        <v>10950.57</v>
      </c>
      <c r="J345" s="7">
        <v>1318.0499999999993</v>
      </c>
      <c r="K345" s="8">
        <v>0.13683335202003205</v>
      </c>
    </row>
    <row r="346" spans="1:11" x14ac:dyDescent="0.3">
      <c r="A346" s="5" t="s">
        <v>44</v>
      </c>
      <c r="B346" s="6">
        <v>40239</v>
      </c>
      <c r="C346" s="5">
        <v>10</v>
      </c>
      <c r="D346" s="5">
        <v>3</v>
      </c>
      <c r="E346" s="5">
        <v>2010</v>
      </c>
      <c r="F346" s="5" t="s">
        <v>9</v>
      </c>
      <c r="G346" s="5" t="s">
        <v>9</v>
      </c>
      <c r="H346" s="7">
        <v>64119.07</v>
      </c>
      <c r="I346" s="7">
        <v>74443.16</v>
      </c>
      <c r="J346" s="7">
        <v>10324.090000000004</v>
      </c>
      <c r="K346" s="8">
        <v>0.16101434409451049</v>
      </c>
    </row>
    <row r="347" spans="1:11" x14ac:dyDescent="0.3">
      <c r="A347" s="5" t="s">
        <v>44</v>
      </c>
      <c r="B347" s="6">
        <v>40239</v>
      </c>
      <c r="C347" s="5">
        <v>10</v>
      </c>
      <c r="D347" s="5">
        <v>3</v>
      </c>
      <c r="E347" s="5">
        <v>2010</v>
      </c>
      <c r="F347" s="5" t="s">
        <v>33</v>
      </c>
      <c r="G347" s="5" t="s">
        <v>7</v>
      </c>
      <c r="H347" s="7">
        <v>3813.82</v>
      </c>
      <c r="I347" s="7">
        <v>5005.03</v>
      </c>
      <c r="J347" s="7">
        <v>1191.2099999999996</v>
      </c>
      <c r="K347" s="8">
        <v>0.31234038313292173</v>
      </c>
    </row>
    <row r="348" spans="1:11" x14ac:dyDescent="0.3">
      <c r="A348" s="5" t="s">
        <v>44</v>
      </c>
      <c r="B348" s="6">
        <v>40239</v>
      </c>
      <c r="C348" s="5">
        <v>10</v>
      </c>
      <c r="D348" s="5">
        <v>3</v>
      </c>
      <c r="E348" s="5">
        <v>2010</v>
      </c>
      <c r="F348" s="5" t="s">
        <v>35</v>
      </c>
      <c r="G348" s="5" t="s">
        <v>11</v>
      </c>
      <c r="H348" s="7">
        <v>1357</v>
      </c>
      <c r="I348" s="7">
        <v>1502.49</v>
      </c>
      <c r="J348" s="7">
        <v>145.49</v>
      </c>
      <c r="K348" s="8">
        <v>0.10721444362564481</v>
      </c>
    </row>
    <row r="349" spans="1:11" x14ac:dyDescent="0.3">
      <c r="A349" s="5" t="s">
        <v>44</v>
      </c>
      <c r="B349" s="6">
        <v>40239</v>
      </c>
      <c r="C349" s="5">
        <v>10</v>
      </c>
      <c r="D349" s="5">
        <v>3</v>
      </c>
      <c r="E349" s="5">
        <v>2010</v>
      </c>
      <c r="F349" s="5" t="s">
        <v>36</v>
      </c>
      <c r="G349" s="5" t="s">
        <v>11</v>
      </c>
      <c r="H349" s="7">
        <v>32120.959999999999</v>
      </c>
      <c r="I349" s="7">
        <v>36039.440000000002</v>
      </c>
      <c r="J349" s="7">
        <v>3918.4800000000032</v>
      </c>
      <c r="K349" s="8">
        <v>0.12199137261152852</v>
      </c>
    </row>
    <row r="350" spans="1:11" x14ac:dyDescent="0.3">
      <c r="A350" s="5" t="s">
        <v>44</v>
      </c>
      <c r="B350" s="6">
        <v>40239</v>
      </c>
      <c r="C350" s="5">
        <v>10</v>
      </c>
      <c r="D350" s="5">
        <v>3</v>
      </c>
      <c r="E350" s="5">
        <v>2010</v>
      </c>
      <c r="F350" s="5" t="s">
        <v>37</v>
      </c>
      <c r="G350" s="5" t="s">
        <v>11</v>
      </c>
      <c r="H350" s="7">
        <v>58623.23</v>
      </c>
      <c r="I350" s="7">
        <v>63508.73</v>
      </c>
      <c r="J350" s="7">
        <v>4885.5</v>
      </c>
      <c r="K350" s="8">
        <v>8.3337270907795427E-2</v>
      </c>
    </row>
    <row r="351" spans="1:11" x14ac:dyDescent="0.3">
      <c r="A351" s="5" t="s">
        <v>44</v>
      </c>
      <c r="B351" s="6">
        <v>40239</v>
      </c>
      <c r="C351" s="5">
        <v>10</v>
      </c>
      <c r="D351" s="5">
        <v>3</v>
      </c>
      <c r="E351" s="5">
        <v>2010</v>
      </c>
      <c r="F351" s="5" t="s">
        <v>38</v>
      </c>
      <c r="G351" s="5" t="s">
        <v>11</v>
      </c>
      <c r="H351" s="7">
        <v>75581.039999999994</v>
      </c>
      <c r="I351" s="7">
        <v>78443.240000000005</v>
      </c>
      <c r="J351" s="7">
        <v>2862.2000000000116</v>
      </c>
      <c r="K351" s="8">
        <v>3.7869285736211247E-2</v>
      </c>
    </row>
    <row r="352" spans="1:11" x14ac:dyDescent="0.3">
      <c r="A352" s="5" t="s">
        <v>44</v>
      </c>
      <c r="B352" s="6">
        <v>40240</v>
      </c>
      <c r="C352" s="5">
        <v>10</v>
      </c>
      <c r="D352" s="5">
        <v>3</v>
      </c>
      <c r="E352" s="5">
        <v>2010</v>
      </c>
      <c r="F352" s="5" t="s">
        <v>14</v>
      </c>
      <c r="G352" s="5" t="s">
        <v>6</v>
      </c>
      <c r="H352" s="7">
        <v>1639</v>
      </c>
      <c r="I352" s="7">
        <v>1895.89</v>
      </c>
      <c r="J352" s="7">
        <v>256.8900000000001</v>
      </c>
      <c r="K352" s="8">
        <v>0.15673581452104948</v>
      </c>
    </row>
    <row r="353" spans="1:11" x14ac:dyDescent="0.3">
      <c r="A353" s="5" t="s">
        <v>44</v>
      </c>
      <c r="B353" s="6">
        <v>40240</v>
      </c>
      <c r="C353" s="5">
        <v>10</v>
      </c>
      <c r="D353" s="5">
        <v>3</v>
      </c>
      <c r="E353" s="5">
        <v>2010</v>
      </c>
      <c r="F353" s="5" t="s">
        <v>15</v>
      </c>
      <c r="G353" s="5" t="s">
        <v>6</v>
      </c>
      <c r="H353" s="7">
        <v>36537.230000000003</v>
      </c>
      <c r="I353" s="7">
        <v>41724.839999999997</v>
      </c>
      <c r="J353" s="7">
        <v>5187.6099999999933</v>
      </c>
      <c r="K353" s="8">
        <v>0.14198148025999763</v>
      </c>
    </row>
    <row r="354" spans="1:11" x14ac:dyDescent="0.3">
      <c r="A354" s="5" t="s">
        <v>44</v>
      </c>
      <c r="B354" s="6">
        <v>40240</v>
      </c>
      <c r="C354" s="5">
        <v>10</v>
      </c>
      <c r="D354" s="5">
        <v>3</v>
      </c>
      <c r="E354" s="5">
        <v>2010</v>
      </c>
      <c r="F354" s="5" t="s">
        <v>16</v>
      </c>
      <c r="G354" s="5" t="s">
        <v>6</v>
      </c>
      <c r="H354" s="7">
        <v>190955.49</v>
      </c>
      <c r="I354" s="7">
        <v>200063.33</v>
      </c>
      <c r="J354" s="7">
        <v>9107.8399999999965</v>
      </c>
      <c r="K354" s="8">
        <v>4.7696141126919139E-2</v>
      </c>
    </row>
    <row r="355" spans="1:11" x14ac:dyDescent="0.3">
      <c r="A355" s="5" t="s">
        <v>44</v>
      </c>
      <c r="B355" s="6">
        <v>40240</v>
      </c>
      <c r="C355" s="5">
        <v>10</v>
      </c>
      <c r="D355" s="5">
        <v>3</v>
      </c>
      <c r="E355" s="5">
        <v>2010</v>
      </c>
      <c r="F355" s="5" t="s">
        <v>18</v>
      </c>
      <c r="G355" s="5" t="s">
        <v>6</v>
      </c>
      <c r="H355" s="7">
        <v>6060.15</v>
      </c>
      <c r="I355" s="7">
        <v>6809.7</v>
      </c>
      <c r="J355" s="7">
        <v>749.55000000000018</v>
      </c>
      <c r="K355" s="8">
        <v>0.12368505730056191</v>
      </c>
    </row>
    <row r="356" spans="1:11" x14ac:dyDescent="0.3">
      <c r="A356" s="5" t="s">
        <v>44</v>
      </c>
      <c r="B356" s="6">
        <v>40240</v>
      </c>
      <c r="C356" s="5">
        <v>10</v>
      </c>
      <c r="D356" s="5">
        <v>3</v>
      </c>
      <c r="E356" s="5">
        <v>2010</v>
      </c>
      <c r="F356" s="5" t="s">
        <v>19</v>
      </c>
      <c r="G356" s="5" t="s">
        <v>5</v>
      </c>
      <c r="H356" s="7">
        <v>70251.55</v>
      </c>
      <c r="I356" s="7">
        <v>77956.05</v>
      </c>
      <c r="J356" s="7">
        <v>7704.5</v>
      </c>
      <c r="K356" s="8">
        <v>0.10967017809571461</v>
      </c>
    </row>
    <row r="357" spans="1:11" x14ac:dyDescent="0.3">
      <c r="A357" s="5" t="s">
        <v>44</v>
      </c>
      <c r="B357" s="6">
        <v>40240</v>
      </c>
      <c r="C357" s="5">
        <v>10</v>
      </c>
      <c r="D357" s="5">
        <v>3</v>
      </c>
      <c r="E357" s="5">
        <v>2010</v>
      </c>
      <c r="F357" s="5" t="s">
        <v>5</v>
      </c>
      <c r="G357" s="5" t="s">
        <v>5</v>
      </c>
      <c r="H357" s="7">
        <v>177719.91</v>
      </c>
      <c r="I357" s="7">
        <v>186816.81</v>
      </c>
      <c r="J357" s="7">
        <v>9096.8999999999942</v>
      </c>
      <c r="K357" s="8">
        <v>5.1186724098611087E-2</v>
      </c>
    </row>
    <row r="358" spans="1:11" x14ac:dyDescent="0.3">
      <c r="A358" s="5" t="s">
        <v>44</v>
      </c>
      <c r="B358" s="6">
        <v>40240</v>
      </c>
      <c r="C358" s="5">
        <v>10</v>
      </c>
      <c r="D358" s="5">
        <v>3</v>
      </c>
      <c r="E358" s="5">
        <v>2010</v>
      </c>
      <c r="F358" s="5" t="s">
        <v>20</v>
      </c>
      <c r="G358" s="5" t="s">
        <v>5</v>
      </c>
      <c r="H358" s="7">
        <v>35171.14</v>
      </c>
      <c r="I358" s="7">
        <v>38879.22</v>
      </c>
      <c r="J358" s="7">
        <v>3708.0800000000017</v>
      </c>
      <c r="K358" s="8">
        <v>0.10542962212768769</v>
      </c>
    </row>
    <row r="359" spans="1:11" x14ac:dyDescent="0.3">
      <c r="A359" s="5" t="s">
        <v>44</v>
      </c>
      <c r="B359" s="6">
        <v>40240</v>
      </c>
      <c r="C359" s="5">
        <v>10</v>
      </c>
      <c r="D359" s="5">
        <v>3</v>
      </c>
      <c r="E359" s="5">
        <v>2010</v>
      </c>
      <c r="F359" s="5" t="s">
        <v>21</v>
      </c>
      <c r="G359" s="5" t="s">
        <v>5</v>
      </c>
      <c r="H359" s="7">
        <v>71466.28</v>
      </c>
      <c r="I359" s="7">
        <v>75985.89</v>
      </c>
      <c r="J359" s="7">
        <v>4519.6100000000006</v>
      </c>
      <c r="K359" s="8">
        <v>6.3241153730122804E-2</v>
      </c>
    </row>
    <row r="360" spans="1:11" x14ac:dyDescent="0.3">
      <c r="A360" s="5" t="s">
        <v>44</v>
      </c>
      <c r="B360" s="6">
        <v>40240</v>
      </c>
      <c r="C360" s="5">
        <v>10</v>
      </c>
      <c r="D360" s="5">
        <v>3</v>
      </c>
      <c r="E360" s="5">
        <v>2010</v>
      </c>
      <c r="F360" s="5" t="s">
        <v>22</v>
      </c>
      <c r="G360" s="5" t="s">
        <v>8</v>
      </c>
      <c r="H360" s="7">
        <v>127147.5</v>
      </c>
      <c r="I360" s="7">
        <v>140558.79</v>
      </c>
      <c r="J360" s="7">
        <v>13411.290000000008</v>
      </c>
      <c r="K360" s="8">
        <v>0.10547820444759046</v>
      </c>
    </row>
    <row r="361" spans="1:11" x14ac:dyDescent="0.3">
      <c r="A361" s="5" t="s">
        <v>44</v>
      </c>
      <c r="B361" s="6">
        <v>40240</v>
      </c>
      <c r="C361" s="5">
        <v>10</v>
      </c>
      <c r="D361" s="5">
        <v>3</v>
      </c>
      <c r="E361" s="5">
        <v>2010</v>
      </c>
      <c r="F361" s="5" t="s">
        <v>23</v>
      </c>
      <c r="G361" s="5" t="s">
        <v>8</v>
      </c>
      <c r="H361" s="7">
        <v>31187.66</v>
      </c>
      <c r="I361" s="7">
        <v>33364.65</v>
      </c>
      <c r="J361" s="7">
        <v>2176.9900000000016</v>
      </c>
      <c r="K361" s="8">
        <v>6.9802928465938177E-2</v>
      </c>
    </row>
    <row r="362" spans="1:11" x14ac:dyDescent="0.3">
      <c r="A362" s="5" t="s">
        <v>44</v>
      </c>
      <c r="B362" s="6">
        <v>40240</v>
      </c>
      <c r="C362" s="5">
        <v>10</v>
      </c>
      <c r="D362" s="5">
        <v>3</v>
      </c>
      <c r="E362" s="5">
        <v>2010</v>
      </c>
      <c r="F362" s="5" t="s">
        <v>24</v>
      </c>
      <c r="G362" s="5" t="s">
        <v>8</v>
      </c>
      <c r="H362" s="7">
        <v>30994.97</v>
      </c>
      <c r="I362" s="7">
        <v>33658.75</v>
      </c>
      <c r="J362" s="7">
        <v>2663.7799999999988</v>
      </c>
      <c r="K362" s="8">
        <v>8.5942331933213642E-2</v>
      </c>
    </row>
    <row r="363" spans="1:11" x14ac:dyDescent="0.3">
      <c r="A363" s="5" t="s">
        <v>44</v>
      </c>
      <c r="B363" s="6">
        <v>40240</v>
      </c>
      <c r="C363" s="5">
        <v>10</v>
      </c>
      <c r="D363" s="5">
        <v>3</v>
      </c>
      <c r="E363" s="5">
        <v>2010</v>
      </c>
      <c r="F363" s="5" t="s">
        <v>25</v>
      </c>
      <c r="G363" s="5" t="s">
        <v>8</v>
      </c>
      <c r="H363" s="7">
        <v>340</v>
      </c>
      <c r="I363" s="7">
        <v>388.57</v>
      </c>
      <c r="J363" s="7">
        <v>48.569999999999993</v>
      </c>
      <c r="K363" s="8">
        <v>0.14285294117647057</v>
      </c>
    </row>
    <row r="364" spans="1:11" x14ac:dyDescent="0.3">
      <c r="A364" s="5" t="s">
        <v>44</v>
      </c>
      <c r="B364" s="6">
        <v>40240</v>
      </c>
      <c r="C364" s="5">
        <v>10</v>
      </c>
      <c r="D364" s="5">
        <v>3</v>
      </c>
      <c r="E364" s="5">
        <v>2010</v>
      </c>
      <c r="F364" s="5" t="s">
        <v>27</v>
      </c>
      <c r="G364" s="5" t="s">
        <v>10</v>
      </c>
      <c r="H364" s="7">
        <v>2214.92</v>
      </c>
      <c r="I364" s="7">
        <v>2548.0300000000002</v>
      </c>
      <c r="J364" s="7">
        <v>333.11000000000013</v>
      </c>
      <c r="K364" s="8">
        <v>0.15039369367742406</v>
      </c>
    </row>
    <row r="365" spans="1:11" x14ac:dyDescent="0.3">
      <c r="A365" s="5" t="s">
        <v>44</v>
      </c>
      <c r="B365" s="6">
        <v>40240</v>
      </c>
      <c r="C365" s="5">
        <v>10</v>
      </c>
      <c r="D365" s="5">
        <v>3</v>
      </c>
      <c r="E365" s="5">
        <v>2010</v>
      </c>
      <c r="F365" s="5" t="s">
        <v>29</v>
      </c>
      <c r="G365" s="5" t="s">
        <v>10</v>
      </c>
      <c r="H365" s="7">
        <v>57537</v>
      </c>
      <c r="I365" s="7">
        <v>63224.11</v>
      </c>
      <c r="J365" s="7">
        <v>5687.1100000000006</v>
      </c>
      <c r="K365" s="8">
        <v>9.884265776804492E-2</v>
      </c>
    </row>
    <row r="366" spans="1:11" x14ac:dyDescent="0.3">
      <c r="A366" s="5" t="s">
        <v>44</v>
      </c>
      <c r="B366" s="6">
        <v>40240</v>
      </c>
      <c r="C366" s="5">
        <v>10</v>
      </c>
      <c r="D366" s="5">
        <v>3</v>
      </c>
      <c r="E366" s="5">
        <v>2010</v>
      </c>
      <c r="F366" s="5" t="s">
        <v>30</v>
      </c>
      <c r="G366" s="5" t="s">
        <v>10</v>
      </c>
      <c r="H366" s="7">
        <v>15749.24</v>
      </c>
      <c r="I366" s="7">
        <v>17808</v>
      </c>
      <c r="J366" s="7">
        <v>2058.7600000000002</v>
      </c>
      <c r="K366" s="8">
        <v>0.13072122845292855</v>
      </c>
    </row>
    <row r="367" spans="1:11" x14ac:dyDescent="0.3">
      <c r="A367" s="5" t="s">
        <v>44</v>
      </c>
      <c r="B367" s="6">
        <v>40240</v>
      </c>
      <c r="C367" s="5">
        <v>10</v>
      </c>
      <c r="D367" s="5">
        <v>3</v>
      </c>
      <c r="E367" s="5">
        <v>2010</v>
      </c>
      <c r="F367" s="5" t="s">
        <v>9</v>
      </c>
      <c r="G367" s="5" t="s">
        <v>9</v>
      </c>
      <c r="H367" s="7">
        <v>76631.75</v>
      </c>
      <c r="I367" s="7">
        <v>86979.72</v>
      </c>
      <c r="J367" s="7">
        <v>10347.970000000001</v>
      </c>
      <c r="K367" s="8">
        <v>0.13503502138473936</v>
      </c>
    </row>
    <row r="368" spans="1:11" x14ac:dyDescent="0.3">
      <c r="A368" s="5" t="s">
        <v>44</v>
      </c>
      <c r="B368" s="6">
        <v>40240</v>
      </c>
      <c r="C368" s="5">
        <v>10</v>
      </c>
      <c r="D368" s="5">
        <v>3</v>
      </c>
      <c r="E368" s="5">
        <v>2010</v>
      </c>
      <c r="F368" s="5" t="s">
        <v>33</v>
      </c>
      <c r="G368" s="5" t="s">
        <v>7</v>
      </c>
      <c r="H368" s="7">
        <v>1963</v>
      </c>
      <c r="I368" s="7">
        <v>3161.29</v>
      </c>
      <c r="J368" s="7">
        <v>1198.29</v>
      </c>
      <c r="K368" s="8">
        <v>0.61043810494141615</v>
      </c>
    </row>
    <row r="369" spans="1:11" x14ac:dyDescent="0.3">
      <c r="A369" s="5" t="s">
        <v>44</v>
      </c>
      <c r="B369" s="6">
        <v>40240</v>
      </c>
      <c r="C369" s="5">
        <v>10</v>
      </c>
      <c r="D369" s="5">
        <v>3</v>
      </c>
      <c r="E369" s="5">
        <v>2010</v>
      </c>
      <c r="F369" s="5" t="s">
        <v>35</v>
      </c>
      <c r="G369" s="5" t="s">
        <v>11</v>
      </c>
      <c r="H369" s="7">
        <v>2335</v>
      </c>
      <c r="I369" s="7">
        <v>2579.83</v>
      </c>
      <c r="J369" s="7">
        <v>244.82999999999993</v>
      </c>
      <c r="K369" s="8">
        <v>0.10485224839400425</v>
      </c>
    </row>
    <row r="370" spans="1:11" x14ac:dyDescent="0.3">
      <c r="A370" s="5" t="s">
        <v>44</v>
      </c>
      <c r="B370" s="6">
        <v>40240</v>
      </c>
      <c r="C370" s="5">
        <v>10</v>
      </c>
      <c r="D370" s="5">
        <v>3</v>
      </c>
      <c r="E370" s="5">
        <v>2010</v>
      </c>
      <c r="F370" s="5" t="s">
        <v>36</v>
      </c>
      <c r="G370" s="5" t="s">
        <v>11</v>
      </c>
      <c r="H370" s="7">
        <v>36840.68</v>
      </c>
      <c r="I370" s="7">
        <v>40634.29</v>
      </c>
      <c r="J370" s="7">
        <v>3793.6100000000006</v>
      </c>
      <c r="K370" s="8">
        <v>0.10297339788516391</v>
      </c>
    </row>
    <row r="371" spans="1:11" x14ac:dyDescent="0.3">
      <c r="A371" s="5" t="s">
        <v>44</v>
      </c>
      <c r="B371" s="6">
        <v>40240</v>
      </c>
      <c r="C371" s="5">
        <v>10</v>
      </c>
      <c r="D371" s="5">
        <v>3</v>
      </c>
      <c r="E371" s="5">
        <v>2010</v>
      </c>
      <c r="F371" s="5" t="s">
        <v>37</v>
      </c>
      <c r="G371" s="5" t="s">
        <v>11</v>
      </c>
      <c r="H371" s="7">
        <v>84732.79</v>
      </c>
      <c r="I371" s="7">
        <v>91284.44</v>
      </c>
      <c r="J371" s="7">
        <v>6551.6500000000087</v>
      </c>
      <c r="K371" s="8">
        <v>7.7321306190909198E-2</v>
      </c>
    </row>
    <row r="372" spans="1:11" x14ac:dyDescent="0.3">
      <c r="A372" s="5" t="s">
        <v>44</v>
      </c>
      <c r="B372" s="6">
        <v>40240</v>
      </c>
      <c r="C372" s="5">
        <v>10</v>
      </c>
      <c r="D372" s="5">
        <v>3</v>
      </c>
      <c r="E372" s="5">
        <v>2010</v>
      </c>
      <c r="F372" s="5" t="s">
        <v>38</v>
      </c>
      <c r="G372" s="5" t="s">
        <v>11</v>
      </c>
      <c r="H372" s="7">
        <v>87706.54</v>
      </c>
      <c r="I372" s="7">
        <v>91206.38</v>
      </c>
      <c r="J372" s="7">
        <v>3499.8400000000111</v>
      </c>
      <c r="K372" s="8">
        <v>3.9903979794437348E-2</v>
      </c>
    </row>
    <row r="373" spans="1:11" x14ac:dyDescent="0.3">
      <c r="A373" s="5" t="s">
        <v>44</v>
      </c>
      <c r="B373" s="6">
        <v>40241</v>
      </c>
      <c r="C373" s="5">
        <v>10</v>
      </c>
      <c r="D373" s="5">
        <v>3</v>
      </c>
      <c r="E373" s="5">
        <v>2010</v>
      </c>
      <c r="F373" s="5" t="s">
        <v>14</v>
      </c>
      <c r="G373" s="5" t="s">
        <v>6</v>
      </c>
      <c r="H373" s="7">
        <v>4912</v>
      </c>
      <c r="I373" s="7">
        <v>5680.55</v>
      </c>
      <c r="J373" s="7">
        <v>768.55000000000018</v>
      </c>
      <c r="K373" s="8">
        <v>0.15646376221498376</v>
      </c>
    </row>
    <row r="374" spans="1:11" x14ac:dyDescent="0.3">
      <c r="A374" s="5" t="s">
        <v>44</v>
      </c>
      <c r="B374" s="6">
        <v>40241</v>
      </c>
      <c r="C374" s="5">
        <v>10</v>
      </c>
      <c r="D374" s="5">
        <v>3</v>
      </c>
      <c r="E374" s="5">
        <v>2010</v>
      </c>
      <c r="F374" s="5" t="s">
        <v>15</v>
      </c>
      <c r="G374" s="5" t="s">
        <v>6</v>
      </c>
      <c r="H374" s="7">
        <v>36523.89</v>
      </c>
      <c r="I374" s="7">
        <v>43359.5</v>
      </c>
      <c r="J374" s="7">
        <v>6835.6100000000006</v>
      </c>
      <c r="K374" s="8">
        <v>0.18715448984212801</v>
      </c>
    </row>
    <row r="375" spans="1:11" x14ac:dyDescent="0.3">
      <c r="A375" s="5" t="s">
        <v>44</v>
      </c>
      <c r="B375" s="6">
        <v>40241</v>
      </c>
      <c r="C375" s="5">
        <v>10</v>
      </c>
      <c r="D375" s="5">
        <v>3</v>
      </c>
      <c r="E375" s="5">
        <v>2010</v>
      </c>
      <c r="F375" s="5" t="s">
        <v>16</v>
      </c>
      <c r="G375" s="5" t="s">
        <v>6</v>
      </c>
      <c r="H375" s="7">
        <v>139797.18</v>
      </c>
      <c r="I375" s="7">
        <v>147105.24</v>
      </c>
      <c r="J375" s="7">
        <v>7308.0599999999977</v>
      </c>
      <c r="K375" s="8">
        <v>5.2276161793821579E-2</v>
      </c>
    </row>
    <row r="376" spans="1:11" x14ac:dyDescent="0.3">
      <c r="A376" s="5" t="s">
        <v>44</v>
      </c>
      <c r="B376" s="6">
        <v>40241</v>
      </c>
      <c r="C376" s="5">
        <v>10</v>
      </c>
      <c r="D376" s="5">
        <v>3</v>
      </c>
      <c r="E376" s="5">
        <v>2010</v>
      </c>
      <c r="F376" s="5" t="s">
        <v>18</v>
      </c>
      <c r="G376" s="5" t="s">
        <v>6</v>
      </c>
      <c r="H376" s="7">
        <v>4342</v>
      </c>
      <c r="I376" s="7">
        <v>4830.7299999999996</v>
      </c>
      <c r="J376" s="7">
        <v>488.72999999999956</v>
      </c>
      <c r="K376" s="8">
        <v>0.11255872869645314</v>
      </c>
    </row>
    <row r="377" spans="1:11" x14ac:dyDescent="0.3">
      <c r="A377" s="5" t="s">
        <v>44</v>
      </c>
      <c r="B377" s="6">
        <v>40241</v>
      </c>
      <c r="C377" s="5">
        <v>10</v>
      </c>
      <c r="D377" s="5">
        <v>3</v>
      </c>
      <c r="E377" s="5">
        <v>2010</v>
      </c>
      <c r="F377" s="5" t="s">
        <v>19</v>
      </c>
      <c r="G377" s="5" t="s">
        <v>5</v>
      </c>
      <c r="H377" s="7">
        <v>44895.1</v>
      </c>
      <c r="I377" s="7">
        <v>50557.88</v>
      </c>
      <c r="J377" s="7">
        <v>5662.7799999999988</v>
      </c>
      <c r="K377" s="8">
        <v>0.12613358696160604</v>
      </c>
    </row>
    <row r="378" spans="1:11" x14ac:dyDescent="0.3">
      <c r="A378" s="5" t="s">
        <v>44</v>
      </c>
      <c r="B378" s="6">
        <v>40241</v>
      </c>
      <c r="C378" s="5">
        <v>10</v>
      </c>
      <c r="D378" s="5">
        <v>3</v>
      </c>
      <c r="E378" s="5">
        <v>2010</v>
      </c>
      <c r="F378" s="5" t="s">
        <v>5</v>
      </c>
      <c r="G378" s="5" t="s">
        <v>5</v>
      </c>
      <c r="H378" s="7">
        <v>159932.71</v>
      </c>
      <c r="I378" s="7">
        <v>168279.28</v>
      </c>
      <c r="J378" s="7">
        <v>8346.570000000007</v>
      </c>
      <c r="K378" s="8">
        <v>5.2188010820300661E-2</v>
      </c>
    </row>
    <row r="379" spans="1:11" x14ac:dyDescent="0.3">
      <c r="A379" s="5" t="s">
        <v>44</v>
      </c>
      <c r="B379" s="6">
        <v>40241</v>
      </c>
      <c r="C379" s="5">
        <v>10</v>
      </c>
      <c r="D379" s="5">
        <v>3</v>
      </c>
      <c r="E379" s="5">
        <v>2010</v>
      </c>
      <c r="F379" s="5" t="s">
        <v>20</v>
      </c>
      <c r="G379" s="5" t="s">
        <v>5</v>
      </c>
      <c r="H379" s="7">
        <v>29141.66</v>
      </c>
      <c r="I379" s="7">
        <v>32846.28</v>
      </c>
      <c r="J379" s="7">
        <v>3704.619999999999</v>
      </c>
      <c r="K379" s="8">
        <v>0.12712453580200986</v>
      </c>
    </row>
    <row r="380" spans="1:11" x14ac:dyDescent="0.3">
      <c r="A380" s="5" t="s">
        <v>44</v>
      </c>
      <c r="B380" s="6">
        <v>40241</v>
      </c>
      <c r="C380" s="5">
        <v>10</v>
      </c>
      <c r="D380" s="5">
        <v>3</v>
      </c>
      <c r="E380" s="5">
        <v>2010</v>
      </c>
      <c r="F380" s="5" t="s">
        <v>21</v>
      </c>
      <c r="G380" s="5" t="s">
        <v>5</v>
      </c>
      <c r="H380" s="7">
        <v>56297.91</v>
      </c>
      <c r="I380" s="7">
        <v>59530.77</v>
      </c>
      <c r="J380" s="7">
        <v>3232.8599999999933</v>
      </c>
      <c r="K380" s="8">
        <v>5.7424156598353177E-2</v>
      </c>
    </row>
    <row r="381" spans="1:11" x14ac:dyDescent="0.3">
      <c r="A381" s="5" t="s">
        <v>44</v>
      </c>
      <c r="B381" s="6">
        <v>40241</v>
      </c>
      <c r="C381" s="5">
        <v>10</v>
      </c>
      <c r="D381" s="5">
        <v>3</v>
      </c>
      <c r="E381" s="5">
        <v>2010</v>
      </c>
      <c r="F381" s="5" t="s">
        <v>22</v>
      </c>
      <c r="G381" s="5" t="s">
        <v>8</v>
      </c>
      <c r="H381" s="7">
        <v>155526.01</v>
      </c>
      <c r="I381" s="7">
        <v>168348.46</v>
      </c>
      <c r="J381" s="7">
        <v>12822.449999999983</v>
      </c>
      <c r="K381" s="8">
        <v>8.2445695096273489E-2</v>
      </c>
    </row>
    <row r="382" spans="1:11" x14ac:dyDescent="0.3">
      <c r="A382" s="5" t="s">
        <v>44</v>
      </c>
      <c r="B382" s="6">
        <v>40241</v>
      </c>
      <c r="C382" s="5">
        <v>10</v>
      </c>
      <c r="D382" s="5">
        <v>3</v>
      </c>
      <c r="E382" s="5">
        <v>2010</v>
      </c>
      <c r="F382" s="5" t="s">
        <v>23</v>
      </c>
      <c r="G382" s="5" t="s">
        <v>8</v>
      </c>
      <c r="H382" s="7">
        <v>55890.58</v>
      </c>
      <c r="I382" s="7">
        <v>59467.74</v>
      </c>
      <c r="J382" s="7">
        <v>3577.1599999999962</v>
      </c>
      <c r="K382" s="8">
        <v>6.4002914265695515E-2</v>
      </c>
    </row>
    <row r="383" spans="1:11" x14ac:dyDescent="0.3">
      <c r="A383" s="5" t="s">
        <v>44</v>
      </c>
      <c r="B383" s="6">
        <v>40241</v>
      </c>
      <c r="C383" s="5">
        <v>10</v>
      </c>
      <c r="D383" s="5">
        <v>3</v>
      </c>
      <c r="E383" s="5">
        <v>2010</v>
      </c>
      <c r="F383" s="5" t="s">
        <v>24</v>
      </c>
      <c r="G383" s="5" t="s">
        <v>8</v>
      </c>
      <c r="H383" s="7">
        <v>61958.49</v>
      </c>
      <c r="I383" s="7">
        <v>67496.97</v>
      </c>
      <c r="J383" s="7">
        <v>5538.4800000000032</v>
      </c>
      <c r="K383" s="8">
        <v>8.9390170741733749E-2</v>
      </c>
    </row>
    <row r="384" spans="1:11" x14ac:dyDescent="0.3">
      <c r="A384" s="5" t="s">
        <v>44</v>
      </c>
      <c r="B384" s="6">
        <v>40241</v>
      </c>
      <c r="C384" s="5">
        <v>10</v>
      </c>
      <c r="D384" s="5">
        <v>3</v>
      </c>
      <c r="E384" s="5">
        <v>2010</v>
      </c>
      <c r="F384" s="5" t="s">
        <v>25</v>
      </c>
      <c r="G384" s="5" t="s">
        <v>8</v>
      </c>
      <c r="H384" s="7">
        <v>700</v>
      </c>
      <c r="I384" s="7">
        <v>754.5</v>
      </c>
      <c r="J384" s="7">
        <v>54.5</v>
      </c>
      <c r="K384" s="8">
        <v>7.7857142857142861E-2</v>
      </c>
    </row>
    <row r="385" spans="1:11" x14ac:dyDescent="0.3">
      <c r="A385" s="5" t="s">
        <v>44</v>
      </c>
      <c r="B385" s="6">
        <v>40241</v>
      </c>
      <c r="C385" s="5">
        <v>10</v>
      </c>
      <c r="D385" s="5">
        <v>3</v>
      </c>
      <c r="E385" s="5">
        <v>2010</v>
      </c>
      <c r="F385" s="5" t="s">
        <v>27</v>
      </c>
      <c r="G385" s="5" t="s">
        <v>10</v>
      </c>
      <c r="H385" s="7">
        <v>379.5</v>
      </c>
      <c r="I385" s="7">
        <v>436.51</v>
      </c>
      <c r="J385" s="7">
        <v>57.009999999999991</v>
      </c>
      <c r="K385" s="8">
        <v>0.15022397891963107</v>
      </c>
    </row>
    <row r="386" spans="1:11" x14ac:dyDescent="0.3">
      <c r="A386" s="5" t="s">
        <v>44</v>
      </c>
      <c r="B386" s="6">
        <v>40241</v>
      </c>
      <c r="C386" s="5">
        <v>10</v>
      </c>
      <c r="D386" s="5">
        <v>3</v>
      </c>
      <c r="E386" s="5">
        <v>2010</v>
      </c>
      <c r="F386" s="5" t="s">
        <v>29</v>
      </c>
      <c r="G386" s="5" t="s">
        <v>10</v>
      </c>
      <c r="H386" s="7">
        <v>59567</v>
      </c>
      <c r="I386" s="7">
        <v>64309.78</v>
      </c>
      <c r="J386" s="7">
        <v>4742.7799999999988</v>
      </c>
      <c r="K386" s="8">
        <v>7.9620931052428345E-2</v>
      </c>
    </row>
    <row r="387" spans="1:11" x14ac:dyDescent="0.3">
      <c r="A387" s="5" t="s">
        <v>44</v>
      </c>
      <c r="B387" s="6">
        <v>40241</v>
      </c>
      <c r="C387" s="5">
        <v>10</v>
      </c>
      <c r="D387" s="5">
        <v>3</v>
      </c>
      <c r="E387" s="5">
        <v>2010</v>
      </c>
      <c r="F387" s="5" t="s">
        <v>30</v>
      </c>
      <c r="G387" s="5" t="s">
        <v>10</v>
      </c>
      <c r="H387" s="7">
        <v>5743.6</v>
      </c>
      <c r="I387" s="7">
        <v>6481.14</v>
      </c>
      <c r="J387" s="7">
        <v>737.54</v>
      </c>
      <c r="K387" s="8">
        <v>0.12841075283794134</v>
      </c>
    </row>
    <row r="388" spans="1:11" x14ac:dyDescent="0.3">
      <c r="A388" s="5" t="s">
        <v>44</v>
      </c>
      <c r="B388" s="6">
        <v>40241</v>
      </c>
      <c r="C388" s="5">
        <v>10</v>
      </c>
      <c r="D388" s="5">
        <v>3</v>
      </c>
      <c r="E388" s="5">
        <v>2010</v>
      </c>
      <c r="F388" s="5" t="s">
        <v>9</v>
      </c>
      <c r="G388" s="5" t="s">
        <v>9</v>
      </c>
      <c r="H388" s="7">
        <v>39107.440000000002</v>
      </c>
      <c r="I388" s="7">
        <v>45893.4</v>
      </c>
      <c r="J388" s="7">
        <v>6785.9599999999991</v>
      </c>
      <c r="K388" s="8">
        <v>0.17352094639792323</v>
      </c>
    </row>
    <row r="389" spans="1:11" x14ac:dyDescent="0.3">
      <c r="A389" s="5" t="s">
        <v>44</v>
      </c>
      <c r="B389" s="6">
        <v>40241</v>
      </c>
      <c r="C389" s="5">
        <v>10</v>
      </c>
      <c r="D389" s="5">
        <v>3</v>
      </c>
      <c r="E389" s="5">
        <v>2010</v>
      </c>
      <c r="F389" s="5" t="s">
        <v>33</v>
      </c>
      <c r="G389" s="5" t="s">
        <v>7</v>
      </c>
      <c r="H389" s="7">
        <v>5834.82</v>
      </c>
      <c r="I389" s="7">
        <v>9079.09</v>
      </c>
      <c r="J389" s="7">
        <v>3244.2700000000004</v>
      </c>
      <c r="K389" s="8">
        <v>0.55601886604899564</v>
      </c>
    </row>
    <row r="390" spans="1:11" x14ac:dyDescent="0.3">
      <c r="A390" s="5" t="s">
        <v>44</v>
      </c>
      <c r="B390" s="6">
        <v>40241</v>
      </c>
      <c r="C390" s="5">
        <v>10</v>
      </c>
      <c r="D390" s="5">
        <v>3</v>
      </c>
      <c r="E390" s="5">
        <v>2010</v>
      </c>
      <c r="F390" s="5" t="s">
        <v>35</v>
      </c>
      <c r="G390" s="5" t="s">
        <v>11</v>
      </c>
      <c r="H390" s="7">
        <v>12634</v>
      </c>
      <c r="I390" s="7">
        <v>14150.71</v>
      </c>
      <c r="J390" s="7">
        <v>1516.7099999999991</v>
      </c>
      <c r="K390" s="8">
        <v>0.1200498654424568</v>
      </c>
    </row>
    <row r="391" spans="1:11" x14ac:dyDescent="0.3">
      <c r="A391" s="5" t="s">
        <v>44</v>
      </c>
      <c r="B391" s="6">
        <v>40241</v>
      </c>
      <c r="C391" s="5">
        <v>10</v>
      </c>
      <c r="D391" s="5">
        <v>3</v>
      </c>
      <c r="E391" s="5">
        <v>2010</v>
      </c>
      <c r="F391" s="5" t="s">
        <v>36</v>
      </c>
      <c r="G391" s="5" t="s">
        <v>11</v>
      </c>
      <c r="H391" s="7">
        <v>50208.84</v>
      </c>
      <c r="I391" s="7">
        <v>55212.38</v>
      </c>
      <c r="J391" s="7">
        <v>5003.5400000000009</v>
      </c>
      <c r="K391" s="8">
        <v>9.9654562822005077E-2</v>
      </c>
    </row>
    <row r="392" spans="1:11" x14ac:dyDescent="0.3">
      <c r="A392" s="5" t="s">
        <v>44</v>
      </c>
      <c r="B392" s="6">
        <v>40241</v>
      </c>
      <c r="C392" s="5">
        <v>10</v>
      </c>
      <c r="D392" s="5">
        <v>3</v>
      </c>
      <c r="E392" s="5">
        <v>2010</v>
      </c>
      <c r="F392" s="5" t="s">
        <v>37</v>
      </c>
      <c r="G392" s="5" t="s">
        <v>11</v>
      </c>
      <c r="H392" s="7">
        <v>72980.850000000006</v>
      </c>
      <c r="I392" s="7">
        <v>77066.789999999994</v>
      </c>
      <c r="J392" s="7">
        <v>4085.9399999999878</v>
      </c>
      <c r="K392" s="8">
        <v>5.5986467682960492E-2</v>
      </c>
    </row>
    <row r="393" spans="1:11" x14ac:dyDescent="0.3">
      <c r="A393" s="5" t="s">
        <v>44</v>
      </c>
      <c r="B393" s="6">
        <v>40241</v>
      </c>
      <c r="C393" s="5">
        <v>10</v>
      </c>
      <c r="D393" s="5">
        <v>3</v>
      </c>
      <c r="E393" s="5">
        <v>2010</v>
      </c>
      <c r="F393" s="5" t="s">
        <v>38</v>
      </c>
      <c r="G393" s="5" t="s">
        <v>11</v>
      </c>
      <c r="H393" s="7">
        <v>58998.49</v>
      </c>
      <c r="I393" s="7">
        <v>61909.53</v>
      </c>
      <c r="J393" s="7">
        <v>2911.0400000000009</v>
      </c>
      <c r="K393" s="8">
        <v>4.9340923810083967E-2</v>
      </c>
    </row>
    <row r="394" spans="1:11" x14ac:dyDescent="0.3">
      <c r="A394" s="5" t="s">
        <v>44</v>
      </c>
      <c r="B394" s="6">
        <v>40242</v>
      </c>
      <c r="C394" s="5">
        <v>10</v>
      </c>
      <c r="D394" s="5">
        <v>3</v>
      </c>
      <c r="E394" s="5">
        <v>2010</v>
      </c>
      <c r="F394" s="5" t="s">
        <v>14</v>
      </c>
      <c r="G394" s="5" t="s">
        <v>6</v>
      </c>
      <c r="H394" s="7">
        <v>1318</v>
      </c>
      <c r="I394" s="7">
        <v>1504.65</v>
      </c>
      <c r="J394" s="7">
        <v>186.65000000000009</v>
      </c>
      <c r="K394" s="8">
        <v>0.14161608497723832</v>
      </c>
    </row>
    <row r="395" spans="1:11" x14ac:dyDescent="0.3">
      <c r="A395" s="5" t="s">
        <v>44</v>
      </c>
      <c r="B395" s="6">
        <v>40242</v>
      </c>
      <c r="C395" s="5">
        <v>10</v>
      </c>
      <c r="D395" s="5">
        <v>3</v>
      </c>
      <c r="E395" s="5">
        <v>2010</v>
      </c>
      <c r="F395" s="5" t="s">
        <v>15</v>
      </c>
      <c r="G395" s="5" t="s">
        <v>6</v>
      </c>
      <c r="H395" s="7">
        <v>45919.21</v>
      </c>
      <c r="I395" s="7">
        <v>52901.98</v>
      </c>
      <c r="J395" s="7">
        <v>6982.7700000000041</v>
      </c>
      <c r="K395" s="8">
        <v>0.15206642274551335</v>
      </c>
    </row>
    <row r="396" spans="1:11" x14ac:dyDescent="0.3">
      <c r="A396" s="5" t="s">
        <v>44</v>
      </c>
      <c r="B396" s="6">
        <v>40242</v>
      </c>
      <c r="C396" s="5">
        <v>10</v>
      </c>
      <c r="D396" s="5">
        <v>3</v>
      </c>
      <c r="E396" s="5">
        <v>2010</v>
      </c>
      <c r="F396" s="5" t="s">
        <v>16</v>
      </c>
      <c r="G396" s="5" t="s">
        <v>6</v>
      </c>
      <c r="H396" s="7">
        <v>204618.2</v>
      </c>
      <c r="I396" s="7">
        <v>215991.48</v>
      </c>
      <c r="J396" s="7">
        <v>11373.279999999999</v>
      </c>
      <c r="K396" s="8">
        <v>5.558293446037546E-2</v>
      </c>
    </row>
    <row r="397" spans="1:11" x14ac:dyDescent="0.3">
      <c r="A397" s="5" t="s">
        <v>44</v>
      </c>
      <c r="B397" s="6">
        <v>40242</v>
      </c>
      <c r="C397" s="5">
        <v>10</v>
      </c>
      <c r="D397" s="5">
        <v>3</v>
      </c>
      <c r="E397" s="5">
        <v>2010</v>
      </c>
      <c r="F397" s="5" t="s">
        <v>18</v>
      </c>
      <c r="G397" s="5" t="s">
        <v>6</v>
      </c>
      <c r="H397" s="7">
        <v>2837</v>
      </c>
      <c r="I397" s="7">
        <v>3149.82</v>
      </c>
      <c r="J397" s="7">
        <v>312.82000000000016</v>
      </c>
      <c r="K397" s="8">
        <v>0.11026436376454006</v>
      </c>
    </row>
    <row r="398" spans="1:11" x14ac:dyDescent="0.3">
      <c r="A398" s="5" t="s">
        <v>44</v>
      </c>
      <c r="B398" s="6">
        <v>40242</v>
      </c>
      <c r="C398" s="5">
        <v>10</v>
      </c>
      <c r="D398" s="5">
        <v>3</v>
      </c>
      <c r="E398" s="5">
        <v>2010</v>
      </c>
      <c r="F398" s="5" t="s">
        <v>19</v>
      </c>
      <c r="G398" s="5" t="s">
        <v>5</v>
      </c>
      <c r="H398" s="7">
        <v>53128.76</v>
      </c>
      <c r="I398" s="7">
        <v>60450.82</v>
      </c>
      <c r="J398" s="7">
        <v>7322.0599999999977</v>
      </c>
      <c r="K398" s="8">
        <v>0.13781725754563059</v>
      </c>
    </row>
    <row r="399" spans="1:11" x14ac:dyDescent="0.3">
      <c r="A399" s="5" t="s">
        <v>44</v>
      </c>
      <c r="B399" s="6">
        <v>40242</v>
      </c>
      <c r="C399" s="5">
        <v>10</v>
      </c>
      <c r="D399" s="5">
        <v>3</v>
      </c>
      <c r="E399" s="5">
        <v>2010</v>
      </c>
      <c r="F399" s="5" t="s">
        <v>5</v>
      </c>
      <c r="G399" s="5" t="s">
        <v>5</v>
      </c>
      <c r="H399" s="7">
        <v>145602.13</v>
      </c>
      <c r="I399" s="7">
        <v>153331.25</v>
      </c>
      <c r="J399" s="7">
        <v>7729.1199999999953</v>
      </c>
      <c r="K399" s="8">
        <v>5.3083838814720605E-2</v>
      </c>
    </row>
    <row r="400" spans="1:11" x14ac:dyDescent="0.3">
      <c r="A400" s="5" t="s">
        <v>44</v>
      </c>
      <c r="B400" s="6">
        <v>40242</v>
      </c>
      <c r="C400" s="5">
        <v>10</v>
      </c>
      <c r="D400" s="5">
        <v>3</v>
      </c>
      <c r="E400" s="5">
        <v>2010</v>
      </c>
      <c r="F400" s="5" t="s">
        <v>20</v>
      </c>
      <c r="G400" s="5" t="s">
        <v>5</v>
      </c>
      <c r="H400" s="7">
        <v>27363.360000000001</v>
      </c>
      <c r="I400" s="7">
        <v>31000.959999999999</v>
      </c>
      <c r="J400" s="7">
        <v>3637.5999999999985</v>
      </c>
      <c r="K400" s="8">
        <v>0.13293689079118934</v>
      </c>
    </row>
    <row r="401" spans="1:11" x14ac:dyDescent="0.3">
      <c r="A401" s="5" t="s">
        <v>44</v>
      </c>
      <c r="B401" s="6">
        <v>40242</v>
      </c>
      <c r="C401" s="5">
        <v>10</v>
      </c>
      <c r="D401" s="5">
        <v>3</v>
      </c>
      <c r="E401" s="5">
        <v>2010</v>
      </c>
      <c r="F401" s="5" t="s">
        <v>21</v>
      </c>
      <c r="G401" s="5" t="s">
        <v>5</v>
      </c>
      <c r="H401" s="7">
        <v>64665.919999999998</v>
      </c>
      <c r="I401" s="7">
        <v>68866.679999999993</v>
      </c>
      <c r="J401" s="7">
        <v>4200.7599999999948</v>
      </c>
      <c r="K401" s="8">
        <v>6.4960956250216417E-2</v>
      </c>
    </row>
    <row r="402" spans="1:11" x14ac:dyDescent="0.3">
      <c r="A402" s="5" t="s">
        <v>44</v>
      </c>
      <c r="B402" s="6">
        <v>40242</v>
      </c>
      <c r="C402" s="5">
        <v>10</v>
      </c>
      <c r="D402" s="5">
        <v>3</v>
      </c>
      <c r="E402" s="5">
        <v>2010</v>
      </c>
      <c r="F402" s="5" t="s">
        <v>22</v>
      </c>
      <c r="G402" s="5" t="s">
        <v>8</v>
      </c>
      <c r="H402" s="7">
        <v>248540.43</v>
      </c>
      <c r="I402" s="7">
        <v>267612.44</v>
      </c>
      <c r="J402" s="7">
        <v>19072.010000000009</v>
      </c>
      <c r="K402" s="8">
        <v>7.6736046525710158E-2</v>
      </c>
    </row>
    <row r="403" spans="1:11" x14ac:dyDescent="0.3">
      <c r="A403" s="5" t="s">
        <v>44</v>
      </c>
      <c r="B403" s="6">
        <v>40242</v>
      </c>
      <c r="C403" s="5">
        <v>10</v>
      </c>
      <c r="D403" s="5">
        <v>3</v>
      </c>
      <c r="E403" s="5">
        <v>2010</v>
      </c>
      <c r="F403" s="5" t="s">
        <v>23</v>
      </c>
      <c r="G403" s="5" t="s">
        <v>8</v>
      </c>
      <c r="H403" s="7">
        <v>66279.06</v>
      </c>
      <c r="I403" s="7">
        <v>68981.13</v>
      </c>
      <c r="J403" s="7">
        <v>2702.070000000007</v>
      </c>
      <c r="K403" s="8">
        <v>4.0768079692138165E-2</v>
      </c>
    </row>
    <row r="404" spans="1:11" x14ac:dyDescent="0.3">
      <c r="A404" s="5" t="s">
        <v>44</v>
      </c>
      <c r="B404" s="6">
        <v>40242</v>
      </c>
      <c r="C404" s="5">
        <v>10</v>
      </c>
      <c r="D404" s="5">
        <v>3</v>
      </c>
      <c r="E404" s="5">
        <v>2010</v>
      </c>
      <c r="F404" s="5" t="s">
        <v>24</v>
      </c>
      <c r="G404" s="5" t="s">
        <v>8</v>
      </c>
      <c r="H404" s="7">
        <v>55180.99</v>
      </c>
      <c r="I404" s="7">
        <v>59440.17</v>
      </c>
      <c r="J404" s="7">
        <v>4259.18</v>
      </c>
      <c r="K404" s="8">
        <v>7.7185639474753903E-2</v>
      </c>
    </row>
    <row r="405" spans="1:11" x14ac:dyDescent="0.3">
      <c r="A405" s="5" t="s">
        <v>44</v>
      </c>
      <c r="B405" s="6">
        <v>40242</v>
      </c>
      <c r="C405" s="5">
        <v>10</v>
      </c>
      <c r="D405" s="5">
        <v>3</v>
      </c>
      <c r="E405" s="5">
        <v>2010</v>
      </c>
      <c r="F405" s="5" t="s">
        <v>25</v>
      </c>
      <c r="G405" s="5" t="s">
        <v>8</v>
      </c>
      <c r="H405" s="7">
        <v>240</v>
      </c>
      <c r="I405" s="7">
        <v>271.17</v>
      </c>
      <c r="J405" s="7">
        <v>31.170000000000016</v>
      </c>
      <c r="K405" s="8">
        <v>0.12987500000000007</v>
      </c>
    </row>
    <row r="406" spans="1:11" x14ac:dyDescent="0.3">
      <c r="A406" s="5" t="s">
        <v>44</v>
      </c>
      <c r="B406" s="6">
        <v>40242</v>
      </c>
      <c r="C406" s="5">
        <v>10</v>
      </c>
      <c r="D406" s="5">
        <v>3</v>
      </c>
      <c r="E406" s="5">
        <v>2010</v>
      </c>
      <c r="F406" s="5" t="s">
        <v>27</v>
      </c>
      <c r="G406" s="5" t="s">
        <v>10</v>
      </c>
      <c r="H406" s="7">
        <v>3448.62</v>
      </c>
      <c r="I406" s="7">
        <v>3966.38</v>
      </c>
      <c r="J406" s="7">
        <v>517.76000000000022</v>
      </c>
      <c r="K406" s="8">
        <v>0.15013541648543482</v>
      </c>
    </row>
    <row r="407" spans="1:11" x14ac:dyDescent="0.3">
      <c r="A407" s="5" t="s">
        <v>44</v>
      </c>
      <c r="B407" s="6">
        <v>40242</v>
      </c>
      <c r="C407" s="5">
        <v>10</v>
      </c>
      <c r="D407" s="5">
        <v>3</v>
      </c>
      <c r="E407" s="5">
        <v>2010</v>
      </c>
      <c r="F407" s="5" t="s">
        <v>29</v>
      </c>
      <c r="G407" s="5" t="s">
        <v>10</v>
      </c>
      <c r="H407" s="7">
        <v>63816</v>
      </c>
      <c r="I407" s="7">
        <v>69468.75</v>
      </c>
      <c r="J407" s="7">
        <v>5652.75</v>
      </c>
      <c r="K407" s="8">
        <v>8.8578883038736372E-2</v>
      </c>
    </row>
    <row r="408" spans="1:11" x14ac:dyDescent="0.3">
      <c r="A408" s="5" t="s">
        <v>44</v>
      </c>
      <c r="B408" s="6">
        <v>40242</v>
      </c>
      <c r="C408" s="5">
        <v>10</v>
      </c>
      <c r="D408" s="5">
        <v>3</v>
      </c>
      <c r="E408" s="5">
        <v>2010</v>
      </c>
      <c r="F408" s="5" t="s">
        <v>30</v>
      </c>
      <c r="G408" s="5" t="s">
        <v>10</v>
      </c>
      <c r="H408" s="7">
        <v>10904.44</v>
      </c>
      <c r="I408" s="7">
        <v>12336.79</v>
      </c>
      <c r="J408" s="7">
        <v>1432.3500000000004</v>
      </c>
      <c r="K408" s="8">
        <v>0.13135475090880414</v>
      </c>
    </row>
    <row r="409" spans="1:11" x14ac:dyDescent="0.3">
      <c r="A409" s="5" t="s">
        <v>44</v>
      </c>
      <c r="B409" s="6">
        <v>40242</v>
      </c>
      <c r="C409" s="5">
        <v>10</v>
      </c>
      <c r="D409" s="5">
        <v>3</v>
      </c>
      <c r="E409" s="5">
        <v>2010</v>
      </c>
      <c r="F409" s="5" t="s">
        <v>9</v>
      </c>
      <c r="G409" s="5" t="s">
        <v>9</v>
      </c>
      <c r="H409" s="7">
        <v>56540.76</v>
      </c>
      <c r="I409" s="7">
        <v>63201.63</v>
      </c>
      <c r="J409" s="7">
        <v>6660.8699999999953</v>
      </c>
      <c r="K409" s="8">
        <v>0.11780651692690362</v>
      </c>
    </row>
    <row r="410" spans="1:11" x14ac:dyDescent="0.3">
      <c r="A410" s="5" t="s">
        <v>44</v>
      </c>
      <c r="B410" s="6">
        <v>40242</v>
      </c>
      <c r="C410" s="5">
        <v>10</v>
      </c>
      <c r="D410" s="5">
        <v>3</v>
      </c>
      <c r="E410" s="5">
        <v>2010</v>
      </c>
      <c r="F410" s="5" t="s">
        <v>33</v>
      </c>
      <c r="G410" s="5" t="s">
        <v>7</v>
      </c>
      <c r="H410" s="7">
        <v>1481</v>
      </c>
      <c r="I410" s="7">
        <v>3025.03</v>
      </c>
      <c r="J410" s="7">
        <v>1544.0300000000002</v>
      </c>
      <c r="K410" s="8">
        <v>1.0425590817015531</v>
      </c>
    </row>
    <row r="411" spans="1:11" x14ac:dyDescent="0.3">
      <c r="A411" s="5" t="s">
        <v>44</v>
      </c>
      <c r="B411" s="6">
        <v>40242</v>
      </c>
      <c r="C411" s="5">
        <v>10</v>
      </c>
      <c r="D411" s="5">
        <v>3</v>
      </c>
      <c r="E411" s="5">
        <v>2010</v>
      </c>
      <c r="F411" s="5" t="s">
        <v>35</v>
      </c>
      <c r="G411" s="5" t="s">
        <v>11</v>
      </c>
      <c r="H411" s="7">
        <v>3198</v>
      </c>
      <c r="I411" s="7">
        <v>3555.16</v>
      </c>
      <c r="J411" s="7">
        <v>357.15999999999985</v>
      </c>
      <c r="K411" s="8">
        <v>0.11168230143839895</v>
      </c>
    </row>
    <row r="412" spans="1:11" x14ac:dyDescent="0.3">
      <c r="A412" s="5" t="s">
        <v>44</v>
      </c>
      <c r="B412" s="6">
        <v>40242</v>
      </c>
      <c r="C412" s="5">
        <v>10</v>
      </c>
      <c r="D412" s="5">
        <v>3</v>
      </c>
      <c r="E412" s="5">
        <v>2010</v>
      </c>
      <c r="F412" s="5" t="s">
        <v>36</v>
      </c>
      <c r="G412" s="5" t="s">
        <v>11</v>
      </c>
      <c r="H412" s="7">
        <v>51903.06</v>
      </c>
      <c r="I412" s="7">
        <v>57420.35</v>
      </c>
      <c r="J412" s="7">
        <v>5517.2900000000009</v>
      </c>
      <c r="K412" s="8">
        <v>0.10629989831042719</v>
      </c>
    </row>
    <row r="413" spans="1:11" x14ac:dyDescent="0.3">
      <c r="A413" s="5" t="s">
        <v>44</v>
      </c>
      <c r="B413" s="6">
        <v>40242</v>
      </c>
      <c r="C413" s="5">
        <v>10</v>
      </c>
      <c r="D413" s="5">
        <v>3</v>
      </c>
      <c r="E413" s="5">
        <v>2010</v>
      </c>
      <c r="F413" s="5" t="s">
        <v>37</v>
      </c>
      <c r="G413" s="5" t="s">
        <v>11</v>
      </c>
      <c r="H413" s="7">
        <v>74341.31</v>
      </c>
      <c r="I413" s="7">
        <v>82106.42</v>
      </c>
      <c r="J413" s="7">
        <v>7765.1100000000006</v>
      </c>
      <c r="K413" s="8">
        <v>0.10445215452888845</v>
      </c>
    </row>
    <row r="414" spans="1:11" x14ac:dyDescent="0.3">
      <c r="A414" s="5" t="s">
        <v>44</v>
      </c>
      <c r="B414" s="6">
        <v>40242</v>
      </c>
      <c r="C414" s="5">
        <v>10</v>
      </c>
      <c r="D414" s="5">
        <v>3</v>
      </c>
      <c r="E414" s="5">
        <v>2010</v>
      </c>
      <c r="F414" s="5" t="s">
        <v>38</v>
      </c>
      <c r="G414" s="5" t="s">
        <v>11</v>
      </c>
      <c r="H414" s="7">
        <v>86344.77</v>
      </c>
      <c r="I414" s="7">
        <v>90131.26</v>
      </c>
      <c r="J414" s="7">
        <v>3786.4899999999907</v>
      </c>
      <c r="K414" s="8">
        <v>4.3853148256692218E-2</v>
      </c>
    </row>
    <row r="415" spans="1:11" x14ac:dyDescent="0.3">
      <c r="A415" s="5" t="s">
        <v>44</v>
      </c>
      <c r="B415" s="6">
        <v>40243</v>
      </c>
      <c r="C415" s="5">
        <v>10</v>
      </c>
      <c r="D415" s="5">
        <v>3</v>
      </c>
      <c r="E415" s="5">
        <v>2010</v>
      </c>
      <c r="F415" s="5" t="s">
        <v>14</v>
      </c>
      <c r="G415" s="5" t="s">
        <v>6</v>
      </c>
      <c r="H415" s="7">
        <v>3015</v>
      </c>
      <c r="I415" s="7">
        <v>3473.35</v>
      </c>
      <c r="J415" s="7">
        <v>458.34999999999991</v>
      </c>
      <c r="K415" s="8">
        <v>0.1520232172470978</v>
      </c>
    </row>
    <row r="416" spans="1:11" x14ac:dyDescent="0.3">
      <c r="A416" s="5" t="s">
        <v>44</v>
      </c>
      <c r="B416" s="6">
        <v>40243</v>
      </c>
      <c r="C416" s="5">
        <v>10</v>
      </c>
      <c r="D416" s="5">
        <v>3</v>
      </c>
      <c r="E416" s="5">
        <v>2010</v>
      </c>
      <c r="F416" s="5" t="s">
        <v>15</v>
      </c>
      <c r="G416" s="5" t="s">
        <v>6</v>
      </c>
      <c r="H416" s="7">
        <v>68274.17</v>
      </c>
      <c r="I416" s="7">
        <v>80484.77</v>
      </c>
      <c r="J416" s="7">
        <v>12210.600000000006</v>
      </c>
      <c r="K416" s="8">
        <v>0.17884655353554654</v>
      </c>
    </row>
    <row r="417" spans="1:11" x14ac:dyDescent="0.3">
      <c r="A417" s="5" t="s">
        <v>44</v>
      </c>
      <c r="B417" s="6">
        <v>40243</v>
      </c>
      <c r="C417" s="5">
        <v>10</v>
      </c>
      <c r="D417" s="5">
        <v>3</v>
      </c>
      <c r="E417" s="5">
        <v>2010</v>
      </c>
      <c r="F417" s="5" t="s">
        <v>16</v>
      </c>
      <c r="G417" s="5" t="s">
        <v>6</v>
      </c>
      <c r="H417" s="7">
        <v>175893.87</v>
      </c>
      <c r="I417" s="7">
        <v>185176.71</v>
      </c>
      <c r="J417" s="7">
        <v>9282.8399999999965</v>
      </c>
      <c r="K417" s="8">
        <v>5.2775233156220833E-2</v>
      </c>
    </row>
    <row r="418" spans="1:11" x14ac:dyDescent="0.3">
      <c r="A418" s="5" t="s">
        <v>44</v>
      </c>
      <c r="B418" s="6">
        <v>40243</v>
      </c>
      <c r="C418" s="5">
        <v>10</v>
      </c>
      <c r="D418" s="5">
        <v>3</v>
      </c>
      <c r="E418" s="5">
        <v>2010</v>
      </c>
      <c r="F418" s="5" t="s">
        <v>18</v>
      </c>
      <c r="G418" s="5" t="s">
        <v>6</v>
      </c>
      <c r="H418" s="7">
        <v>12604.82</v>
      </c>
      <c r="I418" s="7">
        <v>13921.78</v>
      </c>
      <c r="J418" s="7">
        <v>1316.9600000000009</v>
      </c>
      <c r="K418" s="8">
        <v>0.10448066691948009</v>
      </c>
    </row>
    <row r="419" spans="1:11" x14ac:dyDescent="0.3">
      <c r="A419" s="5" t="s">
        <v>44</v>
      </c>
      <c r="B419" s="6">
        <v>40243</v>
      </c>
      <c r="C419" s="5">
        <v>10</v>
      </c>
      <c r="D419" s="5">
        <v>3</v>
      </c>
      <c r="E419" s="5">
        <v>2010</v>
      </c>
      <c r="F419" s="5" t="s">
        <v>19</v>
      </c>
      <c r="G419" s="5" t="s">
        <v>5</v>
      </c>
      <c r="H419" s="7">
        <v>73775.740000000005</v>
      </c>
      <c r="I419" s="7">
        <v>83237.649999999994</v>
      </c>
      <c r="J419" s="7">
        <v>9461.9099999999889</v>
      </c>
      <c r="K419" s="8">
        <v>0.12825232251143789</v>
      </c>
    </row>
    <row r="420" spans="1:11" x14ac:dyDescent="0.3">
      <c r="A420" s="5" t="s">
        <v>44</v>
      </c>
      <c r="B420" s="6">
        <v>40243</v>
      </c>
      <c r="C420" s="5">
        <v>10</v>
      </c>
      <c r="D420" s="5">
        <v>3</v>
      </c>
      <c r="E420" s="5">
        <v>2010</v>
      </c>
      <c r="F420" s="5" t="s">
        <v>5</v>
      </c>
      <c r="G420" s="5" t="s">
        <v>5</v>
      </c>
      <c r="H420" s="7">
        <v>338462.83</v>
      </c>
      <c r="I420" s="7">
        <v>357330.92</v>
      </c>
      <c r="J420" s="7">
        <v>18868.089999999967</v>
      </c>
      <c r="K420" s="8">
        <v>5.5746416822195707E-2</v>
      </c>
    </row>
    <row r="421" spans="1:11" x14ac:dyDescent="0.3">
      <c r="A421" s="5" t="s">
        <v>44</v>
      </c>
      <c r="B421" s="6">
        <v>40243</v>
      </c>
      <c r="C421" s="5">
        <v>10</v>
      </c>
      <c r="D421" s="5">
        <v>3</v>
      </c>
      <c r="E421" s="5">
        <v>2010</v>
      </c>
      <c r="F421" s="5" t="s">
        <v>20</v>
      </c>
      <c r="G421" s="5" t="s">
        <v>5</v>
      </c>
      <c r="H421" s="7">
        <v>83545.679999999993</v>
      </c>
      <c r="I421" s="7">
        <v>93071.16</v>
      </c>
      <c r="J421" s="7">
        <v>9525.4800000000105</v>
      </c>
      <c r="K421" s="8">
        <v>0.11401523094910486</v>
      </c>
    </row>
    <row r="422" spans="1:11" x14ac:dyDescent="0.3">
      <c r="A422" s="5" t="s">
        <v>44</v>
      </c>
      <c r="B422" s="6">
        <v>40243</v>
      </c>
      <c r="C422" s="5">
        <v>10</v>
      </c>
      <c r="D422" s="5">
        <v>3</v>
      </c>
      <c r="E422" s="5">
        <v>2010</v>
      </c>
      <c r="F422" s="5" t="s">
        <v>21</v>
      </c>
      <c r="G422" s="5" t="s">
        <v>5</v>
      </c>
      <c r="H422" s="7">
        <v>125282.75</v>
      </c>
      <c r="I422" s="7">
        <v>132781.76999999999</v>
      </c>
      <c r="J422" s="7">
        <v>7499.0199999999895</v>
      </c>
      <c r="K422" s="8">
        <v>5.9856763999832294E-2</v>
      </c>
    </row>
    <row r="423" spans="1:11" x14ac:dyDescent="0.3">
      <c r="A423" s="5" t="s">
        <v>44</v>
      </c>
      <c r="B423" s="6">
        <v>40243</v>
      </c>
      <c r="C423" s="5">
        <v>10</v>
      </c>
      <c r="D423" s="5">
        <v>3</v>
      </c>
      <c r="E423" s="5">
        <v>2010</v>
      </c>
      <c r="F423" s="5" t="s">
        <v>22</v>
      </c>
      <c r="G423" s="5" t="s">
        <v>8</v>
      </c>
      <c r="H423" s="7">
        <v>348904.58</v>
      </c>
      <c r="I423" s="7">
        <v>379161.35</v>
      </c>
      <c r="J423" s="7">
        <v>30256.76999999996</v>
      </c>
      <c r="K423" s="8">
        <v>8.6719325954391191E-2</v>
      </c>
    </row>
    <row r="424" spans="1:11" x14ac:dyDescent="0.3">
      <c r="A424" s="5" t="s">
        <v>44</v>
      </c>
      <c r="B424" s="6">
        <v>40243</v>
      </c>
      <c r="C424" s="5">
        <v>10</v>
      </c>
      <c r="D424" s="5">
        <v>3</v>
      </c>
      <c r="E424" s="5">
        <v>2010</v>
      </c>
      <c r="F424" s="5" t="s">
        <v>23</v>
      </c>
      <c r="G424" s="5" t="s">
        <v>8</v>
      </c>
      <c r="H424" s="7">
        <v>71402.009999999995</v>
      </c>
      <c r="I424" s="7">
        <v>76006.649999999994</v>
      </c>
      <c r="J424" s="7">
        <v>4604.6399999999994</v>
      </c>
      <c r="K424" s="8">
        <v>6.4488940857547278E-2</v>
      </c>
    </row>
    <row r="425" spans="1:11" x14ac:dyDescent="0.3">
      <c r="A425" s="5" t="s">
        <v>44</v>
      </c>
      <c r="B425" s="6">
        <v>40243</v>
      </c>
      <c r="C425" s="5">
        <v>10</v>
      </c>
      <c r="D425" s="5">
        <v>3</v>
      </c>
      <c r="E425" s="5">
        <v>2010</v>
      </c>
      <c r="F425" s="5" t="s">
        <v>24</v>
      </c>
      <c r="G425" s="5" t="s">
        <v>8</v>
      </c>
      <c r="H425" s="7">
        <v>73734.990000000005</v>
      </c>
      <c r="I425" s="7">
        <v>80993.25</v>
      </c>
      <c r="J425" s="7">
        <v>7258.2599999999948</v>
      </c>
      <c r="K425" s="8">
        <v>9.843711920215889E-2</v>
      </c>
    </row>
    <row r="426" spans="1:11" x14ac:dyDescent="0.3">
      <c r="A426" s="5" t="s">
        <v>44</v>
      </c>
      <c r="B426" s="6">
        <v>40243</v>
      </c>
      <c r="C426" s="5">
        <v>10</v>
      </c>
      <c r="D426" s="5">
        <v>3</v>
      </c>
      <c r="E426" s="5">
        <v>2010</v>
      </c>
      <c r="F426" s="5" t="s">
        <v>25</v>
      </c>
      <c r="G426" s="5" t="s">
        <v>8</v>
      </c>
      <c r="H426" s="7">
        <v>500</v>
      </c>
      <c r="I426" s="7">
        <v>567.74</v>
      </c>
      <c r="J426" s="7">
        <v>67.740000000000009</v>
      </c>
      <c r="K426" s="8">
        <v>0.13548000000000002</v>
      </c>
    </row>
    <row r="427" spans="1:11" x14ac:dyDescent="0.3">
      <c r="A427" s="5" t="s">
        <v>44</v>
      </c>
      <c r="B427" s="6">
        <v>40243</v>
      </c>
      <c r="C427" s="5">
        <v>10</v>
      </c>
      <c r="D427" s="5">
        <v>3</v>
      </c>
      <c r="E427" s="5">
        <v>2010</v>
      </c>
      <c r="F427" s="5" t="s">
        <v>27</v>
      </c>
      <c r="G427" s="5" t="s">
        <v>10</v>
      </c>
      <c r="H427" s="7">
        <v>8206.8799999999992</v>
      </c>
      <c r="I427" s="7">
        <v>9435.33</v>
      </c>
      <c r="J427" s="7">
        <v>1228.4500000000007</v>
      </c>
      <c r="K427" s="8">
        <v>0.14968538592010616</v>
      </c>
    </row>
    <row r="428" spans="1:11" x14ac:dyDescent="0.3">
      <c r="A428" s="5" t="s">
        <v>44</v>
      </c>
      <c r="B428" s="6">
        <v>40243</v>
      </c>
      <c r="C428" s="5">
        <v>10</v>
      </c>
      <c r="D428" s="5">
        <v>3</v>
      </c>
      <c r="E428" s="5">
        <v>2010</v>
      </c>
      <c r="F428" s="5" t="s">
        <v>29</v>
      </c>
      <c r="G428" s="5" t="s">
        <v>10</v>
      </c>
      <c r="H428" s="7">
        <v>125224.23</v>
      </c>
      <c r="I428" s="7">
        <v>138937.72</v>
      </c>
      <c r="J428" s="7">
        <v>13713.490000000005</v>
      </c>
      <c r="K428" s="8">
        <v>0.10951147393759184</v>
      </c>
    </row>
    <row r="429" spans="1:11" x14ac:dyDescent="0.3">
      <c r="A429" s="5" t="s">
        <v>44</v>
      </c>
      <c r="B429" s="6">
        <v>40243</v>
      </c>
      <c r="C429" s="5">
        <v>10</v>
      </c>
      <c r="D429" s="5">
        <v>3</v>
      </c>
      <c r="E429" s="5">
        <v>2010</v>
      </c>
      <c r="F429" s="5" t="s">
        <v>30</v>
      </c>
      <c r="G429" s="5" t="s">
        <v>10</v>
      </c>
      <c r="H429" s="7">
        <v>19727.66</v>
      </c>
      <c r="I429" s="7">
        <v>22347.52</v>
      </c>
      <c r="J429" s="7">
        <v>2619.8600000000006</v>
      </c>
      <c r="K429" s="8">
        <v>0.13280135606554455</v>
      </c>
    </row>
    <row r="430" spans="1:11" x14ac:dyDescent="0.3">
      <c r="A430" s="5" t="s">
        <v>44</v>
      </c>
      <c r="B430" s="6">
        <v>40243</v>
      </c>
      <c r="C430" s="5">
        <v>10</v>
      </c>
      <c r="D430" s="5">
        <v>3</v>
      </c>
      <c r="E430" s="5">
        <v>2010</v>
      </c>
      <c r="F430" s="5" t="s">
        <v>9</v>
      </c>
      <c r="G430" s="5" t="s">
        <v>9</v>
      </c>
      <c r="H430" s="7">
        <v>132610.79999999999</v>
      </c>
      <c r="I430" s="7">
        <v>146346.78</v>
      </c>
      <c r="J430" s="7">
        <v>13735.98000000001</v>
      </c>
      <c r="K430" s="8">
        <v>0.10358115628591345</v>
      </c>
    </row>
    <row r="431" spans="1:11" x14ac:dyDescent="0.3">
      <c r="A431" s="5" t="s">
        <v>44</v>
      </c>
      <c r="B431" s="6">
        <v>40243</v>
      </c>
      <c r="C431" s="5">
        <v>10</v>
      </c>
      <c r="D431" s="5">
        <v>3</v>
      </c>
      <c r="E431" s="5">
        <v>2010</v>
      </c>
      <c r="F431" s="5" t="s">
        <v>33</v>
      </c>
      <c r="G431" s="5" t="s">
        <v>7</v>
      </c>
      <c r="H431" s="7">
        <v>6016.82</v>
      </c>
      <c r="I431" s="7">
        <v>9140.0499999999993</v>
      </c>
      <c r="J431" s="7">
        <v>3123.2299999999996</v>
      </c>
      <c r="K431" s="8">
        <v>0.51908317017959649</v>
      </c>
    </row>
    <row r="432" spans="1:11" x14ac:dyDescent="0.3">
      <c r="A432" s="5" t="s">
        <v>44</v>
      </c>
      <c r="B432" s="6">
        <v>40243</v>
      </c>
      <c r="C432" s="5">
        <v>10</v>
      </c>
      <c r="D432" s="5">
        <v>3</v>
      </c>
      <c r="E432" s="5">
        <v>2010</v>
      </c>
      <c r="F432" s="5" t="s">
        <v>35</v>
      </c>
      <c r="G432" s="5" t="s">
        <v>11</v>
      </c>
      <c r="H432" s="7">
        <v>1608</v>
      </c>
      <c r="I432" s="7">
        <v>1800.83</v>
      </c>
      <c r="J432" s="7">
        <v>192.82999999999993</v>
      </c>
      <c r="K432" s="8">
        <v>0.11991915422885567</v>
      </c>
    </row>
    <row r="433" spans="1:11" x14ac:dyDescent="0.3">
      <c r="A433" s="5" t="s">
        <v>44</v>
      </c>
      <c r="B433" s="6">
        <v>40243</v>
      </c>
      <c r="C433" s="5">
        <v>10</v>
      </c>
      <c r="D433" s="5">
        <v>3</v>
      </c>
      <c r="E433" s="5">
        <v>2010</v>
      </c>
      <c r="F433" s="5" t="s">
        <v>36</v>
      </c>
      <c r="G433" s="5" t="s">
        <v>11</v>
      </c>
      <c r="H433" s="7">
        <v>69115.91</v>
      </c>
      <c r="I433" s="7">
        <v>76270.899999999994</v>
      </c>
      <c r="J433" s="7">
        <v>7154.9899999999907</v>
      </c>
      <c r="K433" s="8">
        <v>0.10352160595150943</v>
      </c>
    </row>
    <row r="434" spans="1:11" x14ac:dyDescent="0.3">
      <c r="A434" s="5" t="s">
        <v>44</v>
      </c>
      <c r="B434" s="6">
        <v>40243</v>
      </c>
      <c r="C434" s="5">
        <v>10</v>
      </c>
      <c r="D434" s="5">
        <v>3</v>
      </c>
      <c r="E434" s="5">
        <v>2010</v>
      </c>
      <c r="F434" s="5" t="s">
        <v>37</v>
      </c>
      <c r="G434" s="5" t="s">
        <v>11</v>
      </c>
      <c r="H434" s="7">
        <v>130342.71</v>
      </c>
      <c r="I434" s="7">
        <v>140430.96</v>
      </c>
      <c r="J434" s="7">
        <v>10088.249999999985</v>
      </c>
      <c r="K434" s="8">
        <v>7.7397884392613789E-2</v>
      </c>
    </row>
    <row r="435" spans="1:11" x14ac:dyDescent="0.3">
      <c r="A435" s="5" t="s">
        <v>44</v>
      </c>
      <c r="B435" s="6">
        <v>40243</v>
      </c>
      <c r="C435" s="5">
        <v>10</v>
      </c>
      <c r="D435" s="5">
        <v>3</v>
      </c>
      <c r="E435" s="5">
        <v>2010</v>
      </c>
      <c r="F435" s="5" t="s">
        <v>38</v>
      </c>
      <c r="G435" s="5" t="s">
        <v>11</v>
      </c>
      <c r="H435" s="7">
        <v>170241.96</v>
      </c>
      <c r="I435" s="7">
        <v>175911.62</v>
      </c>
      <c r="J435" s="7">
        <v>5669.6600000000035</v>
      </c>
      <c r="K435" s="8">
        <v>3.3303540443260893E-2</v>
      </c>
    </row>
    <row r="436" spans="1:11" x14ac:dyDescent="0.3">
      <c r="A436" s="5" t="s">
        <v>44</v>
      </c>
      <c r="B436" s="6">
        <v>40244</v>
      </c>
      <c r="C436" s="5">
        <v>11</v>
      </c>
      <c r="D436" s="5">
        <v>3</v>
      </c>
      <c r="E436" s="5">
        <v>2010</v>
      </c>
      <c r="F436" s="5" t="s">
        <v>14</v>
      </c>
      <c r="G436" s="5" t="s">
        <v>6</v>
      </c>
      <c r="H436" s="7">
        <v>3291</v>
      </c>
      <c r="I436" s="7">
        <v>3733.3</v>
      </c>
      <c r="J436" s="7">
        <v>442.30000000000018</v>
      </c>
      <c r="K436" s="8">
        <v>0.1343968398663021</v>
      </c>
    </row>
    <row r="437" spans="1:11" x14ac:dyDescent="0.3">
      <c r="A437" s="5" t="s">
        <v>44</v>
      </c>
      <c r="B437" s="6">
        <v>40244</v>
      </c>
      <c r="C437" s="5">
        <v>11</v>
      </c>
      <c r="D437" s="5">
        <v>3</v>
      </c>
      <c r="E437" s="5">
        <v>2010</v>
      </c>
      <c r="F437" s="5" t="s">
        <v>15</v>
      </c>
      <c r="G437" s="5" t="s">
        <v>6</v>
      </c>
      <c r="H437" s="7">
        <v>48701.52</v>
      </c>
      <c r="I437" s="7">
        <v>51784.76</v>
      </c>
      <c r="J437" s="7">
        <v>3083.2400000000052</v>
      </c>
      <c r="K437" s="8">
        <v>6.330890699099341E-2</v>
      </c>
    </row>
    <row r="438" spans="1:11" x14ac:dyDescent="0.3">
      <c r="A438" s="5" t="s">
        <v>44</v>
      </c>
      <c r="B438" s="6">
        <v>40244</v>
      </c>
      <c r="C438" s="5">
        <v>11</v>
      </c>
      <c r="D438" s="5">
        <v>3</v>
      </c>
      <c r="E438" s="5">
        <v>2010</v>
      </c>
      <c r="F438" s="5" t="s">
        <v>16</v>
      </c>
      <c r="G438" s="5" t="s">
        <v>6</v>
      </c>
      <c r="H438" s="7">
        <v>53216.19</v>
      </c>
      <c r="I438" s="7">
        <v>58150.7</v>
      </c>
      <c r="J438" s="7">
        <v>4934.5099999999948</v>
      </c>
      <c r="K438" s="8">
        <v>9.2725728767880503E-2</v>
      </c>
    </row>
    <row r="439" spans="1:11" x14ac:dyDescent="0.3">
      <c r="A439" s="5" t="s">
        <v>44</v>
      </c>
      <c r="B439" s="6">
        <v>40244</v>
      </c>
      <c r="C439" s="5">
        <v>11</v>
      </c>
      <c r="D439" s="5">
        <v>3</v>
      </c>
      <c r="E439" s="5">
        <v>2010</v>
      </c>
      <c r="F439" s="5" t="s">
        <v>18</v>
      </c>
      <c r="G439" s="5" t="s">
        <v>6</v>
      </c>
      <c r="H439" s="7">
        <v>4142</v>
      </c>
      <c r="I439" s="7">
        <v>4534.59</v>
      </c>
      <c r="J439" s="7">
        <v>392.59000000000015</v>
      </c>
      <c r="K439" s="8">
        <v>9.4782713664896226E-2</v>
      </c>
    </row>
    <row r="440" spans="1:11" x14ac:dyDescent="0.3">
      <c r="A440" s="5" t="s">
        <v>44</v>
      </c>
      <c r="B440" s="6">
        <v>40244</v>
      </c>
      <c r="C440" s="5">
        <v>11</v>
      </c>
      <c r="D440" s="5">
        <v>3</v>
      </c>
      <c r="E440" s="5">
        <v>2010</v>
      </c>
      <c r="F440" s="5" t="s">
        <v>19</v>
      </c>
      <c r="G440" s="5" t="s">
        <v>5</v>
      </c>
      <c r="H440" s="7">
        <v>70185.97</v>
      </c>
      <c r="I440" s="7">
        <v>78844.070000000007</v>
      </c>
      <c r="J440" s="7">
        <v>8658.1000000000058</v>
      </c>
      <c r="K440" s="8">
        <v>0.12335941214462101</v>
      </c>
    </row>
    <row r="441" spans="1:11" x14ac:dyDescent="0.3">
      <c r="A441" s="5" t="s">
        <v>44</v>
      </c>
      <c r="B441" s="6">
        <v>40244</v>
      </c>
      <c r="C441" s="5">
        <v>11</v>
      </c>
      <c r="D441" s="5">
        <v>3</v>
      </c>
      <c r="E441" s="5">
        <v>2010</v>
      </c>
      <c r="F441" s="5" t="s">
        <v>5</v>
      </c>
      <c r="G441" s="5" t="s">
        <v>5</v>
      </c>
      <c r="H441" s="7">
        <v>228615.79</v>
      </c>
      <c r="I441" s="7">
        <v>241460.18</v>
      </c>
      <c r="J441" s="7">
        <v>12844.389999999985</v>
      </c>
      <c r="K441" s="8">
        <v>5.6183302124494482E-2</v>
      </c>
    </row>
    <row r="442" spans="1:11" x14ac:dyDescent="0.3">
      <c r="A442" s="5" t="s">
        <v>44</v>
      </c>
      <c r="B442" s="6">
        <v>40244</v>
      </c>
      <c r="C442" s="5">
        <v>11</v>
      </c>
      <c r="D442" s="5">
        <v>3</v>
      </c>
      <c r="E442" s="5">
        <v>2010</v>
      </c>
      <c r="F442" s="5" t="s">
        <v>20</v>
      </c>
      <c r="G442" s="5" t="s">
        <v>5</v>
      </c>
      <c r="H442" s="7">
        <v>52525.3</v>
      </c>
      <c r="I442" s="7">
        <v>59317.65</v>
      </c>
      <c r="J442" s="7">
        <v>6792.3499999999985</v>
      </c>
      <c r="K442" s="8">
        <v>0.12931577734920122</v>
      </c>
    </row>
    <row r="443" spans="1:11" x14ac:dyDescent="0.3">
      <c r="A443" s="5" t="s">
        <v>44</v>
      </c>
      <c r="B443" s="6">
        <v>40244</v>
      </c>
      <c r="C443" s="5">
        <v>11</v>
      </c>
      <c r="D443" s="5">
        <v>3</v>
      </c>
      <c r="E443" s="5">
        <v>2010</v>
      </c>
      <c r="F443" s="5" t="s">
        <v>21</v>
      </c>
      <c r="G443" s="5" t="s">
        <v>5</v>
      </c>
      <c r="H443" s="7">
        <v>95620.17</v>
      </c>
      <c r="I443" s="7">
        <v>101045.37</v>
      </c>
      <c r="J443" s="7">
        <v>5425.1999999999971</v>
      </c>
      <c r="K443" s="8">
        <v>5.6736983420966489E-2</v>
      </c>
    </row>
    <row r="444" spans="1:11" x14ac:dyDescent="0.3">
      <c r="A444" s="5" t="s">
        <v>44</v>
      </c>
      <c r="B444" s="6">
        <v>40244</v>
      </c>
      <c r="C444" s="5">
        <v>11</v>
      </c>
      <c r="D444" s="5">
        <v>3</v>
      </c>
      <c r="E444" s="5">
        <v>2010</v>
      </c>
      <c r="F444" s="5" t="s">
        <v>22</v>
      </c>
      <c r="G444" s="5" t="s">
        <v>8</v>
      </c>
      <c r="H444" s="7">
        <v>317558.08</v>
      </c>
      <c r="I444" s="7">
        <v>344886.88</v>
      </c>
      <c r="J444" s="7">
        <v>27328.799999999988</v>
      </c>
      <c r="K444" s="8">
        <v>8.6059217891731765E-2</v>
      </c>
    </row>
    <row r="445" spans="1:11" x14ac:dyDescent="0.3">
      <c r="A445" s="5" t="s">
        <v>44</v>
      </c>
      <c r="B445" s="6">
        <v>40244</v>
      </c>
      <c r="C445" s="5">
        <v>11</v>
      </c>
      <c r="D445" s="5">
        <v>3</v>
      </c>
      <c r="E445" s="5">
        <v>2010</v>
      </c>
      <c r="F445" s="5" t="s">
        <v>23</v>
      </c>
      <c r="G445" s="5" t="s">
        <v>8</v>
      </c>
      <c r="H445" s="7">
        <v>84223.81</v>
      </c>
      <c r="I445" s="7">
        <v>88509.17</v>
      </c>
      <c r="J445" s="7">
        <v>4285.3600000000006</v>
      </c>
      <c r="K445" s="8">
        <v>5.0880623899583748E-2</v>
      </c>
    </row>
    <row r="446" spans="1:11" x14ac:dyDescent="0.3">
      <c r="A446" s="5" t="s">
        <v>44</v>
      </c>
      <c r="B446" s="6">
        <v>40244</v>
      </c>
      <c r="C446" s="5">
        <v>11</v>
      </c>
      <c r="D446" s="5">
        <v>3</v>
      </c>
      <c r="E446" s="5">
        <v>2010</v>
      </c>
      <c r="F446" s="5" t="s">
        <v>24</v>
      </c>
      <c r="G446" s="5" t="s">
        <v>8</v>
      </c>
      <c r="H446" s="7">
        <v>70653.490000000005</v>
      </c>
      <c r="I446" s="7">
        <v>75747.64</v>
      </c>
      <c r="J446" s="7">
        <v>5094.1499999999942</v>
      </c>
      <c r="K446" s="8">
        <v>7.2100472319201692E-2</v>
      </c>
    </row>
    <row r="447" spans="1:11" x14ac:dyDescent="0.3">
      <c r="A447" s="5" t="s">
        <v>44</v>
      </c>
      <c r="B447" s="6">
        <v>40244</v>
      </c>
      <c r="C447" s="5">
        <v>11</v>
      </c>
      <c r="D447" s="5">
        <v>3</v>
      </c>
      <c r="E447" s="5">
        <v>2010</v>
      </c>
      <c r="F447" s="5" t="s">
        <v>25</v>
      </c>
      <c r="G447" s="5" t="s">
        <v>8</v>
      </c>
      <c r="H447" s="7">
        <v>820</v>
      </c>
      <c r="I447" s="7">
        <v>926.08</v>
      </c>
      <c r="J447" s="7">
        <v>106.08000000000004</v>
      </c>
      <c r="K447" s="8">
        <v>0.12936585365853664</v>
      </c>
    </row>
    <row r="448" spans="1:11" x14ac:dyDescent="0.3">
      <c r="A448" s="5" t="s">
        <v>44</v>
      </c>
      <c r="B448" s="6">
        <v>40244</v>
      </c>
      <c r="C448" s="5">
        <v>11</v>
      </c>
      <c r="D448" s="5">
        <v>3</v>
      </c>
      <c r="E448" s="5">
        <v>2010</v>
      </c>
      <c r="F448" s="5" t="s">
        <v>27</v>
      </c>
      <c r="G448" s="5" t="s">
        <v>10</v>
      </c>
      <c r="H448" s="7">
        <v>6274.04</v>
      </c>
      <c r="I448" s="7">
        <v>7211.98</v>
      </c>
      <c r="J448" s="7">
        <v>937.9399999999996</v>
      </c>
      <c r="K448" s="8">
        <v>0.14949538096664983</v>
      </c>
    </row>
    <row r="449" spans="1:11" x14ac:dyDescent="0.3">
      <c r="A449" s="5" t="s">
        <v>44</v>
      </c>
      <c r="B449" s="6">
        <v>40244</v>
      </c>
      <c r="C449" s="5">
        <v>11</v>
      </c>
      <c r="D449" s="5">
        <v>3</v>
      </c>
      <c r="E449" s="5">
        <v>2010</v>
      </c>
      <c r="F449" s="5" t="s">
        <v>29</v>
      </c>
      <c r="G449" s="5" t="s">
        <v>10</v>
      </c>
      <c r="H449" s="7">
        <v>94608.85</v>
      </c>
      <c r="I449" s="7">
        <v>104908.26</v>
      </c>
      <c r="J449" s="7">
        <v>10299.409999999989</v>
      </c>
      <c r="K449" s="8">
        <v>0.10886307147798528</v>
      </c>
    </row>
    <row r="450" spans="1:11" x14ac:dyDescent="0.3">
      <c r="A450" s="5" t="s">
        <v>44</v>
      </c>
      <c r="B450" s="6">
        <v>40244</v>
      </c>
      <c r="C450" s="5">
        <v>11</v>
      </c>
      <c r="D450" s="5">
        <v>3</v>
      </c>
      <c r="E450" s="5">
        <v>2010</v>
      </c>
      <c r="F450" s="5" t="s">
        <v>30</v>
      </c>
      <c r="G450" s="5" t="s">
        <v>10</v>
      </c>
      <c r="H450" s="7">
        <v>15766.98</v>
      </c>
      <c r="I450" s="7">
        <v>17831.32</v>
      </c>
      <c r="J450" s="7">
        <v>2064.34</v>
      </c>
      <c r="K450" s="8">
        <v>0.1309280534382615</v>
      </c>
    </row>
    <row r="451" spans="1:11" x14ac:dyDescent="0.3">
      <c r="A451" s="5" t="s">
        <v>44</v>
      </c>
      <c r="B451" s="6">
        <v>40244</v>
      </c>
      <c r="C451" s="5">
        <v>11</v>
      </c>
      <c r="D451" s="5">
        <v>3</v>
      </c>
      <c r="E451" s="5">
        <v>2010</v>
      </c>
      <c r="F451" s="5" t="s">
        <v>9</v>
      </c>
      <c r="G451" s="5" t="s">
        <v>9</v>
      </c>
      <c r="H451" s="7">
        <v>64592.54</v>
      </c>
      <c r="I451" s="7">
        <v>72410.73</v>
      </c>
      <c r="J451" s="7">
        <v>7818.1899999999951</v>
      </c>
      <c r="K451" s="8">
        <v>0.12103859052454037</v>
      </c>
    </row>
    <row r="452" spans="1:11" x14ac:dyDescent="0.3">
      <c r="A452" s="5" t="s">
        <v>44</v>
      </c>
      <c r="B452" s="6">
        <v>40244</v>
      </c>
      <c r="C452" s="5">
        <v>11</v>
      </c>
      <c r="D452" s="5">
        <v>3</v>
      </c>
      <c r="E452" s="5">
        <v>2010</v>
      </c>
      <c r="F452" s="5" t="s">
        <v>33</v>
      </c>
      <c r="G452" s="5" t="s">
        <v>7</v>
      </c>
      <c r="H452" s="7">
        <v>3808</v>
      </c>
      <c r="I452" s="7">
        <v>6241.37</v>
      </c>
      <c r="J452" s="7">
        <v>2433.37</v>
      </c>
      <c r="K452" s="8">
        <v>0.63901523109243696</v>
      </c>
    </row>
    <row r="453" spans="1:11" x14ac:dyDescent="0.3">
      <c r="A453" s="5" t="s">
        <v>44</v>
      </c>
      <c r="B453" s="6">
        <v>40244</v>
      </c>
      <c r="C453" s="5">
        <v>11</v>
      </c>
      <c r="D453" s="5">
        <v>3</v>
      </c>
      <c r="E453" s="5">
        <v>2010</v>
      </c>
      <c r="F453" s="5" t="s">
        <v>35</v>
      </c>
      <c r="G453" s="5" t="s">
        <v>11</v>
      </c>
      <c r="H453" s="7">
        <v>3023</v>
      </c>
      <c r="I453" s="7">
        <v>3385.77</v>
      </c>
      <c r="J453" s="7">
        <v>362.77</v>
      </c>
      <c r="K453" s="8">
        <v>0.12000330797221302</v>
      </c>
    </row>
    <row r="454" spans="1:11" x14ac:dyDescent="0.3">
      <c r="A454" s="5" t="s">
        <v>44</v>
      </c>
      <c r="B454" s="6">
        <v>40244</v>
      </c>
      <c r="C454" s="5">
        <v>11</v>
      </c>
      <c r="D454" s="5">
        <v>3</v>
      </c>
      <c r="E454" s="5">
        <v>2010</v>
      </c>
      <c r="F454" s="5" t="s">
        <v>36</v>
      </c>
      <c r="G454" s="5" t="s">
        <v>11</v>
      </c>
      <c r="H454" s="7">
        <v>72884.990000000005</v>
      </c>
      <c r="I454" s="7">
        <v>80831.839999999997</v>
      </c>
      <c r="J454" s="7">
        <v>7946.8499999999913</v>
      </c>
      <c r="K454" s="8">
        <v>0.10903273774202329</v>
      </c>
    </row>
    <row r="455" spans="1:11" x14ac:dyDescent="0.3">
      <c r="A455" s="5" t="s">
        <v>44</v>
      </c>
      <c r="B455" s="6">
        <v>40244</v>
      </c>
      <c r="C455" s="5">
        <v>11</v>
      </c>
      <c r="D455" s="5">
        <v>3</v>
      </c>
      <c r="E455" s="5">
        <v>2010</v>
      </c>
      <c r="F455" s="5" t="s">
        <v>37</v>
      </c>
      <c r="G455" s="5" t="s">
        <v>11</v>
      </c>
      <c r="H455" s="7">
        <v>102688.53</v>
      </c>
      <c r="I455" s="7">
        <v>110255.63</v>
      </c>
      <c r="J455" s="7">
        <v>7567.1000000000058</v>
      </c>
      <c r="K455" s="8">
        <v>7.3689826896928073E-2</v>
      </c>
    </row>
    <row r="456" spans="1:11" x14ac:dyDescent="0.3">
      <c r="A456" s="5" t="s">
        <v>44</v>
      </c>
      <c r="B456" s="6">
        <v>40244</v>
      </c>
      <c r="C456" s="5">
        <v>11</v>
      </c>
      <c r="D456" s="5">
        <v>3</v>
      </c>
      <c r="E456" s="5">
        <v>2010</v>
      </c>
      <c r="F456" s="5" t="s">
        <v>38</v>
      </c>
      <c r="G456" s="5" t="s">
        <v>11</v>
      </c>
      <c r="H456" s="7">
        <v>127548.97</v>
      </c>
      <c r="I456" s="7">
        <v>132091.26</v>
      </c>
      <c r="J456" s="7">
        <v>4542.2900000000081</v>
      </c>
      <c r="K456" s="8">
        <v>3.5612126072049097E-2</v>
      </c>
    </row>
    <row r="457" spans="1:11" x14ac:dyDescent="0.3">
      <c r="A457" s="5" t="s">
        <v>44</v>
      </c>
      <c r="B457" s="6">
        <v>40245</v>
      </c>
      <c r="C457" s="5">
        <v>11</v>
      </c>
      <c r="D457" s="5">
        <v>3</v>
      </c>
      <c r="E457" s="5">
        <v>2010</v>
      </c>
      <c r="F457" s="5" t="s">
        <v>14</v>
      </c>
      <c r="G457" s="5" t="s">
        <v>6</v>
      </c>
      <c r="H457" s="7">
        <v>1536</v>
      </c>
      <c r="I457" s="7">
        <v>1852.78</v>
      </c>
      <c r="J457" s="7">
        <v>316.77999999999997</v>
      </c>
      <c r="K457" s="8">
        <v>0.20623697916666664</v>
      </c>
    </row>
    <row r="458" spans="1:11" x14ac:dyDescent="0.3">
      <c r="A458" s="5" t="s">
        <v>44</v>
      </c>
      <c r="B458" s="6">
        <v>40245</v>
      </c>
      <c r="C458" s="5">
        <v>11</v>
      </c>
      <c r="D458" s="5">
        <v>3</v>
      </c>
      <c r="E458" s="5">
        <v>2010</v>
      </c>
      <c r="F458" s="5" t="s">
        <v>15</v>
      </c>
      <c r="G458" s="5" t="s">
        <v>6</v>
      </c>
      <c r="H458" s="7">
        <v>32933.56</v>
      </c>
      <c r="I458" s="7">
        <v>41414.6</v>
      </c>
      <c r="J458" s="7">
        <v>8481.0400000000009</v>
      </c>
      <c r="K458" s="8">
        <v>0.2575196850871877</v>
      </c>
    </row>
    <row r="459" spans="1:11" x14ac:dyDescent="0.3">
      <c r="A459" s="5" t="s">
        <v>44</v>
      </c>
      <c r="B459" s="6">
        <v>40245</v>
      </c>
      <c r="C459" s="5">
        <v>11</v>
      </c>
      <c r="D459" s="5">
        <v>3</v>
      </c>
      <c r="E459" s="5">
        <v>2010</v>
      </c>
      <c r="F459" s="5" t="s">
        <v>16</v>
      </c>
      <c r="G459" s="5" t="s">
        <v>6</v>
      </c>
      <c r="H459" s="7">
        <v>130814.83</v>
      </c>
      <c r="I459" s="7">
        <v>137113.51999999999</v>
      </c>
      <c r="J459" s="7">
        <v>6298.6899999999878</v>
      </c>
      <c r="K459" s="8">
        <v>4.8149663153634704E-2</v>
      </c>
    </row>
    <row r="460" spans="1:11" x14ac:dyDescent="0.3">
      <c r="A460" s="5" t="s">
        <v>44</v>
      </c>
      <c r="B460" s="6">
        <v>40245</v>
      </c>
      <c r="C460" s="5">
        <v>11</v>
      </c>
      <c r="D460" s="5">
        <v>3</v>
      </c>
      <c r="E460" s="5">
        <v>2010</v>
      </c>
      <c r="F460" s="5" t="s">
        <v>18</v>
      </c>
      <c r="G460" s="5" t="s">
        <v>6</v>
      </c>
      <c r="H460" s="7">
        <v>2890.56</v>
      </c>
      <c r="I460" s="7">
        <v>3176.42</v>
      </c>
      <c r="J460" s="7">
        <v>285.86000000000013</v>
      </c>
      <c r="K460" s="8">
        <v>9.8894331894165882E-2</v>
      </c>
    </row>
    <row r="461" spans="1:11" x14ac:dyDescent="0.3">
      <c r="A461" s="5" t="s">
        <v>44</v>
      </c>
      <c r="B461" s="6">
        <v>40245</v>
      </c>
      <c r="C461" s="5">
        <v>11</v>
      </c>
      <c r="D461" s="5">
        <v>3</v>
      </c>
      <c r="E461" s="5">
        <v>2010</v>
      </c>
      <c r="F461" s="5" t="s">
        <v>19</v>
      </c>
      <c r="G461" s="5" t="s">
        <v>5</v>
      </c>
      <c r="H461" s="7">
        <v>24166.74</v>
      </c>
      <c r="I461" s="7">
        <v>27312.05</v>
      </c>
      <c r="J461" s="7">
        <v>3145.3099999999977</v>
      </c>
      <c r="K461" s="8">
        <v>0.13015036368165492</v>
      </c>
    </row>
    <row r="462" spans="1:11" x14ac:dyDescent="0.3">
      <c r="A462" s="5" t="s">
        <v>44</v>
      </c>
      <c r="B462" s="6">
        <v>40245</v>
      </c>
      <c r="C462" s="5">
        <v>11</v>
      </c>
      <c r="D462" s="5">
        <v>3</v>
      </c>
      <c r="E462" s="5">
        <v>2010</v>
      </c>
      <c r="F462" s="5" t="s">
        <v>5</v>
      </c>
      <c r="G462" s="5" t="s">
        <v>5</v>
      </c>
      <c r="H462" s="7">
        <v>117287.84</v>
      </c>
      <c r="I462" s="7">
        <v>123181.06</v>
      </c>
      <c r="J462" s="7">
        <v>5893.2200000000012</v>
      </c>
      <c r="K462" s="8">
        <v>5.0245788480715488E-2</v>
      </c>
    </row>
    <row r="463" spans="1:11" x14ac:dyDescent="0.3">
      <c r="A463" s="5" t="s">
        <v>44</v>
      </c>
      <c r="B463" s="6">
        <v>40245</v>
      </c>
      <c r="C463" s="5">
        <v>11</v>
      </c>
      <c r="D463" s="5">
        <v>3</v>
      </c>
      <c r="E463" s="5">
        <v>2010</v>
      </c>
      <c r="F463" s="5" t="s">
        <v>20</v>
      </c>
      <c r="G463" s="5" t="s">
        <v>5</v>
      </c>
      <c r="H463" s="7">
        <v>22803</v>
      </c>
      <c r="I463" s="7">
        <v>25617.95</v>
      </c>
      <c r="J463" s="7">
        <v>2814.9500000000007</v>
      </c>
      <c r="K463" s="8">
        <v>0.12344647634083238</v>
      </c>
    </row>
    <row r="464" spans="1:11" x14ac:dyDescent="0.3">
      <c r="A464" s="5" t="s">
        <v>44</v>
      </c>
      <c r="B464" s="6">
        <v>40245</v>
      </c>
      <c r="C464" s="5">
        <v>11</v>
      </c>
      <c r="D464" s="5">
        <v>3</v>
      </c>
      <c r="E464" s="5">
        <v>2010</v>
      </c>
      <c r="F464" s="5" t="s">
        <v>21</v>
      </c>
      <c r="G464" s="5" t="s">
        <v>5</v>
      </c>
      <c r="H464" s="7">
        <v>40793.49</v>
      </c>
      <c r="I464" s="7">
        <v>43651.97</v>
      </c>
      <c r="J464" s="7">
        <v>2858.4800000000032</v>
      </c>
      <c r="K464" s="8">
        <v>7.0071964914009646E-2</v>
      </c>
    </row>
    <row r="465" spans="1:11" x14ac:dyDescent="0.3">
      <c r="A465" s="5" t="s">
        <v>44</v>
      </c>
      <c r="B465" s="6">
        <v>40245</v>
      </c>
      <c r="C465" s="5">
        <v>11</v>
      </c>
      <c r="D465" s="5">
        <v>3</v>
      </c>
      <c r="E465" s="5">
        <v>2010</v>
      </c>
      <c r="F465" s="5" t="s">
        <v>22</v>
      </c>
      <c r="G465" s="5" t="s">
        <v>8</v>
      </c>
      <c r="H465" s="7">
        <v>231612.43</v>
      </c>
      <c r="I465" s="7">
        <v>248402.34</v>
      </c>
      <c r="J465" s="7">
        <v>16789.910000000003</v>
      </c>
      <c r="K465" s="8">
        <v>7.2491402987309467E-2</v>
      </c>
    </row>
    <row r="466" spans="1:11" x14ac:dyDescent="0.3">
      <c r="A466" s="5" t="s">
        <v>44</v>
      </c>
      <c r="B466" s="6">
        <v>40245</v>
      </c>
      <c r="C466" s="5">
        <v>11</v>
      </c>
      <c r="D466" s="5">
        <v>3</v>
      </c>
      <c r="E466" s="5">
        <v>2010</v>
      </c>
      <c r="F466" s="5" t="s">
        <v>23</v>
      </c>
      <c r="G466" s="5" t="s">
        <v>8</v>
      </c>
      <c r="H466" s="7">
        <v>-47858.2</v>
      </c>
      <c r="I466" s="7">
        <v>50924.9</v>
      </c>
      <c r="J466" s="7">
        <v>98783.1</v>
      </c>
      <c r="K466" s="8">
        <v>-2.0640788830336287</v>
      </c>
    </row>
    <row r="467" spans="1:11" x14ac:dyDescent="0.3">
      <c r="A467" s="5" t="s">
        <v>44</v>
      </c>
      <c r="B467" s="6">
        <v>40245</v>
      </c>
      <c r="C467" s="5">
        <v>11</v>
      </c>
      <c r="D467" s="5">
        <v>3</v>
      </c>
      <c r="E467" s="5">
        <v>2010</v>
      </c>
      <c r="F467" s="5" t="s">
        <v>24</v>
      </c>
      <c r="G467" s="5" t="s">
        <v>8</v>
      </c>
      <c r="H467" s="7">
        <v>63445.98</v>
      </c>
      <c r="I467" s="7">
        <v>67517.75</v>
      </c>
      <c r="J467" s="7">
        <v>4071.7699999999968</v>
      </c>
      <c r="K467" s="8">
        <v>6.4176958098842454E-2</v>
      </c>
    </row>
    <row r="468" spans="1:11" x14ac:dyDescent="0.3">
      <c r="A468" s="5" t="s">
        <v>44</v>
      </c>
      <c r="B468" s="6">
        <v>40245</v>
      </c>
      <c r="C468" s="5">
        <v>11</v>
      </c>
      <c r="D468" s="5">
        <v>3</v>
      </c>
      <c r="E468" s="5">
        <v>2010</v>
      </c>
      <c r="F468" s="5" t="s">
        <v>25</v>
      </c>
      <c r="G468" s="5" t="s">
        <v>8</v>
      </c>
      <c r="H468" s="7">
        <v>80</v>
      </c>
      <c r="I468" s="7">
        <v>91.99</v>
      </c>
      <c r="J468" s="7">
        <v>11.989999999999995</v>
      </c>
      <c r="K468" s="8">
        <v>0.14987499999999992</v>
      </c>
    </row>
    <row r="469" spans="1:11" x14ac:dyDescent="0.3">
      <c r="A469" s="5" t="s">
        <v>44</v>
      </c>
      <c r="B469" s="6">
        <v>40245</v>
      </c>
      <c r="C469" s="5">
        <v>11</v>
      </c>
      <c r="D469" s="5">
        <v>3</v>
      </c>
      <c r="E469" s="5">
        <v>2010</v>
      </c>
      <c r="F469" s="5" t="s">
        <v>27</v>
      </c>
      <c r="G469" s="5" t="s">
        <v>10</v>
      </c>
      <c r="H469" s="7">
        <v>8328.64</v>
      </c>
      <c r="I469" s="7">
        <v>9574.76</v>
      </c>
      <c r="J469" s="7">
        <v>1246.1200000000008</v>
      </c>
      <c r="K469" s="8">
        <v>0.14961866523225892</v>
      </c>
    </row>
    <row r="470" spans="1:11" x14ac:dyDescent="0.3">
      <c r="A470" s="5" t="s">
        <v>44</v>
      </c>
      <c r="B470" s="6">
        <v>40245</v>
      </c>
      <c r="C470" s="5">
        <v>11</v>
      </c>
      <c r="D470" s="5">
        <v>3</v>
      </c>
      <c r="E470" s="5">
        <v>2010</v>
      </c>
      <c r="F470" s="5" t="s">
        <v>29</v>
      </c>
      <c r="G470" s="5" t="s">
        <v>10</v>
      </c>
      <c r="H470" s="7">
        <v>44923.45</v>
      </c>
      <c r="I470" s="7">
        <v>49848.62</v>
      </c>
      <c r="J470" s="7">
        <v>4925.1700000000055</v>
      </c>
      <c r="K470" s="8">
        <v>0.10963472306779658</v>
      </c>
    </row>
    <row r="471" spans="1:11" x14ac:dyDescent="0.3">
      <c r="A471" s="5" t="s">
        <v>44</v>
      </c>
      <c r="B471" s="6">
        <v>40245</v>
      </c>
      <c r="C471" s="5">
        <v>11</v>
      </c>
      <c r="D471" s="5">
        <v>3</v>
      </c>
      <c r="E471" s="5">
        <v>2010</v>
      </c>
      <c r="F471" s="5" t="s">
        <v>30</v>
      </c>
      <c r="G471" s="5" t="s">
        <v>10</v>
      </c>
      <c r="H471" s="7">
        <v>5207.58</v>
      </c>
      <c r="I471" s="7">
        <v>5921.61</v>
      </c>
      <c r="J471" s="7">
        <v>714.02999999999975</v>
      </c>
      <c r="K471" s="8">
        <v>0.13711359210996274</v>
      </c>
    </row>
    <row r="472" spans="1:11" x14ac:dyDescent="0.3">
      <c r="A472" s="5" t="s">
        <v>44</v>
      </c>
      <c r="B472" s="6">
        <v>40245</v>
      </c>
      <c r="C472" s="5">
        <v>11</v>
      </c>
      <c r="D472" s="5">
        <v>3</v>
      </c>
      <c r="E472" s="5">
        <v>2010</v>
      </c>
      <c r="F472" s="5" t="s">
        <v>9</v>
      </c>
      <c r="G472" s="5" t="s">
        <v>9</v>
      </c>
      <c r="H472" s="7">
        <v>22249.41</v>
      </c>
      <c r="I472" s="7">
        <v>24825.87</v>
      </c>
      <c r="J472" s="7">
        <v>2576.4599999999991</v>
      </c>
      <c r="K472" s="8">
        <v>0.11579902568202928</v>
      </c>
    </row>
    <row r="473" spans="1:11" x14ac:dyDescent="0.3">
      <c r="A473" s="5" t="s">
        <v>44</v>
      </c>
      <c r="B473" s="6">
        <v>40245</v>
      </c>
      <c r="C473" s="5">
        <v>11</v>
      </c>
      <c r="D473" s="5">
        <v>3</v>
      </c>
      <c r="E473" s="5">
        <v>2010</v>
      </c>
      <c r="F473" s="5" t="s">
        <v>33</v>
      </c>
      <c r="G473" s="5" t="s">
        <v>7</v>
      </c>
      <c r="H473" s="7">
        <v>3384</v>
      </c>
      <c r="I473" s="7">
        <v>6390.95</v>
      </c>
      <c r="J473" s="7">
        <v>3006.95</v>
      </c>
      <c r="K473" s="8">
        <v>0.88857860520094556</v>
      </c>
    </row>
    <row r="474" spans="1:11" x14ac:dyDescent="0.3">
      <c r="A474" s="5" t="s">
        <v>44</v>
      </c>
      <c r="B474" s="6">
        <v>40245</v>
      </c>
      <c r="C474" s="5">
        <v>11</v>
      </c>
      <c r="D474" s="5">
        <v>3</v>
      </c>
      <c r="E474" s="5">
        <v>2010</v>
      </c>
      <c r="F474" s="5" t="s">
        <v>35</v>
      </c>
      <c r="G474" s="5" t="s">
        <v>11</v>
      </c>
      <c r="H474" s="7">
        <v>482</v>
      </c>
      <c r="I474" s="7">
        <v>539.76</v>
      </c>
      <c r="J474" s="7">
        <v>57.759999999999991</v>
      </c>
      <c r="K474" s="8">
        <v>0.11983402489626555</v>
      </c>
    </row>
    <row r="475" spans="1:11" x14ac:dyDescent="0.3">
      <c r="A475" s="5" t="s">
        <v>44</v>
      </c>
      <c r="B475" s="6">
        <v>40245</v>
      </c>
      <c r="C475" s="5">
        <v>11</v>
      </c>
      <c r="D475" s="5">
        <v>3</v>
      </c>
      <c r="E475" s="5">
        <v>2010</v>
      </c>
      <c r="F475" s="5" t="s">
        <v>36</v>
      </c>
      <c r="G475" s="5" t="s">
        <v>11</v>
      </c>
      <c r="H475" s="7">
        <v>35191.279999999999</v>
      </c>
      <c r="I475" s="7">
        <v>38627.93</v>
      </c>
      <c r="J475" s="7">
        <v>3436.6500000000015</v>
      </c>
      <c r="K475" s="8">
        <v>9.7656294400203736E-2</v>
      </c>
    </row>
    <row r="476" spans="1:11" x14ac:dyDescent="0.3">
      <c r="A476" s="5" t="s">
        <v>44</v>
      </c>
      <c r="B476" s="6">
        <v>40245</v>
      </c>
      <c r="C476" s="5">
        <v>11</v>
      </c>
      <c r="D476" s="5">
        <v>3</v>
      </c>
      <c r="E476" s="5">
        <v>2010</v>
      </c>
      <c r="F476" s="5" t="s">
        <v>37</v>
      </c>
      <c r="G476" s="5" t="s">
        <v>11</v>
      </c>
      <c r="H476" s="7">
        <v>48877.94</v>
      </c>
      <c r="I476" s="7">
        <v>52131.93</v>
      </c>
      <c r="J476" s="7">
        <v>3253.989999999998</v>
      </c>
      <c r="K476" s="8">
        <v>6.6573795867829078E-2</v>
      </c>
    </row>
    <row r="477" spans="1:11" x14ac:dyDescent="0.3">
      <c r="A477" s="5" t="s">
        <v>44</v>
      </c>
      <c r="B477" s="6">
        <v>40245</v>
      </c>
      <c r="C477" s="5">
        <v>11</v>
      </c>
      <c r="D477" s="5">
        <v>3</v>
      </c>
      <c r="E477" s="5">
        <v>2010</v>
      </c>
      <c r="F477" s="5" t="s">
        <v>38</v>
      </c>
      <c r="G477" s="5" t="s">
        <v>11</v>
      </c>
      <c r="H477" s="7">
        <v>42419.46</v>
      </c>
      <c r="I477" s="7">
        <v>43975.19</v>
      </c>
      <c r="J477" s="7">
        <v>1555.7300000000032</v>
      </c>
      <c r="K477" s="8">
        <v>3.6674912881965102E-2</v>
      </c>
    </row>
    <row r="478" spans="1:11" x14ac:dyDescent="0.3">
      <c r="A478" s="5" t="s">
        <v>44</v>
      </c>
      <c r="B478" s="6">
        <v>40246</v>
      </c>
      <c r="C478" s="5">
        <v>11</v>
      </c>
      <c r="D478" s="5">
        <v>3</v>
      </c>
      <c r="E478" s="5">
        <v>2010</v>
      </c>
      <c r="F478" s="5" t="s">
        <v>14</v>
      </c>
      <c r="G478" s="5" t="s">
        <v>6</v>
      </c>
      <c r="H478" s="7">
        <v>1264</v>
      </c>
      <c r="I478" s="7">
        <v>1440.6</v>
      </c>
      <c r="J478" s="7">
        <v>176.59999999999991</v>
      </c>
      <c r="K478" s="8">
        <v>0.13971518987341766</v>
      </c>
    </row>
    <row r="479" spans="1:11" x14ac:dyDescent="0.3">
      <c r="A479" s="5" t="s">
        <v>44</v>
      </c>
      <c r="B479" s="6">
        <v>40246</v>
      </c>
      <c r="C479" s="5">
        <v>11</v>
      </c>
      <c r="D479" s="5">
        <v>3</v>
      </c>
      <c r="E479" s="5">
        <v>2010</v>
      </c>
      <c r="F479" s="5" t="s">
        <v>15</v>
      </c>
      <c r="G479" s="5" t="s">
        <v>6</v>
      </c>
      <c r="H479" s="7">
        <v>15517.69</v>
      </c>
      <c r="I479" s="7">
        <v>14303.05</v>
      </c>
      <c r="J479" s="7">
        <v>-1214.6400000000012</v>
      </c>
      <c r="K479" s="8">
        <v>-7.827453699616381E-2</v>
      </c>
    </row>
    <row r="480" spans="1:11" x14ac:dyDescent="0.3">
      <c r="A480" s="5" t="s">
        <v>44</v>
      </c>
      <c r="B480" s="6">
        <v>40246</v>
      </c>
      <c r="C480" s="5">
        <v>11</v>
      </c>
      <c r="D480" s="5">
        <v>3</v>
      </c>
      <c r="E480" s="5">
        <v>2010</v>
      </c>
      <c r="F480" s="5" t="s">
        <v>16</v>
      </c>
      <c r="G480" s="5" t="s">
        <v>6</v>
      </c>
      <c r="H480" s="7">
        <v>11335.52</v>
      </c>
      <c r="I480" s="7">
        <v>12786.32</v>
      </c>
      <c r="J480" s="7">
        <v>1450.7999999999993</v>
      </c>
      <c r="K480" s="8">
        <v>0.12798707072988263</v>
      </c>
    </row>
    <row r="481" spans="1:11" x14ac:dyDescent="0.3">
      <c r="A481" s="5" t="s">
        <v>44</v>
      </c>
      <c r="B481" s="6">
        <v>40246</v>
      </c>
      <c r="C481" s="5">
        <v>11</v>
      </c>
      <c r="D481" s="5">
        <v>3</v>
      </c>
      <c r="E481" s="5">
        <v>2010</v>
      </c>
      <c r="F481" s="5" t="s">
        <v>18</v>
      </c>
      <c r="G481" s="5" t="s">
        <v>6</v>
      </c>
      <c r="H481" s="7">
        <v>5357</v>
      </c>
      <c r="I481" s="7">
        <v>6198.99</v>
      </c>
      <c r="J481" s="7">
        <v>841.98999999999978</v>
      </c>
      <c r="K481" s="8">
        <v>0.1571756580175471</v>
      </c>
    </row>
    <row r="482" spans="1:11" x14ac:dyDescent="0.3">
      <c r="A482" s="5" t="s">
        <v>44</v>
      </c>
      <c r="B482" s="6">
        <v>40246</v>
      </c>
      <c r="C482" s="5">
        <v>11</v>
      </c>
      <c r="D482" s="5">
        <v>3</v>
      </c>
      <c r="E482" s="5">
        <v>2010</v>
      </c>
      <c r="F482" s="5" t="s">
        <v>19</v>
      </c>
      <c r="G482" s="5" t="s">
        <v>5</v>
      </c>
      <c r="H482" s="7">
        <v>22683.14</v>
      </c>
      <c r="I482" s="7">
        <v>25127.72</v>
      </c>
      <c r="J482" s="7">
        <v>2444.5800000000017</v>
      </c>
      <c r="K482" s="8">
        <v>0.10777079363791793</v>
      </c>
    </row>
    <row r="483" spans="1:11" x14ac:dyDescent="0.3">
      <c r="A483" s="5" t="s">
        <v>44</v>
      </c>
      <c r="B483" s="6">
        <v>40246</v>
      </c>
      <c r="C483" s="5">
        <v>11</v>
      </c>
      <c r="D483" s="5">
        <v>3</v>
      </c>
      <c r="E483" s="5">
        <v>2010</v>
      </c>
      <c r="F483" s="5" t="s">
        <v>5</v>
      </c>
      <c r="G483" s="5" t="s">
        <v>5</v>
      </c>
      <c r="H483" s="7">
        <v>110748.65</v>
      </c>
      <c r="I483" s="7">
        <v>114984.91</v>
      </c>
      <c r="J483" s="7">
        <v>4236.2600000000093</v>
      </c>
      <c r="K483" s="8">
        <v>3.8251120894024528E-2</v>
      </c>
    </row>
    <row r="484" spans="1:11" x14ac:dyDescent="0.3">
      <c r="A484" s="5" t="s">
        <v>44</v>
      </c>
      <c r="B484" s="6">
        <v>40246</v>
      </c>
      <c r="C484" s="5">
        <v>11</v>
      </c>
      <c r="D484" s="5">
        <v>3</v>
      </c>
      <c r="E484" s="5">
        <v>2010</v>
      </c>
      <c r="F484" s="5" t="s">
        <v>20</v>
      </c>
      <c r="G484" s="5" t="s">
        <v>5</v>
      </c>
      <c r="H484" s="7">
        <v>12662</v>
      </c>
      <c r="I484" s="7">
        <v>14354.23</v>
      </c>
      <c r="J484" s="7">
        <v>1692.2299999999996</v>
      </c>
      <c r="K484" s="8">
        <v>0.13364634338966985</v>
      </c>
    </row>
    <row r="485" spans="1:11" x14ac:dyDescent="0.3">
      <c r="A485" s="5" t="s">
        <v>44</v>
      </c>
      <c r="B485" s="6">
        <v>40246</v>
      </c>
      <c r="C485" s="5">
        <v>11</v>
      </c>
      <c r="D485" s="5">
        <v>3</v>
      </c>
      <c r="E485" s="5">
        <v>2010</v>
      </c>
      <c r="F485" s="5" t="s">
        <v>21</v>
      </c>
      <c r="G485" s="5" t="s">
        <v>5</v>
      </c>
      <c r="H485" s="7">
        <v>38316.36</v>
      </c>
      <c r="I485" s="7">
        <v>40494.050000000003</v>
      </c>
      <c r="J485" s="7">
        <v>2177.6900000000023</v>
      </c>
      <c r="K485" s="8">
        <v>5.6834469662567173E-2</v>
      </c>
    </row>
    <row r="486" spans="1:11" x14ac:dyDescent="0.3">
      <c r="A486" s="5" t="s">
        <v>44</v>
      </c>
      <c r="B486" s="6">
        <v>40246</v>
      </c>
      <c r="C486" s="5">
        <v>11</v>
      </c>
      <c r="D486" s="5">
        <v>3</v>
      </c>
      <c r="E486" s="5">
        <v>2010</v>
      </c>
      <c r="F486" s="5" t="s">
        <v>22</v>
      </c>
      <c r="G486" s="5" t="s">
        <v>8</v>
      </c>
      <c r="H486" s="7">
        <v>72340.009999999995</v>
      </c>
      <c r="I486" s="7">
        <v>78303.72</v>
      </c>
      <c r="J486" s="7">
        <v>5963.7100000000064</v>
      </c>
      <c r="K486" s="8">
        <v>8.2439994133260516E-2</v>
      </c>
    </row>
    <row r="487" spans="1:11" x14ac:dyDescent="0.3">
      <c r="A487" s="5" t="s">
        <v>44</v>
      </c>
      <c r="B487" s="6">
        <v>40246</v>
      </c>
      <c r="C487" s="5">
        <v>11</v>
      </c>
      <c r="D487" s="5">
        <v>3</v>
      </c>
      <c r="E487" s="5">
        <v>2010</v>
      </c>
      <c r="F487" s="5" t="s">
        <v>23</v>
      </c>
      <c r="G487" s="5" t="s">
        <v>8</v>
      </c>
      <c r="H487" s="7">
        <v>40118.6</v>
      </c>
      <c r="I487" s="7">
        <v>42476.12</v>
      </c>
      <c r="J487" s="7">
        <v>2357.5200000000041</v>
      </c>
      <c r="K487" s="8">
        <v>5.8763765435483895E-2</v>
      </c>
    </row>
    <row r="488" spans="1:11" x14ac:dyDescent="0.3">
      <c r="A488" s="5" t="s">
        <v>44</v>
      </c>
      <c r="B488" s="6">
        <v>40246</v>
      </c>
      <c r="C488" s="5">
        <v>11</v>
      </c>
      <c r="D488" s="5">
        <v>3</v>
      </c>
      <c r="E488" s="5">
        <v>2010</v>
      </c>
      <c r="F488" s="5" t="s">
        <v>24</v>
      </c>
      <c r="G488" s="5" t="s">
        <v>8</v>
      </c>
      <c r="H488" s="7">
        <v>14107.49</v>
      </c>
      <c r="I488" s="7">
        <v>15212.43</v>
      </c>
      <c r="J488" s="7">
        <v>1104.9400000000005</v>
      </c>
      <c r="K488" s="8">
        <v>7.8322933420473848E-2</v>
      </c>
    </row>
    <row r="489" spans="1:11" x14ac:dyDescent="0.3">
      <c r="A489" s="5" t="s">
        <v>44</v>
      </c>
      <c r="B489" s="6">
        <v>40246</v>
      </c>
      <c r="C489" s="5">
        <v>11</v>
      </c>
      <c r="D489" s="5">
        <v>3</v>
      </c>
      <c r="E489" s="5">
        <v>2010</v>
      </c>
      <c r="F489" s="5" t="s">
        <v>25</v>
      </c>
      <c r="G489" s="5" t="s">
        <v>8</v>
      </c>
      <c r="H489" s="7">
        <v>300</v>
      </c>
      <c r="I489" s="7">
        <v>340.16</v>
      </c>
      <c r="J489" s="7">
        <v>40.160000000000025</v>
      </c>
      <c r="K489" s="8">
        <v>0.13386666666666674</v>
      </c>
    </row>
    <row r="490" spans="1:11" x14ac:dyDescent="0.3">
      <c r="A490" s="5" t="s">
        <v>44</v>
      </c>
      <c r="B490" s="6">
        <v>40246</v>
      </c>
      <c r="C490" s="5">
        <v>11</v>
      </c>
      <c r="D490" s="5">
        <v>3</v>
      </c>
      <c r="E490" s="5">
        <v>2010</v>
      </c>
      <c r="F490" s="5" t="s">
        <v>27</v>
      </c>
      <c r="G490" s="5" t="s">
        <v>10</v>
      </c>
      <c r="H490" s="7">
        <v>3242.54</v>
      </c>
      <c r="I490" s="7">
        <v>3729.17</v>
      </c>
      <c r="J490" s="7">
        <v>486.63000000000011</v>
      </c>
      <c r="K490" s="8">
        <v>0.15007679165098969</v>
      </c>
    </row>
    <row r="491" spans="1:11" x14ac:dyDescent="0.3">
      <c r="A491" s="5" t="s">
        <v>44</v>
      </c>
      <c r="B491" s="6">
        <v>40246</v>
      </c>
      <c r="C491" s="5">
        <v>11</v>
      </c>
      <c r="D491" s="5">
        <v>3</v>
      </c>
      <c r="E491" s="5">
        <v>2010</v>
      </c>
      <c r="F491" s="5" t="s">
        <v>29</v>
      </c>
      <c r="G491" s="5" t="s">
        <v>10</v>
      </c>
      <c r="H491" s="7">
        <v>44866.22</v>
      </c>
      <c r="I491" s="7">
        <v>48319.35</v>
      </c>
      <c r="J491" s="7">
        <v>3453.1299999999974</v>
      </c>
      <c r="K491" s="8">
        <v>7.6965030706843532E-2</v>
      </c>
    </row>
    <row r="492" spans="1:11" x14ac:dyDescent="0.3">
      <c r="A492" s="5" t="s">
        <v>44</v>
      </c>
      <c r="B492" s="6">
        <v>40246</v>
      </c>
      <c r="C492" s="5">
        <v>11</v>
      </c>
      <c r="D492" s="5">
        <v>3</v>
      </c>
      <c r="E492" s="5">
        <v>2010</v>
      </c>
      <c r="F492" s="5" t="s">
        <v>30</v>
      </c>
      <c r="G492" s="5" t="s">
        <v>10</v>
      </c>
      <c r="H492" s="7">
        <v>2440.7199999999998</v>
      </c>
      <c r="I492" s="7">
        <v>2744.31</v>
      </c>
      <c r="J492" s="7">
        <v>303.59000000000015</v>
      </c>
      <c r="K492" s="8">
        <v>0.12438542725097519</v>
      </c>
    </row>
    <row r="493" spans="1:11" x14ac:dyDescent="0.3">
      <c r="A493" s="5" t="s">
        <v>44</v>
      </c>
      <c r="B493" s="6">
        <v>40246</v>
      </c>
      <c r="C493" s="5">
        <v>11</v>
      </c>
      <c r="D493" s="5">
        <v>3</v>
      </c>
      <c r="E493" s="5">
        <v>2010</v>
      </c>
      <c r="F493" s="5" t="s">
        <v>9</v>
      </c>
      <c r="G493" s="5" t="s">
        <v>9</v>
      </c>
      <c r="H493" s="7">
        <v>17090.63</v>
      </c>
      <c r="I493" s="7">
        <v>18995.87</v>
      </c>
      <c r="J493" s="7">
        <v>1905.239999999998</v>
      </c>
      <c r="K493" s="8">
        <v>0.11147862893292979</v>
      </c>
    </row>
    <row r="494" spans="1:11" x14ac:dyDescent="0.3">
      <c r="A494" s="5" t="s">
        <v>44</v>
      </c>
      <c r="B494" s="6">
        <v>40246</v>
      </c>
      <c r="C494" s="5">
        <v>11</v>
      </c>
      <c r="D494" s="5">
        <v>3</v>
      </c>
      <c r="E494" s="5">
        <v>2010</v>
      </c>
      <c r="F494" s="5" t="s">
        <v>33</v>
      </c>
      <c r="G494" s="5" t="s">
        <v>7</v>
      </c>
      <c r="H494" s="7">
        <v>5687.64</v>
      </c>
      <c r="I494" s="7">
        <v>7328.73</v>
      </c>
      <c r="J494" s="7">
        <v>1641.0899999999992</v>
      </c>
      <c r="K494" s="8">
        <v>0.28853619427389904</v>
      </c>
    </row>
    <row r="495" spans="1:11" x14ac:dyDescent="0.3">
      <c r="A495" s="5" t="s">
        <v>44</v>
      </c>
      <c r="B495" s="6">
        <v>40246</v>
      </c>
      <c r="C495" s="5">
        <v>11</v>
      </c>
      <c r="D495" s="5">
        <v>3</v>
      </c>
      <c r="E495" s="5">
        <v>2010</v>
      </c>
      <c r="F495" s="5" t="s">
        <v>35</v>
      </c>
      <c r="G495" s="5" t="s">
        <v>11</v>
      </c>
      <c r="H495" s="7">
        <v>2598</v>
      </c>
      <c r="I495" s="7">
        <v>2909.5</v>
      </c>
      <c r="J495" s="7">
        <v>311.5</v>
      </c>
      <c r="K495" s="8">
        <v>0.11989992301770593</v>
      </c>
    </row>
    <row r="496" spans="1:11" x14ac:dyDescent="0.3">
      <c r="A496" s="5" t="s">
        <v>44</v>
      </c>
      <c r="B496" s="6">
        <v>40246</v>
      </c>
      <c r="C496" s="5">
        <v>11</v>
      </c>
      <c r="D496" s="5">
        <v>3</v>
      </c>
      <c r="E496" s="5">
        <v>2010</v>
      </c>
      <c r="F496" s="5" t="s">
        <v>36</v>
      </c>
      <c r="G496" s="5" t="s">
        <v>11</v>
      </c>
      <c r="H496" s="7">
        <v>21410.68</v>
      </c>
      <c r="I496" s="7">
        <v>23391.13</v>
      </c>
      <c r="J496" s="7">
        <v>1980.4500000000007</v>
      </c>
      <c r="K496" s="8">
        <v>9.2498229855380615E-2</v>
      </c>
    </row>
    <row r="497" spans="1:11" x14ac:dyDescent="0.3">
      <c r="A497" s="5" t="s">
        <v>44</v>
      </c>
      <c r="B497" s="6">
        <v>40246</v>
      </c>
      <c r="C497" s="5">
        <v>11</v>
      </c>
      <c r="D497" s="5">
        <v>3</v>
      </c>
      <c r="E497" s="5">
        <v>2010</v>
      </c>
      <c r="F497" s="5" t="s">
        <v>37</v>
      </c>
      <c r="G497" s="5" t="s">
        <v>11</v>
      </c>
      <c r="H497" s="7">
        <v>29468.81</v>
      </c>
      <c r="I497" s="7">
        <v>30734.73</v>
      </c>
      <c r="J497" s="7">
        <v>1265.9199999999983</v>
      </c>
      <c r="K497" s="8">
        <v>4.295796131570967E-2</v>
      </c>
    </row>
    <row r="498" spans="1:11" x14ac:dyDescent="0.3">
      <c r="A498" s="5" t="s">
        <v>44</v>
      </c>
      <c r="B498" s="6">
        <v>40246</v>
      </c>
      <c r="C498" s="5">
        <v>11</v>
      </c>
      <c r="D498" s="5">
        <v>3</v>
      </c>
      <c r="E498" s="5">
        <v>2010</v>
      </c>
      <c r="F498" s="5" t="s">
        <v>38</v>
      </c>
      <c r="G498" s="5" t="s">
        <v>11</v>
      </c>
      <c r="H498" s="7">
        <v>28875.83</v>
      </c>
      <c r="I498" s="7">
        <v>29706.69</v>
      </c>
      <c r="J498" s="7">
        <v>830.85999999999694</v>
      </c>
      <c r="K498" s="8">
        <v>2.8773545210648382E-2</v>
      </c>
    </row>
    <row r="499" spans="1:11" x14ac:dyDescent="0.3">
      <c r="A499" s="5" t="s">
        <v>44</v>
      </c>
      <c r="B499" s="6">
        <v>40247</v>
      </c>
      <c r="C499" s="5">
        <v>11</v>
      </c>
      <c r="D499" s="5">
        <v>3</v>
      </c>
      <c r="E499" s="5">
        <v>2010</v>
      </c>
      <c r="F499" s="5" t="s">
        <v>14</v>
      </c>
      <c r="G499" s="5" t="s">
        <v>6</v>
      </c>
      <c r="H499" s="7">
        <v>40</v>
      </c>
      <c r="I499" s="7">
        <v>41.99</v>
      </c>
      <c r="J499" s="7">
        <v>1.990000000000002</v>
      </c>
      <c r="K499" s="8">
        <v>4.9750000000000051E-2</v>
      </c>
    </row>
    <row r="500" spans="1:11" x14ac:dyDescent="0.3">
      <c r="A500" s="5" t="s">
        <v>44</v>
      </c>
      <c r="B500" s="6">
        <v>40247</v>
      </c>
      <c r="C500" s="5">
        <v>11</v>
      </c>
      <c r="D500" s="5">
        <v>3</v>
      </c>
      <c r="E500" s="5">
        <v>2010</v>
      </c>
      <c r="F500" s="5" t="s">
        <v>15</v>
      </c>
      <c r="G500" s="5" t="s">
        <v>6</v>
      </c>
      <c r="H500" s="7">
        <v>24426.62</v>
      </c>
      <c r="I500" s="7">
        <v>20575.060000000001</v>
      </c>
      <c r="J500" s="7">
        <v>-3851.5599999999977</v>
      </c>
      <c r="K500" s="8">
        <v>-0.15767879469202034</v>
      </c>
    </row>
    <row r="501" spans="1:11" x14ac:dyDescent="0.3">
      <c r="A501" s="5" t="s">
        <v>44</v>
      </c>
      <c r="B501" s="6">
        <v>40247</v>
      </c>
      <c r="C501" s="5">
        <v>11</v>
      </c>
      <c r="D501" s="5">
        <v>3</v>
      </c>
      <c r="E501" s="5">
        <v>2010</v>
      </c>
      <c r="F501" s="5" t="s">
        <v>16</v>
      </c>
      <c r="G501" s="5" t="s">
        <v>6</v>
      </c>
      <c r="H501" s="7">
        <v>15634.31</v>
      </c>
      <c r="I501" s="7">
        <v>17048.810000000001</v>
      </c>
      <c r="J501" s="7">
        <v>1414.5000000000018</v>
      </c>
      <c r="K501" s="8">
        <v>9.0474091917072258E-2</v>
      </c>
    </row>
    <row r="502" spans="1:11" x14ac:dyDescent="0.3">
      <c r="A502" s="5" t="s">
        <v>44</v>
      </c>
      <c r="B502" s="6">
        <v>40247</v>
      </c>
      <c r="C502" s="5">
        <v>11</v>
      </c>
      <c r="D502" s="5">
        <v>3</v>
      </c>
      <c r="E502" s="5">
        <v>2010</v>
      </c>
      <c r="F502" s="5" t="s">
        <v>18</v>
      </c>
      <c r="G502" s="5" t="s">
        <v>6</v>
      </c>
      <c r="H502" s="7">
        <v>4441</v>
      </c>
      <c r="I502" s="7">
        <v>4971.17</v>
      </c>
      <c r="J502" s="7">
        <v>530.17000000000007</v>
      </c>
      <c r="K502" s="8">
        <v>0.11938077009682506</v>
      </c>
    </row>
    <row r="503" spans="1:11" x14ac:dyDescent="0.3">
      <c r="A503" s="5" t="s">
        <v>44</v>
      </c>
      <c r="B503" s="6">
        <v>40247</v>
      </c>
      <c r="C503" s="5">
        <v>11</v>
      </c>
      <c r="D503" s="5">
        <v>3</v>
      </c>
      <c r="E503" s="5">
        <v>2010</v>
      </c>
      <c r="F503" s="5" t="s">
        <v>19</v>
      </c>
      <c r="G503" s="5" t="s">
        <v>5</v>
      </c>
      <c r="H503" s="7">
        <v>42177</v>
      </c>
      <c r="I503" s="7">
        <v>47535.93</v>
      </c>
      <c r="J503" s="7">
        <v>5358.93</v>
      </c>
      <c r="K503" s="8">
        <v>0.12705811224126895</v>
      </c>
    </row>
    <row r="504" spans="1:11" x14ac:dyDescent="0.3">
      <c r="A504" s="5" t="s">
        <v>44</v>
      </c>
      <c r="B504" s="6">
        <v>40247</v>
      </c>
      <c r="C504" s="5">
        <v>11</v>
      </c>
      <c r="D504" s="5">
        <v>3</v>
      </c>
      <c r="E504" s="5">
        <v>2010</v>
      </c>
      <c r="F504" s="5" t="s">
        <v>5</v>
      </c>
      <c r="G504" s="5" t="s">
        <v>5</v>
      </c>
      <c r="H504" s="7">
        <v>105245.86</v>
      </c>
      <c r="I504" s="7">
        <v>112145.02</v>
      </c>
      <c r="J504" s="7">
        <v>6899.1600000000035</v>
      </c>
      <c r="K504" s="8">
        <v>6.5552792290357112E-2</v>
      </c>
    </row>
    <row r="505" spans="1:11" x14ac:dyDescent="0.3">
      <c r="A505" s="5" t="s">
        <v>44</v>
      </c>
      <c r="B505" s="6">
        <v>40247</v>
      </c>
      <c r="C505" s="5">
        <v>11</v>
      </c>
      <c r="D505" s="5">
        <v>3</v>
      </c>
      <c r="E505" s="5">
        <v>2010</v>
      </c>
      <c r="F505" s="5" t="s">
        <v>20</v>
      </c>
      <c r="G505" s="5" t="s">
        <v>5</v>
      </c>
      <c r="H505" s="7">
        <v>19367</v>
      </c>
      <c r="I505" s="7">
        <v>21883.71</v>
      </c>
      <c r="J505" s="7">
        <v>2516.7099999999991</v>
      </c>
      <c r="K505" s="8">
        <v>0.12994836577683685</v>
      </c>
    </row>
    <row r="506" spans="1:11" x14ac:dyDescent="0.3">
      <c r="A506" s="5" t="s">
        <v>44</v>
      </c>
      <c r="B506" s="6">
        <v>40247</v>
      </c>
      <c r="C506" s="5">
        <v>11</v>
      </c>
      <c r="D506" s="5">
        <v>3</v>
      </c>
      <c r="E506" s="5">
        <v>2010</v>
      </c>
      <c r="F506" s="5" t="s">
        <v>21</v>
      </c>
      <c r="G506" s="5" t="s">
        <v>5</v>
      </c>
      <c r="H506" s="7">
        <v>40220.92</v>
      </c>
      <c r="I506" s="7">
        <v>42741</v>
      </c>
      <c r="J506" s="7">
        <v>2520.0800000000017</v>
      </c>
      <c r="K506" s="8">
        <v>6.265595118162394E-2</v>
      </c>
    </row>
    <row r="507" spans="1:11" x14ac:dyDescent="0.3">
      <c r="A507" s="5" t="s">
        <v>44</v>
      </c>
      <c r="B507" s="6">
        <v>40247</v>
      </c>
      <c r="C507" s="5">
        <v>11</v>
      </c>
      <c r="D507" s="5">
        <v>3</v>
      </c>
      <c r="E507" s="5">
        <v>2010</v>
      </c>
      <c r="F507" s="5" t="s">
        <v>22</v>
      </c>
      <c r="G507" s="5" t="s">
        <v>8</v>
      </c>
      <c r="H507" s="7">
        <v>96459.51</v>
      </c>
      <c r="I507" s="7">
        <v>105568.5</v>
      </c>
      <c r="J507" s="7">
        <v>9108.9900000000052</v>
      </c>
      <c r="K507" s="8">
        <v>9.4433301599811212E-2</v>
      </c>
    </row>
    <row r="508" spans="1:11" x14ac:dyDescent="0.3">
      <c r="A508" s="5" t="s">
        <v>44</v>
      </c>
      <c r="B508" s="6">
        <v>40247</v>
      </c>
      <c r="C508" s="5">
        <v>11</v>
      </c>
      <c r="D508" s="5">
        <v>3</v>
      </c>
      <c r="E508" s="5">
        <v>2010</v>
      </c>
      <c r="F508" s="5" t="s">
        <v>23</v>
      </c>
      <c r="G508" s="5" t="s">
        <v>8</v>
      </c>
      <c r="H508" s="7">
        <v>36942</v>
      </c>
      <c r="I508" s="7">
        <v>38726.61</v>
      </c>
      <c r="J508" s="7">
        <v>1784.6100000000006</v>
      </c>
      <c r="K508" s="8">
        <v>4.8308429429917185E-2</v>
      </c>
    </row>
    <row r="509" spans="1:11" x14ac:dyDescent="0.3">
      <c r="A509" s="5" t="s">
        <v>44</v>
      </c>
      <c r="B509" s="6">
        <v>40247</v>
      </c>
      <c r="C509" s="5">
        <v>11</v>
      </c>
      <c r="D509" s="5">
        <v>3</v>
      </c>
      <c r="E509" s="5">
        <v>2010</v>
      </c>
      <c r="F509" s="5" t="s">
        <v>24</v>
      </c>
      <c r="G509" s="5" t="s">
        <v>8</v>
      </c>
      <c r="H509" s="7">
        <v>19502</v>
      </c>
      <c r="I509" s="7">
        <v>20634.27</v>
      </c>
      <c r="J509" s="7">
        <v>1132.2700000000004</v>
      </c>
      <c r="K509" s="8">
        <v>5.8059173418110982E-2</v>
      </c>
    </row>
    <row r="510" spans="1:11" x14ac:dyDescent="0.3">
      <c r="A510" s="5" t="s">
        <v>44</v>
      </c>
      <c r="B510" s="6">
        <v>40247</v>
      </c>
      <c r="C510" s="5">
        <v>11</v>
      </c>
      <c r="D510" s="5">
        <v>3</v>
      </c>
      <c r="E510" s="5">
        <v>2010</v>
      </c>
      <c r="F510" s="5" t="s">
        <v>25</v>
      </c>
      <c r="G510" s="5" t="s">
        <v>8</v>
      </c>
      <c r="H510" s="7">
        <v>20</v>
      </c>
      <c r="I510" s="7">
        <v>23</v>
      </c>
      <c r="J510" s="7">
        <v>3</v>
      </c>
      <c r="K510" s="8">
        <v>0.15</v>
      </c>
    </row>
    <row r="511" spans="1:11" x14ac:dyDescent="0.3">
      <c r="A511" s="5" t="s">
        <v>44</v>
      </c>
      <c r="B511" s="6">
        <v>40247</v>
      </c>
      <c r="C511" s="5">
        <v>11</v>
      </c>
      <c r="D511" s="5">
        <v>3</v>
      </c>
      <c r="E511" s="5">
        <v>2010</v>
      </c>
      <c r="F511" s="5" t="s">
        <v>27</v>
      </c>
      <c r="G511" s="5" t="s">
        <v>10</v>
      </c>
      <c r="H511" s="7">
        <v>4225.74</v>
      </c>
      <c r="I511" s="7">
        <v>4859.6499999999996</v>
      </c>
      <c r="J511" s="7">
        <v>633.90999999999985</v>
      </c>
      <c r="K511" s="8">
        <v>0.15001159560219035</v>
      </c>
    </row>
    <row r="512" spans="1:11" x14ac:dyDescent="0.3">
      <c r="A512" s="5" t="s">
        <v>44</v>
      </c>
      <c r="B512" s="6">
        <v>40247</v>
      </c>
      <c r="C512" s="5">
        <v>11</v>
      </c>
      <c r="D512" s="5">
        <v>3</v>
      </c>
      <c r="E512" s="5">
        <v>2010</v>
      </c>
      <c r="F512" s="5" t="s">
        <v>29</v>
      </c>
      <c r="G512" s="5" t="s">
        <v>10</v>
      </c>
      <c r="H512" s="7">
        <v>98856.74</v>
      </c>
      <c r="I512" s="7">
        <v>104559.49</v>
      </c>
      <c r="J512" s="7">
        <v>5702.75</v>
      </c>
      <c r="K512" s="8">
        <v>5.7687012539559768E-2</v>
      </c>
    </row>
    <row r="513" spans="1:11" x14ac:dyDescent="0.3">
      <c r="A513" s="5" t="s">
        <v>44</v>
      </c>
      <c r="B513" s="6">
        <v>40247</v>
      </c>
      <c r="C513" s="5">
        <v>11</v>
      </c>
      <c r="D513" s="5">
        <v>3</v>
      </c>
      <c r="E513" s="5">
        <v>2010</v>
      </c>
      <c r="F513" s="5" t="s">
        <v>30</v>
      </c>
      <c r="G513" s="5" t="s">
        <v>10</v>
      </c>
      <c r="H513" s="7">
        <v>2382.1799999999998</v>
      </c>
      <c r="I513" s="7">
        <v>2699.46</v>
      </c>
      <c r="J513" s="7">
        <v>317.2800000000002</v>
      </c>
      <c r="K513" s="8">
        <v>0.13318892778883218</v>
      </c>
    </row>
    <row r="514" spans="1:11" x14ac:dyDescent="0.3">
      <c r="A514" s="5" t="s">
        <v>44</v>
      </c>
      <c r="B514" s="6">
        <v>40247</v>
      </c>
      <c r="C514" s="5">
        <v>11</v>
      </c>
      <c r="D514" s="5">
        <v>3</v>
      </c>
      <c r="E514" s="5">
        <v>2010</v>
      </c>
      <c r="F514" s="5" t="s">
        <v>9</v>
      </c>
      <c r="G514" s="5" t="s">
        <v>9</v>
      </c>
      <c r="H514" s="7">
        <v>36115.49</v>
      </c>
      <c r="I514" s="7">
        <v>39057.129999999997</v>
      </c>
      <c r="J514" s="7">
        <v>2941.6399999999994</v>
      </c>
      <c r="K514" s="8">
        <v>8.1450923135751432E-2</v>
      </c>
    </row>
    <row r="515" spans="1:11" x14ac:dyDescent="0.3">
      <c r="A515" s="5" t="s">
        <v>44</v>
      </c>
      <c r="B515" s="6">
        <v>40247</v>
      </c>
      <c r="C515" s="5">
        <v>11</v>
      </c>
      <c r="D515" s="5">
        <v>3</v>
      </c>
      <c r="E515" s="5">
        <v>2010</v>
      </c>
      <c r="F515" s="5" t="s">
        <v>33</v>
      </c>
      <c r="G515" s="5" t="s">
        <v>7</v>
      </c>
      <c r="H515" s="7">
        <v>2777</v>
      </c>
      <c r="I515" s="7">
        <v>4976</v>
      </c>
      <c r="J515" s="7">
        <v>2199</v>
      </c>
      <c r="K515" s="8">
        <v>0.79186172128195897</v>
      </c>
    </row>
    <row r="516" spans="1:11" x14ac:dyDescent="0.3">
      <c r="A516" s="5" t="s">
        <v>44</v>
      </c>
      <c r="B516" s="6">
        <v>40247</v>
      </c>
      <c r="C516" s="5">
        <v>11</v>
      </c>
      <c r="D516" s="5">
        <v>3</v>
      </c>
      <c r="E516" s="5">
        <v>2010</v>
      </c>
      <c r="F516" s="5" t="s">
        <v>35</v>
      </c>
      <c r="G516" s="5" t="s">
        <v>11</v>
      </c>
      <c r="H516" s="7">
        <v>1616</v>
      </c>
      <c r="I516" s="7">
        <v>1810</v>
      </c>
      <c r="J516" s="7">
        <v>194</v>
      </c>
      <c r="K516" s="8">
        <v>0.12004950495049505</v>
      </c>
    </row>
    <row r="517" spans="1:11" x14ac:dyDescent="0.3">
      <c r="A517" s="5" t="s">
        <v>44</v>
      </c>
      <c r="B517" s="6">
        <v>40247</v>
      </c>
      <c r="C517" s="5">
        <v>11</v>
      </c>
      <c r="D517" s="5">
        <v>3</v>
      </c>
      <c r="E517" s="5">
        <v>2010</v>
      </c>
      <c r="F517" s="5" t="s">
        <v>36</v>
      </c>
      <c r="G517" s="5" t="s">
        <v>11</v>
      </c>
      <c r="H517" s="7">
        <v>17387.13</v>
      </c>
      <c r="I517" s="7">
        <v>19068.21</v>
      </c>
      <c r="J517" s="7">
        <v>1681.0799999999981</v>
      </c>
      <c r="K517" s="8">
        <v>9.6685306890786346E-2</v>
      </c>
    </row>
    <row r="518" spans="1:11" x14ac:dyDescent="0.3">
      <c r="A518" s="5" t="s">
        <v>44</v>
      </c>
      <c r="B518" s="6">
        <v>40247</v>
      </c>
      <c r="C518" s="5">
        <v>11</v>
      </c>
      <c r="D518" s="5">
        <v>3</v>
      </c>
      <c r="E518" s="5">
        <v>2010</v>
      </c>
      <c r="F518" s="5" t="s">
        <v>37</v>
      </c>
      <c r="G518" s="5" t="s">
        <v>11</v>
      </c>
      <c r="H518" s="7">
        <v>49855.82</v>
      </c>
      <c r="I518" s="7">
        <v>53739.57</v>
      </c>
      <c r="J518" s="7">
        <v>3883.75</v>
      </c>
      <c r="K518" s="8">
        <v>7.7899631377038828E-2</v>
      </c>
    </row>
    <row r="519" spans="1:11" x14ac:dyDescent="0.3">
      <c r="A519" s="5" t="s">
        <v>44</v>
      </c>
      <c r="B519" s="6">
        <v>40247</v>
      </c>
      <c r="C519" s="5">
        <v>11</v>
      </c>
      <c r="D519" s="5">
        <v>3</v>
      </c>
      <c r="E519" s="5">
        <v>2010</v>
      </c>
      <c r="F519" s="5" t="s">
        <v>38</v>
      </c>
      <c r="G519" s="5" t="s">
        <v>11</v>
      </c>
      <c r="H519" s="7">
        <v>65034.26</v>
      </c>
      <c r="I519" s="7">
        <v>67043.289999999994</v>
      </c>
      <c r="J519" s="7">
        <v>2009.0299999999916</v>
      </c>
      <c r="K519" s="8">
        <v>3.0891871453599864E-2</v>
      </c>
    </row>
    <row r="520" spans="1:11" x14ac:dyDescent="0.3">
      <c r="A520" s="5" t="s">
        <v>44</v>
      </c>
      <c r="B520" s="6">
        <v>40248</v>
      </c>
      <c r="C520" s="5">
        <v>11</v>
      </c>
      <c r="D520" s="5">
        <v>3</v>
      </c>
      <c r="E520" s="5">
        <v>2010</v>
      </c>
      <c r="F520" s="5" t="s">
        <v>14</v>
      </c>
      <c r="G520" s="5" t="s">
        <v>6</v>
      </c>
      <c r="H520" s="7">
        <v>1040</v>
      </c>
      <c r="I520" s="7">
        <v>1299.75</v>
      </c>
      <c r="J520" s="7">
        <v>259.75</v>
      </c>
      <c r="K520" s="8">
        <v>0.24975961538461539</v>
      </c>
    </row>
    <row r="521" spans="1:11" x14ac:dyDescent="0.3">
      <c r="A521" s="5" t="s">
        <v>44</v>
      </c>
      <c r="B521" s="6">
        <v>40248</v>
      </c>
      <c r="C521" s="5">
        <v>11</v>
      </c>
      <c r="D521" s="5">
        <v>3</v>
      </c>
      <c r="E521" s="5">
        <v>2010</v>
      </c>
      <c r="F521" s="5" t="s">
        <v>15</v>
      </c>
      <c r="G521" s="5" t="s">
        <v>6</v>
      </c>
      <c r="H521" s="7">
        <v>23938.12</v>
      </c>
      <c r="I521" s="7">
        <v>26947.77</v>
      </c>
      <c r="J521" s="7">
        <v>3009.6500000000015</v>
      </c>
      <c r="K521" s="8">
        <v>0.12572624750815861</v>
      </c>
    </row>
    <row r="522" spans="1:11" x14ac:dyDescent="0.3">
      <c r="A522" s="5" t="s">
        <v>44</v>
      </c>
      <c r="B522" s="6">
        <v>40248</v>
      </c>
      <c r="C522" s="5">
        <v>11</v>
      </c>
      <c r="D522" s="5">
        <v>3</v>
      </c>
      <c r="E522" s="5">
        <v>2010</v>
      </c>
      <c r="F522" s="5" t="s">
        <v>16</v>
      </c>
      <c r="G522" s="5" t="s">
        <v>6</v>
      </c>
      <c r="H522" s="7">
        <v>17989.310000000001</v>
      </c>
      <c r="I522" s="7">
        <v>20026.16</v>
      </c>
      <c r="J522" s="7">
        <v>2036.8499999999985</v>
      </c>
      <c r="K522" s="8">
        <v>0.11322557674530032</v>
      </c>
    </row>
    <row r="523" spans="1:11" x14ac:dyDescent="0.3">
      <c r="A523" s="5" t="s">
        <v>44</v>
      </c>
      <c r="B523" s="6">
        <v>40248</v>
      </c>
      <c r="C523" s="5">
        <v>11</v>
      </c>
      <c r="D523" s="5">
        <v>3</v>
      </c>
      <c r="E523" s="5">
        <v>2010</v>
      </c>
      <c r="F523" s="5" t="s">
        <v>17</v>
      </c>
      <c r="G523" s="5" t="s">
        <v>6</v>
      </c>
      <c r="H523" s="7">
        <v>810</v>
      </c>
      <c r="I523" s="7">
        <v>931.9</v>
      </c>
      <c r="J523" s="7">
        <v>121.89999999999998</v>
      </c>
      <c r="K523" s="8">
        <v>0.15049382716049381</v>
      </c>
    </row>
    <row r="524" spans="1:11" x14ac:dyDescent="0.3">
      <c r="A524" s="5" t="s">
        <v>44</v>
      </c>
      <c r="B524" s="6">
        <v>40248</v>
      </c>
      <c r="C524" s="5">
        <v>11</v>
      </c>
      <c r="D524" s="5">
        <v>3</v>
      </c>
      <c r="E524" s="5">
        <v>2010</v>
      </c>
      <c r="F524" s="5" t="s">
        <v>18</v>
      </c>
      <c r="G524" s="5" t="s">
        <v>6</v>
      </c>
      <c r="H524" s="7">
        <v>5000.43</v>
      </c>
      <c r="I524" s="7">
        <v>5430.54</v>
      </c>
      <c r="J524" s="7">
        <v>430.10999999999967</v>
      </c>
      <c r="K524" s="8">
        <v>8.6014602744163934E-2</v>
      </c>
    </row>
    <row r="525" spans="1:11" x14ac:dyDescent="0.3">
      <c r="A525" s="5" t="s">
        <v>44</v>
      </c>
      <c r="B525" s="6">
        <v>40248</v>
      </c>
      <c r="C525" s="5">
        <v>11</v>
      </c>
      <c r="D525" s="5">
        <v>3</v>
      </c>
      <c r="E525" s="5">
        <v>2010</v>
      </c>
      <c r="F525" s="5" t="s">
        <v>19</v>
      </c>
      <c r="G525" s="5" t="s">
        <v>5</v>
      </c>
      <c r="H525" s="7">
        <v>37916.870000000003</v>
      </c>
      <c r="I525" s="7">
        <v>42162.71</v>
      </c>
      <c r="J525" s="7">
        <v>4245.8399999999965</v>
      </c>
      <c r="K525" s="8">
        <v>0.1119775973069506</v>
      </c>
    </row>
    <row r="526" spans="1:11" x14ac:dyDescent="0.3">
      <c r="A526" s="5" t="s">
        <v>44</v>
      </c>
      <c r="B526" s="6">
        <v>40248</v>
      </c>
      <c r="C526" s="5">
        <v>11</v>
      </c>
      <c r="D526" s="5">
        <v>3</v>
      </c>
      <c r="E526" s="5">
        <v>2010</v>
      </c>
      <c r="F526" s="5" t="s">
        <v>5</v>
      </c>
      <c r="G526" s="5" t="s">
        <v>5</v>
      </c>
      <c r="H526" s="7">
        <v>184459.5</v>
      </c>
      <c r="I526" s="7">
        <v>191368.3</v>
      </c>
      <c r="J526" s="7">
        <v>6908.7999999999884</v>
      </c>
      <c r="K526" s="8">
        <v>3.7454292134587744E-2</v>
      </c>
    </row>
    <row r="527" spans="1:11" x14ac:dyDescent="0.3">
      <c r="A527" s="5" t="s">
        <v>44</v>
      </c>
      <c r="B527" s="6">
        <v>40248</v>
      </c>
      <c r="C527" s="5">
        <v>11</v>
      </c>
      <c r="D527" s="5">
        <v>3</v>
      </c>
      <c r="E527" s="5">
        <v>2010</v>
      </c>
      <c r="F527" s="5" t="s">
        <v>20</v>
      </c>
      <c r="G527" s="5" t="s">
        <v>5</v>
      </c>
      <c r="H527" s="7">
        <v>17224</v>
      </c>
      <c r="I527" s="7">
        <v>19361.330000000002</v>
      </c>
      <c r="J527" s="7">
        <v>2137.3300000000017</v>
      </c>
      <c r="K527" s="8">
        <v>0.12409022294472839</v>
      </c>
    </row>
    <row r="528" spans="1:11" x14ac:dyDescent="0.3">
      <c r="A528" s="5" t="s">
        <v>44</v>
      </c>
      <c r="B528" s="6">
        <v>40248</v>
      </c>
      <c r="C528" s="5">
        <v>11</v>
      </c>
      <c r="D528" s="5">
        <v>3</v>
      </c>
      <c r="E528" s="5">
        <v>2010</v>
      </c>
      <c r="F528" s="5" t="s">
        <v>21</v>
      </c>
      <c r="G528" s="5" t="s">
        <v>5</v>
      </c>
      <c r="H528" s="7">
        <v>44278.33</v>
      </c>
      <c r="I528" s="7">
        <v>47292.23</v>
      </c>
      <c r="J528" s="7">
        <v>3013.9000000000015</v>
      </c>
      <c r="K528" s="8">
        <v>6.8067156100964088E-2</v>
      </c>
    </row>
    <row r="529" spans="1:11" x14ac:dyDescent="0.3">
      <c r="A529" s="5" t="s">
        <v>44</v>
      </c>
      <c r="B529" s="6">
        <v>40248</v>
      </c>
      <c r="C529" s="5">
        <v>11</v>
      </c>
      <c r="D529" s="5">
        <v>3</v>
      </c>
      <c r="E529" s="5">
        <v>2010</v>
      </c>
      <c r="F529" s="5" t="s">
        <v>22</v>
      </c>
      <c r="G529" s="5" t="s">
        <v>8</v>
      </c>
      <c r="H529" s="7">
        <v>97055.06</v>
      </c>
      <c r="I529" s="7">
        <v>104773.46</v>
      </c>
      <c r="J529" s="7">
        <v>7718.4000000000087</v>
      </c>
      <c r="K529" s="8">
        <v>7.9525992771525861E-2</v>
      </c>
    </row>
    <row r="530" spans="1:11" x14ac:dyDescent="0.3">
      <c r="A530" s="5" t="s">
        <v>44</v>
      </c>
      <c r="B530" s="6">
        <v>40248</v>
      </c>
      <c r="C530" s="5">
        <v>11</v>
      </c>
      <c r="D530" s="5">
        <v>3</v>
      </c>
      <c r="E530" s="5">
        <v>2010</v>
      </c>
      <c r="F530" s="5" t="s">
        <v>23</v>
      </c>
      <c r="G530" s="5" t="s">
        <v>8</v>
      </c>
      <c r="H530" s="7">
        <v>45816.5</v>
      </c>
      <c r="I530" s="7">
        <v>48411.69</v>
      </c>
      <c r="J530" s="7">
        <v>2595.1900000000023</v>
      </c>
      <c r="K530" s="8">
        <v>5.664313074983908E-2</v>
      </c>
    </row>
    <row r="531" spans="1:11" x14ac:dyDescent="0.3">
      <c r="A531" s="5" t="s">
        <v>44</v>
      </c>
      <c r="B531" s="6">
        <v>40248</v>
      </c>
      <c r="C531" s="5">
        <v>11</v>
      </c>
      <c r="D531" s="5">
        <v>3</v>
      </c>
      <c r="E531" s="5">
        <v>2010</v>
      </c>
      <c r="F531" s="5" t="s">
        <v>24</v>
      </c>
      <c r="G531" s="5" t="s">
        <v>8</v>
      </c>
      <c r="H531" s="7">
        <v>19380</v>
      </c>
      <c r="I531" s="7">
        <v>20996.34</v>
      </c>
      <c r="J531" s="7">
        <v>1616.3400000000001</v>
      </c>
      <c r="K531" s="8">
        <v>8.3402476780185766E-2</v>
      </c>
    </row>
    <row r="532" spans="1:11" x14ac:dyDescent="0.3">
      <c r="A532" s="5" t="s">
        <v>44</v>
      </c>
      <c r="B532" s="6">
        <v>40248</v>
      </c>
      <c r="C532" s="5">
        <v>11</v>
      </c>
      <c r="D532" s="5">
        <v>3</v>
      </c>
      <c r="E532" s="5">
        <v>2010</v>
      </c>
      <c r="F532" s="5" t="s">
        <v>27</v>
      </c>
      <c r="G532" s="5" t="s">
        <v>10</v>
      </c>
      <c r="H532" s="7">
        <v>5807.34</v>
      </c>
      <c r="I532" s="7">
        <v>6676.96</v>
      </c>
      <c r="J532" s="7">
        <v>869.61999999999989</v>
      </c>
      <c r="K532" s="8">
        <v>0.14974497790726907</v>
      </c>
    </row>
    <row r="533" spans="1:11" x14ac:dyDescent="0.3">
      <c r="A533" s="5" t="s">
        <v>44</v>
      </c>
      <c r="B533" s="6">
        <v>40248</v>
      </c>
      <c r="C533" s="5">
        <v>11</v>
      </c>
      <c r="D533" s="5">
        <v>3</v>
      </c>
      <c r="E533" s="5">
        <v>2010</v>
      </c>
      <c r="F533" s="5" t="s">
        <v>29</v>
      </c>
      <c r="G533" s="5" t="s">
        <v>10</v>
      </c>
      <c r="H533" s="7">
        <v>53656.87</v>
      </c>
      <c r="I533" s="7">
        <v>59396.26</v>
      </c>
      <c r="J533" s="7">
        <v>5739.3899999999994</v>
      </c>
      <c r="K533" s="8">
        <v>0.10696468131667015</v>
      </c>
    </row>
    <row r="534" spans="1:11" x14ac:dyDescent="0.3">
      <c r="A534" s="5" t="s">
        <v>44</v>
      </c>
      <c r="B534" s="6">
        <v>40248</v>
      </c>
      <c r="C534" s="5">
        <v>11</v>
      </c>
      <c r="D534" s="5">
        <v>3</v>
      </c>
      <c r="E534" s="5">
        <v>2010</v>
      </c>
      <c r="F534" s="5" t="s">
        <v>30</v>
      </c>
      <c r="G534" s="5" t="s">
        <v>10</v>
      </c>
      <c r="H534" s="7">
        <v>5871.84</v>
      </c>
      <c r="I534" s="7">
        <v>6686.71</v>
      </c>
      <c r="J534" s="7">
        <v>814.86999999999989</v>
      </c>
      <c r="K534" s="8">
        <v>0.13877592032480446</v>
      </c>
    </row>
    <row r="535" spans="1:11" x14ac:dyDescent="0.3">
      <c r="A535" s="5" t="s">
        <v>44</v>
      </c>
      <c r="B535" s="6">
        <v>40248</v>
      </c>
      <c r="C535" s="5">
        <v>11</v>
      </c>
      <c r="D535" s="5">
        <v>3</v>
      </c>
      <c r="E535" s="5">
        <v>2010</v>
      </c>
      <c r="F535" s="5" t="s">
        <v>9</v>
      </c>
      <c r="G535" s="5" t="s">
        <v>9</v>
      </c>
      <c r="H535" s="7">
        <v>38382.620000000003</v>
      </c>
      <c r="I535" s="7">
        <v>41537.370000000003</v>
      </c>
      <c r="J535" s="7">
        <v>3154.75</v>
      </c>
      <c r="K535" s="8">
        <v>8.2192148425511327E-2</v>
      </c>
    </row>
    <row r="536" spans="1:11" x14ac:dyDescent="0.3">
      <c r="A536" s="5" t="s">
        <v>44</v>
      </c>
      <c r="B536" s="6">
        <v>40248</v>
      </c>
      <c r="C536" s="5">
        <v>11</v>
      </c>
      <c r="D536" s="5">
        <v>3</v>
      </c>
      <c r="E536" s="5">
        <v>2010</v>
      </c>
      <c r="F536" s="5" t="s">
        <v>33</v>
      </c>
      <c r="G536" s="5" t="s">
        <v>7</v>
      </c>
      <c r="H536" s="7">
        <v>4833.6400000000003</v>
      </c>
      <c r="I536" s="7">
        <v>5510.84</v>
      </c>
      <c r="J536" s="7">
        <v>677.19999999999982</v>
      </c>
      <c r="K536" s="8">
        <v>0.14010145563178056</v>
      </c>
    </row>
    <row r="537" spans="1:11" x14ac:dyDescent="0.3">
      <c r="A537" s="5" t="s">
        <v>44</v>
      </c>
      <c r="B537" s="6">
        <v>40248</v>
      </c>
      <c r="C537" s="5">
        <v>11</v>
      </c>
      <c r="D537" s="5">
        <v>3</v>
      </c>
      <c r="E537" s="5">
        <v>2010</v>
      </c>
      <c r="F537" s="5" t="s">
        <v>35</v>
      </c>
      <c r="G537" s="5" t="s">
        <v>11</v>
      </c>
      <c r="H537" s="7">
        <v>2007</v>
      </c>
      <c r="I537" s="7">
        <v>2247.86</v>
      </c>
      <c r="J537" s="7">
        <v>240.86000000000013</v>
      </c>
      <c r="K537" s="8">
        <v>0.12000996512207281</v>
      </c>
    </row>
    <row r="538" spans="1:11" x14ac:dyDescent="0.3">
      <c r="A538" s="5" t="s">
        <v>44</v>
      </c>
      <c r="B538" s="6">
        <v>40248</v>
      </c>
      <c r="C538" s="5">
        <v>11</v>
      </c>
      <c r="D538" s="5">
        <v>3</v>
      </c>
      <c r="E538" s="5">
        <v>2010</v>
      </c>
      <c r="F538" s="5" t="s">
        <v>36</v>
      </c>
      <c r="G538" s="5" t="s">
        <v>11</v>
      </c>
      <c r="H538" s="7">
        <v>21299.84</v>
      </c>
      <c r="I538" s="7">
        <v>23773.91</v>
      </c>
      <c r="J538" s="7">
        <v>2474.0699999999997</v>
      </c>
      <c r="K538" s="8">
        <v>0.11615439364802739</v>
      </c>
    </row>
    <row r="539" spans="1:11" x14ac:dyDescent="0.3">
      <c r="A539" s="5" t="s">
        <v>44</v>
      </c>
      <c r="B539" s="6">
        <v>40248</v>
      </c>
      <c r="C539" s="5">
        <v>11</v>
      </c>
      <c r="D539" s="5">
        <v>3</v>
      </c>
      <c r="E539" s="5">
        <v>2010</v>
      </c>
      <c r="F539" s="5" t="s">
        <v>37</v>
      </c>
      <c r="G539" s="5" t="s">
        <v>11</v>
      </c>
      <c r="H539" s="7">
        <v>71258.009999999995</v>
      </c>
      <c r="I539" s="7">
        <v>74909.850000000006</v>
      </c>
      <c r="J539" s="7">
        <v>3651.8400000000111</v>
      </c>
      <c r="K539" s="8">
        <v>5.1248133367743656E-2</v>
      </c>
    </row>
    <row r="540" spans="1:11" x14ac:dyDescent="0.3">
      <c r="A540" s="5" t="s">
        <v>44</v>
      </c>
      <c r="B540" s="6">
        <v>40248</v>
      </c>
      <c r="C540" s="5">
        <v>11</v>
      </c>
      <c r="D540" s="5">
        <v>3</v>
      </c>
      <c r="E540" s="5">
        <v>2010</v>
      </c>
      <c r="F540" s="5" t="s">
        <v>38</v>
      </c>
      <c r="G540" s="5" t="s">
        <v>11</v>
      </c>
      <c r="H540" s="7">
        <v>64347.64</v>
      </c>
      <c r="I540" s="7">
        <v>65809.509999999995</v>
      </c>
      <c r="J540" s="7">
        <v>1461.8699999999953</v>
      </c>
      <c r="K540" s="8">
        <v>2.2718315698912896E-2</v>
      </c>
    </row>
    <row r="541" spans="1:11" x14ac:dyDescent="0.3">
      <c r="A541" s="5" t="s">
        <v>44</v>
      </c>
      <c r="B541" s="6">
        <v>40249</v>
      </c>
      <c r="C541" s="5">
        <v>11</v>
      </c>
      <c r="D541" s="5">
        <v>3</v>
      </c>
      <c r="E541" s="5">
        <v>2010</v>
      </c>
      <c r="F541" s="5" t="s">
        <v>15</v>
      </c>
      <c r="G541" s="5" t="s">
        <v>6</v>
      </c>
      <c r="H541" s="7">
        <v>22229.83</v>
      </c>
      <c r="I541" s="7">
        <v>24923.82</v>
      </c>
      <c r="J541" s="7">
        <v>2693.989999999998</v>
      </c>
      <c r="K541" s="8">
        <v>0.12118806126722506</v>
      </c>
    </row>
    <row r="542" spans="1:11" x14ac:dyDescent="0.3">
      <c r="A542" s="5" t="s">
        <v>44</v>
      </c>
      <c r="B542" s="6">
        <v>40249</v>
      </c>
      <c r="C542" s="5">
        <v>11</v>
      </c>
      <c r="D542" s="5">
        <v>3</v>
      </c>
      <c r="E542" s="5">
        <v>2010</v>
      </c>
      <c r="F542" s="5" t="s">
        <v>16</v>
      </c>
      <c r="G542" s="5" t="s">
        <v>6</v>
      </c>
      <c r="H542" s="7">
        <v>93888.15</v>
      </c>
      <c r="I542" s="7">
        <v>103531.86</v>
      </c>
      <c r="J542" s="7">
        <v>9643.7100000000064</v>
      </c>
      <c r="K542" s="8">
        <v>0.10271487935378434</v>
      </c>
    </row>
    <row r="543" spans="1:11" x14ac:dyDescent="0.3">
      <c r="A543" s="5" t="s">
        <v>44</v>
      </c>
      <c r="B543" s="6">
        <v>40249</v>
      </c>
      <c r="C543" s="5">
        <v>11</v>
      </c>
      <c r="D543" s="5">
        <v>3</v>
      </c>
      <c r="E543" s="5">
        <v>2010</v>
      </c>
      <c r="F543" s="5" t="s">
        <v>18</v>
      </c>
      <c r="G543" s="5" t="s">
        <v>6</v>
      </c>
      <c r="H543" s="7">
        <v>284</v>
      </c>
      <c r="I543" s="7">
        <v>301.95</v>
      </c>
      <c r="J543" s="7">
        <v>17.949999999999989</v>
      </c>
      <c r="K543" s="8">
        <v>6.3204225352112633E-2</v>
      </c>
    </row>
    <row r="544" spans="1:11" x14ac:dyDescent="0.3">
      <c r="A544" s="5" t="s">
        <v>44</v>
      </c>
      <c r="B544" s="6">
        <v>40249</v>
      </c>
      <c r="C544" s="5">
        <v>11</v>
      </c>
      <c r="D544" s="5">
        <v>3</v>
      </c>
      <c r="E544" s="5">
        <v>2010</v>
      </c>
      <c r="F544" s="5" t="s">
        <v>19</v>
      </c>
      <c r="G544" s="5" t="s">
        <v>5</v>
      </c>
      <c r="H544" s="7">
        <v>27501.5</v>
      </c>
      <c r="I544" s="7">
        <v>31148.43</v>
      </c>
      <c r="J544" s="7">
        <v>3646.9300000000003</v>
      </c>
      <c r="K544" s="8">
        <v>0.13260840317800848</v>
      </c>
    </row>
    <row r="545" spans="1:11" x14ac:dyDescent="0.3">
      <c r="A545" s="5" t="s">
        <v>44</v>
      </c>
      <c r="B545" s="6">
        <v>40249</v>
      </c>
      <c r="C545" s="5">
        <v>11</v>
      </c>
      <c r="D545" s="5">
        <v>3</v>
      </c>
      <c r="E545" s="5">
        <v>2010</v>
      </c>
      <c r="F545" s="5" t="s">
        <v>5</v>
      </c>
      <c r="G545" s="5" t="s">
        <v>5</v>
      </c>
      <c r="H545" s="7">
        <v>137308.29</v>
      </c>
      <c r="I545" s="7">
        <v>143018.66</v>
      </c>
      <c r="J545" s="7">
        <v>5710.3699999999953</v>
      </c>
      <c r="K545" s="8">
        <v>4.1587947821650061E-2</v>
      </c>
    </row>
    <row r="546" spans="1:11" x14ac:dyDescent="0.3">
      <c r="A546" s="5" t="s">
        <v>44</v>
      </c>
      <c r="B546" s="6">
        <v>40249</v>
      </c>
      <c r="C546" s="5">
        <v>11</v>
      </c>
      <c r="D546" s="5">
        <v>3</v>
      </c>
      <c r="E546" s="5">
        <v>2010</v>
      </c>
      <c r="F546" s="5" t="s">
        <v>20</v>
      </c>
      <c r="G546" s="5" t="s">
        <v>5</v>
      </c>
      <c r="H546" s="7">
        <v>14830</v>
      </c>
      <c r="I546" s="7">
        <v>16731.48</v>
      </c>
      <c r="J546" s="7">
        <v>1901.4799999999996</v>
      </c>
      <c r="K546" s="8">
        <v>0.12821847606203637</v>
      </c>
    </row>
    <row r="547" spans="1:11" x14ac:dyDescent="0.3">
      <c r="A547" s="5" t="s">
        <v>44</v>
      </c>
      <c r="B547" s="6">
        <v>40249</v>
      </c>
      <c r="C547" s="5">
        <v>11</v>
      </c>
      <c r="D547" s="5">
        <v>3</v>
      </c>
      <c r="E547" s="5">
        <v>2010</v>
      </c>
      <c r="F547" s="5" t="s">
        <v>21</v>
      </c>
      <c r="G547" s="5" t="s">
        <v>5</v>
      </c>
      <c r="H547" s="7">
        <v>44780.35</v>
      </c>
      <c r="I547" s="7">
        <v>47506.76</v>
      </c>
      <c r="J547" s="7">
        <v>2726.4100000000035</v>
      </c>
      <c r="K547" s="8">
        <v>6.0884070803377009E-2</v>
      </c>
    </row>
    <row r="548" spans="1:11" x14ac:dyDescent="0.3">
      <c r="A548" s="5" t="s">
        <v>44</v>
      </c>
      <c r="B548" s="6">
        <v>40249</v>
      </c>
      <c r="C548" s="5">
        <v>11</v>
      </c>
      <c r="D548" s="5">
        <v>3</v>
      </c>
      <c r="E548" s="5">
        <v>2010</v>
      </c>
      <c r="F548" s="5" t="s">
        <v>22</v>
      </c>
      <c r="G548" s="5" t="s">
        <v>8</v>
      </c>
      <c r="H548" s="7">
        <v>132274.97</v>
      </c>
      <c r="I548" s="7">
        <v>140711.09</v>
      </c>
      <c r="J548" s="7">
        <v>8436.1199999999953</v>
      </c>
      <c r="K548" s="8">
        <v>6.3777145441801991E-2</v>
      </c>
    </row>
    <row r="549" spans="1:11" x14ac:dyDescent="0.3">
      <c r="A549" s="5" t="s">
        <v>44</v>
      </c>
      <c r="B549" s="6">
        <v>40249</v>
      </c>
      <c r="C549" s="5">
        <v>11</v>
      </c>
      <c r="D549" s="5">
        <v>3</v>
      </c>
      <c r="E549" s="5">
        <v>2010</v>
      </c>
      <c r="F549" s="5" t="s">
        <v>23</v>
      </c>
      <c r="G549" s="5" t="s">
        <v>8</v>
      </c>
      <c r="H549" s="7">
        <v>30078.22</v>
      </c>
      <c r="I549" s="7">
        <v>31515.09</v>
      </c>
      <c r="J549" s="7">
        <v>1436.869999999999</v>
      </c>
      <c r="K549" s="8">
        <v>4.7771111455398585E-2</v>
      </c>
    </row>
    <row r="550" spans="1:11" x14ac:dyDescent="0.3">
      <c r="A550" s="5" t="s">
        <v>44</v>
      </c>
      <c r="B550" s="6">
        <v>40249</v>
      </c>
      <c r="C550" s="5">
        <v>11</v>
      </c>
      <c r="D550" s="5">
        <v>3</v>
      </c>
      <c r="E550" s="5">
        <v>2010</v>
      </c>
      <c r="F550" s="5" t="s">
        <v>24</v>
      </c>
      <c r="G550" s="5" t="s">
        <v>8</v>
      </c>
      <c r="H550" s="7">
        <v>30781.98</v>
      </c>
      <c r="I550" s="7">
        <v>32831.19</v>
      </c>
      <c r="J550" s="7">
        <v>2049.2100000000028</v>
      </c>
      <c r="K550" s="8">
        <v>6.6571740999117113E-2</v>
      </c>
    </row>
    <row r="551" spans="1:11" x14ac:dyDescent="0.3">
      <c r="A551" s="5" t="s">
        <v>44</v>
      </c>
      <c r="B551" s="6">
        <v>40249</v>
      </c>
      <c r="C551" s="5">
        <v>11</v>
      </c>
      <c r="D551" s="5">
        <v>3</v>
      </c>
      <c r="E551" s="5">
        <v>2010</v>
      </c>
      <c r="F551" s="5" t="s">
        <v>25</v>
      </c>
      <c r="G551" s="5" t="s">
        <v>8</v>
      </c>
      <c r="H551" s="7">
        <v>20</v>
      </c>
      <c r="I551" s="7">
        <v>22.98</v>
      </c>
      <c r="J551" s="7">
        <v>2.9800000000000004</v>
      </c>
      <c r="K551" s="8">
        <v>0.14900000000000002</v>
      </c>
    </row>
    <row r="552" spans="1:11" x14ac:dyDescent="0.3">
      <c r="A552" s="5" t="s">
        <v>44</v>
      </c>
      <c r="B552" s="6">
        <v>40249</v>
      </c>
      <c r="C552" s="5">
        <v>11</v>
      </c>
      <c r="D552" s="5">
        <v>3</v>
      </c>
      <c r="E552" s="5">
        <v>2010</v>
      </c>
      <c r="F552" s="5" t="s">
        <v>27</v>
      </c>
      <c r="G552" s="5" t="s">
        <v>10</v>
      </c>
      <c r="H552" s="7">
        <v>2767.52</v>
      </c>
      <c r="I552" s="7">
        <v>3181.3</v>
      </c>
      <c r="J552" s="7">
        <v>413.7800000000002</v>
      </c>
      <c r="K552" s="8">
        <v>0.14951292131583518</v>
      </c>
    </row>
    <row r="553" spans="1:11" x14ac:dyDescent="0.3">
      <c r="A553" s="5" t="s">
        <v>44</v>
      </c>
      <c r="B553" s="6">
        <v>40249</v>
      </c>
      <c r="C553" s="5">
        <v>11</v>
      </c>
      <c r="D553" s="5">
        <v>3</v>
      </c>
      <c r="E553" s="5">
        <v>2010</v>
      </c>
      <c r="F553" s="5" t="s">
        <v>29</v>
      </c>
      <c r="G553" s="5" t="s">
        <v>10</v>
      </c>
      <c r="H553" s="7">
        <v>41917.480000000003</v>
      </c>
      <c r="I553" s="7">
        <v>46005.08</v>
      </c>
      <c r="J553" s="7">
        <v>4087.5999999999985</v>
      </c>
      <c r="K553" s="8">
        <v>9.7515404074863241E-2</v>
      </c>
    </row>
    <row r="554" spans="1:11" x14ac:dyDescent="0.3">
      <c r="A554" s="5" t="s">
        <v>44</v>
      </c>
      <c r="B554" s="6">
        <v>40249</v>
      </c>
      <c r="C554" s="5">
        <v>11</v>
      </c>
      <c r="D554" s="5">
        <v>3</v>
      </c>
      <c r="E554" s="5">
        <v>2010</v>
      </c>
      <c r="F554" s="5" t="s">
        <v>30</v>
      </c>
      <c r="G554" s="5" t="s">
        <v>10</v>
      </c>
      <c r="H554" s="7">
        <v>8919.26</v>
      </c>
      <c r="I554" s="7">
        <v>10100.6</v>
      </c>
      <c r="J554" s="7">
        <v>1181.3400000000001</v>
      </c>
      <c r="K554" s="8">
        <v>0.13244820758672807</v>
      </c>
    </row>
    <row r="555" spans="1:11" x14ac:dyDescent="0.3">
      <c r="A555" s="5" t="s">
        <v>44</v>
      </c>
      <c r="B555" s="6">
        <v>40249</v>
      </c>
      <c r="C555" s="5">
        <v>11</v>
      </c>
      <c r="D555" s="5">
        <v>3</v>
      </c>
      <c r="E555" s="5">
        <v>2010</v>
      </c>
      <c r="F555" s="5" t="s">
        <v>9</v>
      </c>
      <c r="G555" s="5" t="s">
        <v>9</v>
      </c>
      <c r="H555" s="7">
        <v>40468.879999999997</v>
      </c>
      <c r="I555" s="7">
        <v>43888.02</v>
      </c>
      <c r="J555" s="7">
        <v>3419.1399999999994</v>
      </c>
      <c r="K555" s="8">
        <v>8.4488130138516304E-2</v>
      </c>
    </row>
    <row r="556" spans="1:11" x14ac:dyDescent="0.3">
      <c r="A556" s="5" t="s">
        <v>44</v>
      </c>
      <c r="B556" s="6">
        <v>40249</v>
      </c>
      <c r="C556" s="5">
        <v>11</v>
      </c>
      <c r="D556" s="5">
        <v>3</v>
      </c>
      <c r="E556" s="5">
        <v>2010</v>
      </c>
      <c r="F556" s="5" t="s">
        <v>33</v>
      </c>
      <c r="G556" s="5" t="s">
        <v>7</v>
      </c>
      <c r="H556" s="7">
        <v>2567</v>
      </c>
      <c r="I556" s="7">
        <v>4811.1499999999996</v>
      </c>
      <c r="J556" s="7">
        <v>2244.1499999999996</v>
      </c>
      <c r="K556" s="8">
        <v>0.87423061940007774</v>
      </c>
    </row>
    <row r="557" spans="1:11" x14ac:dyDescent="0.3">
      <c r="A557" s="5" t="s">
        <v>44</v>
      </c>
      <c r="B557" s="6">
        <v>40249</v>
      </c>
      <c r="C557" s="5">
        <v>11</v>
      </c>
      <c r="D557" s="5">
        <v>3</v>
      </c>
      <c r="E557" s="5">
        <v>2010</v>
      </c>
      <c r="F557" s="5" t="s">
        <v>36</v>
      </c>
      <c r="G557" s="5" t="s">
        <v>11</v>
      </c>
      <c r="H557" s="7">
        <v>22119.200000000001</v>
      </c>
      <c r="I557" s="7">
        <v>24303.75</v>
      </c>
      <c r="J557" s="7">
        <v>2184.5499999999993</v>
      </c>
      <c r="K557" s="8">
        <v>9.8762613476075053E-2</v>
      </c>
    </row>
    <row r="558" spans="1:11" x14ac:dyDescent="0.3">
      <c r="A558" s="5" t="s">
        <v>44</v>
      </c>
      <c r="B558" s="6">
        <v>40249</v>
      </c>
      <c r="C558" s="5">
        <v>11</v>
      </c>
      <c r="D558" s="5">
        <v>3</v>
      </c>
      <c r="E558" s="5">
        <v>2010</v>
      </c>
      <c r="F558" s="5" t="s">
        <v>37</v>
      </c>
      <c r="G558" s="5" t="s">
        <v>11</v>
      </c>
      <c r="H558" s="7">
        <v>35326.85</v>
      </c>
      <c r="I558" s="7">
        <v>37075.68</v>
      </c>
      <c r="J558" s="7">
        <v>1748.8300000000017</v>
      </c>
      <c r="K558" s="8">
        <v>4.9504272246181071E-2</v>
      </c>
    </row>
    <row r="559" spans="1:11" x14ac:dyDescent="0.3">
      <c r="A559" s="5" t="s">
        <v>44</v>
      </c>
      <c r="B559" s="6">
        <v>40249</v>
      </c>
      <c r="C559" s="5">
        <v>11</v>
      </c>
      <c r="D559" s="5">
        <v>3</v>
      </c>
      <c r="E559" s="5">
        <v>2010</v>
      </c>
      <c r="F559" s="5" t="s">
        <v>38</v>
      </c>
      <c r="G559" s="5" t="s">
        <v>11</v>
      </c>
      <c r="H559" s="7">
        <v>61476.43</v>
      </c>
      <c r="I559" s="7">
        <v>61935.34</v>
      </c>
      <c r="J559" s="7">
        <v>458.90999999999622</v>
      </c>
      <c r="K559" s="8">
        <v>7.4648121239310125E-3</v>
      </c>
    </row>
    <row r="560" spans="1:11" x14ac:dyDescent="0.3">
      <c r="A560" s="5" t="s">
        <v>44</v>
      </c>
      <c r="B560" s="6">
        <v>40250</v>
      </c>
      <c r="C560" s="5">
        <v>11</v>
      </c>
      <c r="D560" s="5">
        <v>3</v>
      </c>
      <c r="E560" s="5">
        <v>2010</v>
      </c>
      <c r="F560" s="5" t="s">
        <v>14</v>
      </c>
      <c r="G560" s="5" t="s">
        <v>6</v>
      </c>
      <c r="H560" s="7">
        <v>988</v>
      </c>
      <c r="I560" s="7">
        <v>1234.82</v>
      </c>
      <c r="J560" s="7">
        <v>246.81999999999994</v>
      </c>
      <c r="K560" s="8">
        <v>0.24981781376518211</v>
      </c>
    </row>
    <row r="561" spans="1:11" x14ac:dyDescent="0.3">
      <c r="A561" s="5" t="s">
        <v>44</v>
      </c>
      <c r="B561" s="6">
        <v>40250</v>
      </c>
      <c r="C561" s="5">
        <v>11</v>
      </c>
      <c r="D561" s="5">
        <v>3</v>
      </c>
      <c r="E561" s="5">
        <v>2010</v>
      </c>
      <c r="F561" s="5" t="s">
        <v>15</v>
      </c>
      <c r="G561" s="5" t="s">
        <v>6</v>
      </c>
      <c r="H561" s="7">
        <v>34630.1</v>
      </c>
      <c r="I561" s="7">
        <v>36574.080000000002</v>
      </c>
      <c r="J561" s="7">
        <v>1943.9800000000032</v>
      </c>
      <c r="K561" s="8">
        <v>5.6135558372629686E-2</v>
      </c>
    </row>
    <row r="562" spans="1:11" x14ac:dyDescent="0.3">
      <c r="A562" s="5" t="s">
        <v>44</v>
      </c>
      <c r="B562" s="6">
        <v>40250</v>
      </c>
      <c r="C562" s="5">
        <v>11</v>
      </c>
      <c r="D562" s="5">
        <v>3</v>
      </c>
      <c r="E562" s="5">
        <v>2010</v>
      </c>
      <c r="F562" s="5" t="s">
        <v>16</v>
      </c>
      <c r="G562" s="5" t="s">
        <v>6</v>
      </c>
      <c r="H562" s="7">
        <v>21065.46</v>
      </c>
      <c r="I562" s="7">
        <v>23019.57</v>
      </c>
      <c r="J562" s="7">
        <v>1954.1100000000006</v>
      </c>
      <c r="K562" s="8">
        <v>9.2763699439746425E-2</v>
      </c>
    </row>
    <row r="563" spans="1:11" x14ac:dyDescent="0.3">
      <c r="A563" s="5" t="s">
        <v>44</v>
      </c>
      <c r="B563" s="6">
        <v>40250</v>
      </c>
      <c r="C563" s="5">
        <v>11</v>
      </c>
      <c r="D563" s="5">
        <v>3</v>
      </c>
      <c r="E563" s="5">
        <v>2010</v>
      </c>
      <c r="F563" s="5" t="s">
        <v>18</v>
      </c>
      <c r="G563" s="5" t="s">
        <v>6</v>
      </c>
      <c r="H563" s="7">
        <v>2644.21</v>
      </c>
      <c r="I563" s="7">
        <v>2954.75</v>
      </c>
      <c r="J563" s="7">
        <v>310.53999999999996</v>
      </c>
      <c r="K563" s="8">
        <v>0.11744150426781533</v>
      </c>
    </row>
    <row r="564" spans="1:11" x14ac:dyDescent="0.3">
      <c r="A564" s="5" t="s">
        <v>44</v>
      </c>
      <c r="B564" s="6">
        <v>40250</v>
      </c>
      <c r="C564" s="5">
        <v>11</v>
      </c>
      <c r="D564" s="5">
        <v>3</v>
      </c>
      <c r="E564" s="5">
        <v>2010</v>
      </c>
      <c r="F564" s="5" t="s">
        <v>19</v>
      </c>
      <c r="G564" s="5" t="s">
        <v>5</v>
      </c>
      <c r="H564" s="7">
        <v>65880.539999999994</v>
      </c>
      <c r="I564" s="7">
        <v>73779.39</v>
      </c>
      <c r="J564" s="7">
        <v>7898.8500000000058</v>
      </c>
      <c r="K564" s="8">
        <v>0.11989655822493268</v>
      </c>
    </row>
    <row r="565" spans="1:11" x14ac:dyDescent="0.3">
      <c r="A565" s="5" t="s">
        <v>44</v>
      </c>
      <c r="B565" s="6">
        <v>40250</v>
      </c>
      <c r="C565" s="5">
        <v>11</v>
      </c>
      <c r="D565" s="5">
        <v>3</v>
      </c>
      <c r="E565" s="5">
        <v>2010</v>
      </c>
      <c r="F565" s="5" t="s">
        <v>5</v>
      </c>
      <c r="G565" s="5" t="s">
        <v>5</v>
      </c>
      <c r="H565" s="7">
        <v>234401.85</v>
      </c>
      <c r="I565" s="7">
        <v>246894.7</v>
      </c>
      <c r="J565" s="7">
        <v>12492.850000000006</v>
      </c>
      <c r="K565" s="8">
        <v>5.3296720994309585E-2</v>
      </c>
    </row>
    <row r="566" spans="1:11" x14ac:dyDescent="0.3">
      <c r="A566" s="5" t="s">
        <v>44</v>
      </c>
      <c r="B566" s="6">
        <v>40250</v>
      </c>
      <c r="C566" s="5">
        <v>11</v>
      </c>
      <c r="D566" s="5">
        <v>3</v>
      </c>
      <c r="E566" s="5">
        <v>2010</v>
      </c>
      <c r="F566" s="5" t="s">
        <v>20</v>
      </c>
      <c r="G566" s="5" t="s">
        <v>5</v>
      </c>
      <c r="H566" s="7">
        <v>36713</v>
      </c>
      <c r="I566" s="7">
        <v>41456.050000000003</v>
      </c>
      <c r="J566" s="7">
        <v>4743.0500000000029</v>
      </c>
      <c r="K566" s="8">
        <v>0.12919265655217504</v>
      </c>
    </row>
    <row r="567" spans="1:11" x14ac:dyDescent="0.3">
      <c r="A567" s="5" t="s">
        <v>44</v>
      </c>
      <c r="B567" s="6">
        <v>40250</v>
      </c>
      <c r="C567" s="5">
        <v>11</v>
      </c>
      <c r="D567" s="5">
        <v>3</v>
      </c>
      <c r="E567" s="5">
        <v>2010</v>
      </c>
      <c r="F567" s="5" t="s">
        <v>21</v>
      </c>
      <c r="G567" s="5" t="s">
        <v>5</v>
      </c>
      <c r="H567" s="7">
        <v>89577.57</v>
      </c>
      <c r="I567" s="7">
        <v>95329.18</v>
      </c>
      <c r="J567" s="7">
        <v>5751.609999999986</v>
      </c>
      <c r="K567" s="8">
        <v>6.4208149428478425E-2</v>
      </c>
    </row>
    <row r="568" spans="1:11" x14ac:dyDescent="0.3">
      <c r="A568" s="5" t="s">
        <v>44</v>
      </c>
      <c r="B568" s="6">
        <v>40250</v>
      </c>
      <c r="C568" s="5">
        <v>11</v>
      </c>
      <c r="D568" s="5">
        <v>3</v>
      </c>
      <c r="E568" s="5">
        <v>2010</v>
      </c>
      <c r="F568" s="5" t="s">
        <v>22</v>
      </c>
      <c r="G568" s="5" t="s">
        <v>8</v>
      </c>
      <c r="H568" s="7">
        <v>241713.01</v>
      </c>
      <c r="I568" s="7">
        <v>256258.61</v>
      </c>
      <c r="J568" s="7">
        <v>14545.599999999977</v>
      </c>
      <c r="K568" s="8">
        <v>6.0177149752923834E-2</v>
      </c>
    </row>
    <row r="569" spans="1:11" x14ac:dyDescent="0.3">
      <c r="A569" s="5" t="s">
        <v>44</v>
      </c>
      <c r="B569" s="6">
        <v>40250</v>
      </c>
      <c r="C569" s="5">
        <v>11</v>
      </c>
      <c r="D569" s="5">
        <v>3</v>
      </c>
      <c r="E569" s="5">
        <v>2010</v>
      </c>
      <c r="F569" s="5" t="s">
        <v>23</v>
      </c>
      <c r="G569" s="5" t="s">
        <v>8</v>
      </c>
      <c r="H569" s="7">
        <v>53067</v>
      </c>
      <c r="I569" s="7">
        <v>56094.68</v>
      </c>
      <c r="J569" s="7">
        <v>3027.6800000000003</v>
      </c>
      <c r="K569" s="8">
        <v>5.7053912977933559E-2</v>
      </c>
    </row>
    <row r="570" spans="1:11" x14ac:dyDescent="0.3">
      <c r="A570" s="5" t="s">
        <v>44</v>
      </c>
      <c r="B570" s="6">
        <v>40250</v>
      </c>
      <c r="C570" s="5">
        <v>11</v>
      </c>
      <c r="D570" s="5">
        <v>3</v>
      </c>
      <c r="E570" s="5">
        <v>2010</v>
      </c>
      <c r="F570" s="5" t="s">
        <v>24</v>
      </c>
      <c r="G570" s="5" t="s">
        <v>8</v>
      </c>
      <c r="H570" s="7">
        <v>70974.490000000005</v>
      </c>
      <c r="I570" s="7">
        <v>74242.98</v>
      </c>
      <c r="J570" s="7">
        <v>3268.4899999999907</v>
      </c>
      <c r="K570" s="8">
        <v>4.6051616573785745E-2</v>
      </c>
    </row>
    <row r="571" spans="1:11" x14ac:dyDescent="0.3">
      <c r="A571" s="5" t="s">
        <v>44</v>
      </c>
      <c r="B571" s="6">
        <v>40250</v>
      </c>
      <c r="C571" s="5">
        <v>11</v>
      </c>
      <c r="D571" s="5">
        <v>3</v>
      </c>
      <c r="E571" s="5">
        <v>2010</v>
      </c>
      <c r="F571" s="5" t="s">
        <v>27</v>
      </c>
      <c r="G571" s="5" t="s">
        <v>10</v>
      </c>
      <c r="H571" s="7">
        <v>10367.780000000001</v>
      </c>
      <c r="I571" s="7">
        <v>11921.66</v>
      </c>
      <c r="J571" s="7">
        <v>1553.8799999999992</v>
      </c>
      <c r="K571" s="8">
        <v>0.14987586542152698</v>
      </c>
    </row>
    <row r="572" spans="1:11" x14ac:dyDescent="0.3">
      <c r="A572" s="5" t="s">
        <v>44</v>
      </c>
      <c r="B572" s="6">
        <v>40250</v>
      </c>
      <c r="C572" s="5">
        <v>11</v>
      </c>
      <c r="D572" s="5">
        <v>3</v>
      </c>
      <c r="E572" s="5">
        <v>2010</v>
      </c>
      <c r="F572" s="5" t="s">
        <v>29</v>
      </c>
      <c r="G572" s="5" t="s">
        <v>10</v>
      </c>
      <c r="H572" s="7">
        <v>93582.63</v>
      </c>
      <c r="I572" s="7">
        <v>102788.33</v>
      </c>
      <c r="J572" s="7">
        <v>9205.6999999999971</v>
      </c>
      <c r="K572" s="8">
        <v>9.8369750882188245E-2</v>
      </c>
    </row>
    <row r="573" spans="1:11" x14ac:dyDescent="0.3">
      <c r="A573" s="5" t="s">
        <v>44</v>
      </c>
      <c r="B573" s="6">
        <v>40250</v>
      </c>
      <c r="C573" s="5">
        <v>11</v>
      </c>
      <c r="D573" s="5">
        <v>3</v>
      </c>
      <c r="E573" s="5">
        <v>2010</v>
      </c>
      <c r="F573" s="5" t="s">
        <v>30</v>
      </c>
      <c r="G573" s="5" t="s">
        <v>10</v>
      </c>
      <c r="H573" s="7">
        <v>22289.759999999998</v>
      </c>
      <c r="I573" s="7">
        <v>25273.58</v>
      </c>
      <c r="J573" s="7">
        <v>2983.8200000000033</v>
      </c>
      <c r="K573" s="8">
        <v>0.13386505731779991</v>
      </c>
    </row>
    <row r="574" spans="1:11" x14ac:dyDescent="0.3">
      <c r="A574" s="5" t="s">
        <v>44</v>
      </c>
      <c r="B574" s="6">
        <v>40250</v>
      </c>
      <c r="C574" s="5">
        <v>11</v>
      </c>
      <c r="D574" s="5">
        <v>3</v>
      </c>
      <c r="E574" s="5">
        <v>2010</v>
      </c>
      <c r="F574" s="5" t="s">
        <v>9</v>
      </c>
      <c r="G574" s="5" t="s">
        <v>9</v>
      </c>
      <c r="H574" s="7">
        <v>69970.22</v>
      </c>
      <c r="I574" s="7">
        <v>77838.2</v>
      </c>
      <c r="J574" s="7">
        <v>7867.9799999999959</v>
      </c>
      <c r="K574" s="8">
        <v>0.11244755268741467</v>
      </c>
    </row>
    <row r="575" spans="1:11" x14ac:dyDescent="0.3">
      <c r="A575" s="5" t="s">
        <v>44</v>
      </c>
      <c r="B575" s="6">
        <v>40250</v>
      </c>
      <c r="C575" s="5">
        <v>11</v>
      </c>
      <c r="D575" s="5">
        <v>3</v>
      </c>
      <c r="E575" s="5">
        <v>2010</v>
      </c>
      <c r="F575" s="5" t="s">
        <v>33</v>
      </c>
      <c r="G575" s="5" t="s">
        <v>7</v>
      </c>
      <c r="H575" s="7">
        <v>3559</v>
      </c>
      <c r="I575" s="7">
        <v>6300.31</v>
      </c>
      <c r="J575" s="7">
        <v>2741.3100000000004</v>
      </c>
      <c r="K575" s="8">
        <v>0.77024726046642322</v>
      </c>
    </row>
    <row r="576" spans="1:11" x14ac:dyDescent="0.3">
      <c r="A576" s="5" t="s">
        <v>44</v>
      </c>
      <c r="B576" s="6">
        <v>40250</v>
      </c>
      <c r="C576" s="5">
        <v>11</v>
      </c>
      <c r="D576" s="5">
        <v>3</v>
      </c>
      <c r="E576" s="5">
        <v>2010</v>
      </c>
      <c r="F576" s="5" t="s">
        <v>35</v>
      </c>
      <c r="G576" s="5" t="s">
        <v>11</v>
      </c>
      <c r="H576" s="7">
        <v>4162</v>
      </c>
      <c r="I576" s="7">
        <v>4661.43</v>
      </c>
      <c r="J576" s="7">
        <v>499.43000000000029</v>
      </c>
      <c r="K576" s="8">
        <v>0.11999759730898614</v>
      </c>
    </row>
    <row r="577" spans="1:11" x14ac:dyDescent="0.3">
      <c r="A577" s="5" t="s">
        <v>44</v>
      </c>
      <c r="B577" s="6">
        <v>40250</v>
      </c>
      <c r="C577" s="5">
        <v>11</v>
      </c>
      <c r="D577" s="5">
        <v>3</v>
      </c>
      <c r="E577" s="5">
        <v>2010</v>
      </c>
      <c r="F577" s="5" t="s">
        <v>36</v>
      </c>
      <c r="G577" s="5" t="s">
        <v>11</v>
      </c>
      <c r="H577" s="7">
        <v>35963.07</v>
      </c>
      <c r="I577" s="7">
        <v>40203.449999999997</v>
      </c>
      <c r="J577" s="7">
        <v>4240.3799999999974</v>
      </c>
      <c r="K577" s="8">
        <v>0.11790928861190098</v>
      </c>
    </row>
    <row r="578" spans="1:11" x14ac:dyDescent="0.3">
      <c r="A578" s="5" t="s">
        <v>44</v>
      </c>
      <c r="B578" s="6">
        <v>40250</v>
      </c>
      <c r="C578" s="5">
        <v>11</v>
      </c>
      <c r="D578" s="5">
        <v>3</v>
      </c>
      <c r="E578" s="5">
        <v>2010</v>
      </c>
      <c r="F578" s="5" t="s">
        <v>37</v>
      </c>
      <c r="G578" s="5" t="s">
        <v>11</v>
      </c>
      <c r="H578" s="7">
        <v>81556.039999999994</v>
      </c>
      <c r="I578" s="7">
        <v>86063.67</v>
      </c>
      <c r="J578" s="7">
        <v>4507.6300000000047</v>
      </c>
      <c r="K578" s="8">
        <v>5.5270339266104695E-2</v>
      </c>
    </row>
    <row r="579" spans="1:11" x14ac:dyDescent="0.3">
      <c r="A579" s="5" t="s">
        <v>44</v>
      </c>
      <c r="B579" s="6">
        <v>40250</v>
      </c>
      <c r="C579" s="5">
        <v>11</v>
      </c>
      <c r="D579" s="5">
        <v>3</v>
      </c>
      <c r="E579" s="5">
        <v>2010</v>
      </c>
      <c r="F579" s="5" t="s">
        <v>38</v>
      </c>
      <c r="G579" s="5" t="s">
        <v>11</v>
      </c>
      <c r="H579" s="7">
        <v>134725.87</v>
      </c>
      <c r="I579" s="7">
        <v>138200.82</v>
      </c>
      <c r="J579" s="7">
        <v>3474.9500000000116</v>
      </c>
      <c r="K579" s="8">
        <v>2.5792744927162183E-2</v>
      </c>
    </row>
    <row r="580" spans="1:11" x14ac:dyDescent="0.3">
      <c r="A580" s="5" t="s">
        <v>44</v>
      </c>
      <c r="B580" s="6">
        <v>40251</v>
      </c>
      <c r="C580" s="5">
        <v>12</v>
      </c>
      <c r="D580" s="5">
        <v>3</v>
      </c>
      <c r="E580" s="5">
        <v>2010</v>
      </c>
      <c r="F580" s="5" t="s">
        <v>14</v>
      </c>
      <c r="G580" s="5" t="s">
        <v>6</v>
      </c>
      <c r="H580" s="7">
        <v>52</v>
      </c>
      <c r="I580" s="7">
        <v>64.97</v>
      </c>
      <c r="J580" s="7">
        <v>12.969999999999999</v>
      </c>
      <c r="K580" s="8">
        <v>0.24942307692307691</v>
      </c>
    </row>
    <row r="581" spans="1:11" x14ac:dyDescent="0.3">
      <c r="A581" s="5" t="s">
        <v>44</v>
      </c>
      <c r="B581" s="6">
        <v>40251</v>
      </c>
      <c r="C581" s="5">
        <v>12</v>
      </c>
      <c r="D581" s="5">
        <v>3</v>
      </c>
      <c r="E581" s="5">
        <v>2010</v>
      </c>
      <c r="F581" s="5" t="s">
        <v>15</v>
      </c>
      <c r="G581" s="5" t="s">
        <v>6</v>
      </c>
      <c r="H581" s="7">
        <v>32556.080000000002</v>
      </c>
      <c r="I581" s="7">
        <v>31186.05</v>
      </c>
      <c r="J581" s="7">
        <v>-1370.0300000000025</v>
      </c>
      <c r="K581" s="8">
        <v>-4.2082154854024272E-2</v>
      </c>
    </row>
    <row r="582" spans="1:11" x14ac:dyDescent="0.3">
      <c r="A582" s="5" t="s">
        <v>44</v>
      </c>
      <c r="B582" s="6">
        <v>40251</v>
      </c>
      <c r="C582" s="5">
        <v>12</v>
      </c>
      <c r="D582" s="5">
        <v>3</v>
      </c>
      <c r="E582" s="5">
        <v>2010</v>
      </c>
      <c r="F582" s="5" t="s">
        <v>16</v>
      </c>
      <c r="G582" s="5" t="s">
        <v>6</v>
      </c>
      <c r="H582" s="7">
        <v>21335.22</v>
      </c>
      <c r="I582" s="7">
        <v>23402.78</v>
      </c>
      <c r="J582" s="7">
        <v>2067.5599999999977</v>
      </c>
      <c r="K582" s="8">
        <v>9.6908304671805473E-2</v>
      </c>
    </row>
    <row r="583" spans="1:11" x14ac:dyDescent="0.3">
      <c r="A583" s="5" t="s">
        <v>44</v>
      </c>
      <c r="B583" s="6">
        <v>40251</v>
      </c>
      <c r="C583" s="5">
        <v>12</v>
      </c>
      <c r="D583" s="5">
        <v>3</v>
      </c>
      <c r="E583" s="5">
        <v>2010</v>
      </c>
      <c r="F583" s="5" t="s">
        <v>18</v>
      </c>
      <c r="G583" s="5" t="s">
        <v>6</v>
      </c>
      <c r="H583" s="7">
        <v>1084.03</v>
      </c>
      <c r="I583" s="7">
        <v>1180.9100000000001</v>
      </c>
      <c r="J583" s="7">
        <v>96.880000000000109</v>
      </c>
      <c r="K583" s="8">
        <v>8.9370220381354865E-2</v>
      </c>
    </row>
    <row r="584" spans="1:11" x14ac:dyDescent="0.3">
      <c r="A584" s="5" t="s">
        <v>44</v>
      </c>
      <c r="B584" s="6">
        <v>40251</v>
      </c>
      <c r="C584" s="5">
        <v>12</v>
      </c>
      <c r="D584" s="5">
        <v>3</v>
      </c>
      <c r="E584" s="5">
        <v>2010</v>
      </c>
      <c r="F584" s="5" t="s">
        <v>19</v>
      </c>
      <c r="G584" s="5" t="s">
        <v>5</v>
      </c>
      <c r="H584" s="7">
        <v>39419.79</v>
      </c>
      <c r="I584" s="7">
        <v>44302.48</v>
      </c>
      <c r="J584" s="7">
        <v>4882.6900000000023</v>
      </c>
      <c r="K584" s="8">
        <v>0.12386392723045968</v>
      </c>
    </row>
    <row r="585" spans="1:11" x14ac:dyDescent="0.3">
      <c r="A585" s="5" t="s">
        <v>44</v>
      </c>
      <c r="B585" s="6">
        <v>40251</v>
      </c>
      <c r="C585" s="5">
        <v>12</v>
      </c>
      <c r="D585" s="5">
        <v>3</v>
      </c>
      <c r="E585" s="5">
        <v>2010</v>
      </c>
      <c r="F585" s="5" t="s">
        <v>5</v>
      </c>
      <c r="G585" s="5" t="s">
        <v>5</v>
      </c>
      <c r="H585" s="7">
        <v>182495.08</v>
      </c>
      <c r="I585" s="7">
        <v>193011.94</v>
      </c>
      <c r="J585" s="7">
        <v>10516.860000000015</v>
      </c>
      <c r="K585" s="8">
        <v>5.7628183729665564E-2</v>
      </c>
    </row>
    <row r="586" spans="1:11" x14ac:dyDescent="0.3">
      <c r="A586" s="5" t="s">
        <v>44</v>
      </c>
      <c r="B586" s="6">
        <v>40251</v>
      </c>
      <c r="C586" s="5">
        <v>12</v>
      </c>
      <c r="D586" s="5">
        <v>3</v>
      </c>
      <c r="E586" s="5">
        <v>2010</v>
      </c>
      <c r="F586" s="5" t="s">
        <v>20</v>
      </c>
      <c r="G586" s="5" t="s">
        <v>5</v>
      </c>
      <c r="H586" s="7">
        <v>30349</v>
      </c>
      <c r="I586" s="7">
        <v>33777.699999999997</v>
      </c>
      <c r="J586" s="7">
        <v>3428.6999999999971</v>
      </c>
      <c r="K586" s="8">
        <v>0.11297571583907204</v>
      </c>
    </row>
    <row r="587" spans="1:11" x14ac:dyDescent="0.3">
      <c r="A587" s="5" t="s">
        <v>44</v>
      </c>
      <c r="B587" s="6">
        <v>40251</v>
      </c>
      <c r="C587" s="5">
        <v>12</v>
      </c>
      <c r="D587" s="5">
        <v>3</v>
      </c>
      <c r="E587" s="5">
        <v>2010</v>
      </c>
      <c r="F587" s="5" t="s">
        <v>21</v>
      </c>
      <c r="G587" s="5" t="s">
        <v>5</v>
      </c>
      <c r="H587" s="7">
        <v>67916.11</v>
      </c>
      <c r="I587" s="7">
        <v>71533.59</v>
      </c>
      <c r="J587" s="7">
        <v>3617.4799999999959</v>
      </c>
      <c r="K587" s="8">
        <v>5.3263945770745641E-2</v>
      </c>
    </row>
    <row r="588" spans="1:11" x14ac:dyDescent="0.3">
      <c r="A588" s="5" t="s">
        <v>44</v>
      </c>
      <c r="B588" s="6">
        <v>40251</v>
      </c>
      <c r="C588" s="5">
        <v>12</v>
      </c>
      <c r="D588" s="5">
        <v>3</v>
      </c>
      <c r="E588" s="5">
        <v>2010</v>
      </c>
      <c r="F588" s="5" t="s">
        <v>22</v>
      </c>
      <c r="G588" s="5" t="s">
        <v>8</v>
      </c>
      <c r="H588" s="7">
        <v>160994.49</v>
      </c>
      <c r="I588" s="7">
        <v>170131.13</v>
      </c>
      <c r="J588" s="7">
        <v>9136.640000000014</v>
      </c>
      <c r="K588" s="8">
        <v>5.6751259002715028E-2</v>
      </c>
    </row>
    <row r="589" spans="1:11" x14ac:dyDescent="0.3">
      <c r="A589" s="5" t="s">
        <v>44</v>
      </c>
      <c r="B589" s="6">
        <v>40251</v>
      </c>
      <c r="C589" s="5">
        <v>12</v>
      </c>
      <c r="D589" s="5">
        <v>3</v>
      </c>
      <c r="E589" s="5">
        <v>2010</v>
      </c>
      <c r="F589" s="5" t="s">
        <v>23</v>
      </c>
      <c r="G589" s="5" t="s">
        <v>8</v>
      </c>
      <c r="H589" s="7">
        <v>56761.919999999998</v>
      </c>
      <c r="I589" s="7">
        <v>60369.59</v>
      </c>
      <c r="J589" s="7">
        <v>3607.6699999999983</v>
      </c>
      <c r="K589" s="8">
        <v>6.3557927568341568E-2</v>
      </c>
    </row>
    <row r="590" spans="1:11" x14ac:dyDescent="0.3">
      <c r="A590" s="5" t="s">
        <v>44</v>
      </c>
      <c r="B590" s="6">
        <v>40251</v>
      </c>
      <c r="C590" s="5">
        <v>12</v>
      </c>
      <c r="D590" s="5">
        <v>3</v>
      </c>
      <c r="E590" s="5">
        <v>2010</v>
      </c>
      <c r="F590" s="5" t="s">
        <v>24</v>
      </c>
      <c r="G590" s="5" t="s">
        <v>8</v>
      </c>
      <c r="H590" s="7">
        <v>25285</v>
      </c>
      <c r="I590" s="7">
        <v>27328.82</v>
      </c>
      <c r="J590" s="7">
        <v>2043.8199999999997</v>
      </c>
      <c r="K590" s="8">
        <v>8.0831322918726509E-2</v>
      </c>
    </row>
    <row r="591" spans="1:11" x14ac:dyDescent="0.3">
      <c r="A591" s="5" t="s">
        <v>44</v>
      </c>
      <c r="B591" s="6">
        <v>40251</v>
      </c>
      <c r="C591" s="5">
        <v>12</v>
      </c>
      <c r="D591" s="5">
        <v>3</v>
      </c>
      <c r="E591" s="5">
        <v>2010</v>
      </c>
      <c r="F591" s="5" t="s">
        <v>27</v>
      </c>
      <c r="G591" s="5" t="s">
        <v>10</v>
      </c>
      <c r="H591" s="7">
        <v>1399.7</v>
      </c>
      <c r="I591" s="7">
        <v>1609.9</v>
      </c>
      <c r="J591" s="7">
        <v>210.20000000000005</v>
      </c>
      <c r="K591" s="8">
        <v>0.15017503750803746</v>
      </c>
    </row>
    <row r="592" spans="1:11" x14ac:dyDescent="0.3">
      <c r="A592" s="5" t="s">
        <v>44</v>
      </c>
      <c r="B592" s="6">
        <v>40251</v>
      </c>
      <c r="C592" s="5">
        <v>12</v>
      </c>
      <c r="D592" s="5">
        <v>3</v>
      </c>
      <c r="E592" s="5">
        <v>2010</v>
      </c>
      <c r="F592" s="5" t="s">
        <v>29</v>
      </c>
      <c r="G592" s="5" t="s">
        <v>10</v>
      </c>
      <c r="H592" s="7">
        <v>60743.38</v>
      </c>
      <c r="I592" s="7">
        <v>66767.899999999994</v>
      </c>
      <c r="J592" s="7">
        <v>6024.5199999999968</v>
      </c>
      <c r="K592" s="8">
        <v>9.9179861245785095E-2</v>
      </c>
    </row>
    <row r="593" spans="1:11" x14ac:dyDescent="0.3">
      <c r="A593" s="5" t="s">
        <v>44</v>
      </c>
      <c r="B593" s="6">
        <v>40251</v>
      </c>
      <c r="C593" s="5">
        <v>12</v>
      </c>
      <c r="D593" s="5">
        <v>3</v>
      </c>
      <c r="E593" s="5">
        <v>2010</v>
      </c>
      <c r="F593" s="5" t="s">
        <v>30</v>
      </c>
      <c r="G593" s="5" t="s">
        <v>10</v>
      </c>
      <c r="H593" s="7">
        <v>5621.42</v>
      </c>
      <c r="I593" s="7">
        <v>6379.54</v>
      </c>
      <c r="J593" s="7">
        <v>758.11999999999989</v>
      </c>
      <c r="K593" s="8">
        <v>0.13486272151876214</v>
      </c>
    </row>
    <row r="594" spans="1:11" x14ac:dyDescent="0.3">
      <c r="A594" s="5" t="s">
        <v>44</v>
      </c>
      <c r="B594" s="6">
        <v>40251</v>
      </c>
      <c r="C594" s="5">
        <v>12</v>
      </c>
      <c r="D594" s="5">
        <v>3</v>
      </c>
      <c r="E594" s="5">
        <v>2010</v>
      </c>
      <c r="F594" s="5" t="s">
        <v>9</v>
      </c>
      <c r="G594" s="5" t="s">
        <v>9</v>
      </c>
      <c r="H594" s="7">
        <v>36075.58</v>
      </c>
      <c r="I594" s="7">
        <v>39969.08</v>
      </c>
      <c r="J594" s="7">
        <v>3893.5</v>
      </c>
      <c r="K594" s="8">
        <v>0.10792619273203646</v>
      </c>
    </row>
    <row r="595" spans="1:11" x14ac:dyDescent="0.3">
      <c r="A595" s="5" t="s">
        <v>44</v>
      </c>
      <c r="B595" s="6">
        <v>40251</v>
      </c>
      <c r="C595" s="5">
        <v>12</v>
      </c>
      <c r="D595" s="5">
        <v>3</v>
      </c>
      <c r="E595" s="5">
        <v>2010</v>
      </c>
      <c r="F595" s="5" t="s">
        <v>33</v>
      </c>
      <c r="G595" s="5" t="s">
        <v>7</v>
      </c>
      <c r="H595" s="7">
        <v>6797.64</v>
      </c>
      <c r="I595" s="7">
        <v>8596</v>
      </c>
      <c r="J595" s="7">
        <v>1798.3599999999997</v>
      </c>
      <c r="K595" s="8">
        <v>0.26455652255782885</v>
      </c>
    </row>
    <row r="596" spans="1:11" x14ac:dyDescent="0.3">
      <c r="A596" s="5" t="s">
        <v>44</v>
      </c>
      <c r="B596" s="6">
        <v>40251</v>
      </c>
      <c r="C596" s="5">
        <v>12</v>
      </c>
      <c r="D596" s="5">
        <v>3</v>
      </c>
      <c r="E596" s="5">
        <v>2010</v>
      </c>
      <c r="F596" s="5" t="s">
        <v>35</v>
      </c>
      <c r="G596" s="5" t="s">
        <v>11</v>
      </c>
      <c r="H596" s="7">
        <v>1914</v>
      </c>
      <c r="I596" s="7">
        <v>2144</v>
      </c>
      <c r="J596" s="7">
        <v>230</v>
      </c>
      <c r="K596" s="8">
        <v>0.12016718913270637</v>
      </c>
    </row>
    <row r="597" spans="1:11" x14ac:dyDescent="0.3">
      <c r="A597" s="5" t="s">
        <v>44</v>
      </c>
      <c r="B597" s="6">
        <v>40251</v>
      </c>
      <c r="C597" s="5">
        <v>12</v>
      </c>
      <c r="D597" s="5">
        <v>3</v>
      </c>
      <c r="E597" s="5">
        <v>2010</v>
      </c>
      <c r="F597" s="5" t="s">
        <v>36</v>
      </c>
      <c r="G597" s="5" t="s">
        <v>11</v>
      </c>
      <c r="H597" s="7">
        <v>23864.54</v>
      </c>
      <c r="I597" s="7">
        <v>26416.15</v>
      </c>
      <c r="J597" s="7">
        <v>2551.6100000000006</v>
      </c>
      <c r="K597" s="8">
        <v>0.10692056079857397</v>
      </c>
    </row>
    <row r="598" spans="1:11" x14ac:dyDescent="0.3">
      <c r="A598" s="5" t="s">
        <v>44</v>
      </c>
      <c r="B598" s="6">
        <v>40251</v>
      </c>
      <c r="C598" s="5">
        <v>12</v>
      </c>
      <c r="D598" s="5">
        <v>3</v>
      </c>
      <c r="E598" s="5">
        <v>2010</v>
      </c>
      <c r="F598" s="5" t="s">
        <v>37</v>
      </c>
      <c r="G598" s="5" t="s">
        <v>11</v>
      </c>
      <c r="H598" s="7">
        <v>63795.47</v>
      </c>
      <c r="I598" s="7">
        <v>68194.17</v>
      </c>
      <c r="J598" s="7">
        <v>4398.6999999999971</v>
      </c>
      <c r="K598" s="8">
        <v>6.8950036734583151E-2</v>
      </c>
    </row>
    <row r="599" spans="1:11" x14ac:dyDescent="0.3">
      <c r="A599" s="5" t="s">
        <v>44</v>
      </c>
      <c r="B599" s="6">
        <v>40251</v>
      </c>
      <c r="C599" s="5">
        <v>12</v>
      </c>
      <c r="D599" s="5">
        <v>3</v>
      </c>
      <c r="E599" s="5">
        <v>2010</v>
      </c>
      <c r="F599" s="5" t="s">
        <v>38</v>
      </c>
      <c r="G599" s="5" t="s">
        <v>11</v>
      </c>
      <c r="H599" s="7">
        <v>71639.16</v>
      </c>
      <c r="I599" s="7">
        <v>75743.100000000006</v>
      </c>
      <c r="J599" s="7">
        <v>4103.9400000000023</v>
      </c>
      <c r="K599" s="8">
        <v>5.7286266338131296E-2</v>
      </c>
    </row>
    <row r="600" spans="1:11" x14ac:dyDescent="0.3">
      <c r="A600" s="5" t="s">
        <v>44</v>
      </c>
      <c r="B600" s="6">
        <v>40252</v>
      </c>
      <c r="C600" s="5">
        <v>12</v>
      </c>
      <c r="D600" s="5">
        <v>3</v>
      </c>
      <c r="E600" s="5">
        <v>2010</v>
      </c>
      <c r="F600" s="5" t="s">
        <v>14</v>
      </c>
      <c r="G600" s="5" t="s">
        <v>6</v>
      </c>
      <c r="H600" s="7">
        <v>832</v>
      </c>
      <c r="I600" s="7">
        <v>1039.78</v>
      </c>
      <c r="J600" s="7">
        <v>207.77999999999997</v>
      </c>
      <c r="K600" s="8">
        <v>0.24973557692307688</v>
      </c>
    </row>
    <row r="601" spans="1:11" x14ac:dyDescent="0.3">
      <c r="A601" s="5" t="s">
        <v>44</v>
      </c>
      <c r="B601" s="6">
        <v>40252</v>
      </c>
      <c r="C601" s="5">
        <v>12</v>
      </c>
      <c r="D601" s="5">
        <v>3</v>
      </c>
      <c r="E601" s="5">
        <v>2010</v>
      </c>
      <c r="F601" s="5" t="s">
        <v>15</v>
      </c>
      <c r="G601" s="5" t="s">
        <v>6</v>
      </c>
      <c r="H601" s="7">
        <v>17468.7</v>
      </c>
      <c r="I601" s="7">
        <v>20537.099999999999</v>
      </c>
      <c r="J601" s="7">
        <v>3068.3999999999978</v>
      </c>
      <c r="K601" s="8">
        <v>0.17565130776760707</v>
      </c>
    </row>
    <row r="602" spans="1:11" x14ac:dyDescent="0.3">
      <c r="A602" s="5" t="s">
        <v>44</v>
      </c>
      <c r="B602" s="6">
        <v>40252</v>
      </c>
      <c r="C602" s="5">
        <v>12</v>
      </c>
      <c r="D602" s="5">
        <v>3</v>
      </c>
      <c r="E602" s="5">
        <v>2010</v>
      </c>
      <c r="F602" s="5" t="s">
        <v>16</v>
      </c>
      <c r="G602" s="5" t="s">
        <v>6</v>
      </c>
      <c r="H602" s="7">
        <v>10317.209999999999</v>
      </c>
      <c r="I602" s="7">
        <v>11216.89</v>
      </c>
      <c r="J602" s="7">
        <v>899.68000000000029</v>
      </c>
      <c r="K602" s="8">
        <v>8.7201869497664619E-2</v>
      </c>
    </row>
    <row r="603" spans="1:11" x14ac:dyDescent="0.3">
      <c r="A603" s="5" t="s">
        <v>44</v>
      </c>
      <c r="B603" s="6">
        <v>40252</v>
      </c>
      <c r="C603" s="5">
        <v>12</v>
      </c>
      <c r="D603" s="5">
        <v>3</v>
      </c>
      <c r="E603" s="5">
        <v>2010</v>
      </c>
      <c r="F603" s="5" t="s">
        <v>19</v>
      </c>
      <c r="G603" s="5" t="s">
        <v>5</v>
      </c>
      <c r="H603" s="7">
        <v>31213.32</v>
      </c>
      <c r="I603" s="7">
        <v>34667.93</v>
      </c>
      <c r="J603" s="7">
        <v>3454.6100000000006</v>
      </c>
      <c r="K603" s="8">
        <v>0.11067742873875643</v>
      </c>
    </row>
    <row r="604" spans="1:11" x14ac:dyDescent="0.3">
      <c r="A604" s="5" t="s">
        <v>44</v>
      </c>
      <c r="B604" s="6">
        <v>40252</v>
      </c>
      <c r="C604" s="5">
        <v>12</v>
      </c>
      <c r="D604" s="5">
        <v>3</v>
      </c>
      <c r="E604" s="5">
        <v>2010</v>
      </c>
      <c r="F604" s="5" t="s">
        <v>5</v>
      </c>
      <c r="G604" s="5" t="s">
        <v>5</v>
      </c>
      <c r="H604" s="7">
        <v>115937.73</v>
      </c>
      <c r="I604" s="7">
        <v>121966.2</v>
      </c>
      <c r="J604" s="7">
        <v>6028.4700000000012</v>
      </c>
      <c r="K604" s="8">
        <v>5.1997481751626509E-2</v>
      </c>
    </row>
    <row r="605" spans="1:11" x14ac:dyDescent="0.3">
      <c r="A605" s="5" t="s">
        <v>44</v>
      </c>
      <c r="B605" s="6">
        <v>40252</v>
      </c>
      <c r="C605" s="5">
        <v>12</v>
      </c>
      <c r="D605" s="5">
        <v>3</v>
      </c>
      <c r="E605" s="5">
        <v>2010</v>
      </c>
      <c r="F605" s="5" t="s">
        <v>20</v>
      </c>
      <c r="G605" s="5" t="s">
        <v>5</v>
      </c>
      <c r="H605" s="7">
        <v>8209</v>
      </c>
      <c r="I605" s="7">
        <v>9073.5499999999993</v>
      </c>
      <c r="J605" s="7">
        <v>864.54999999999927</v>
      </c>
      <c r="K605" s="8">
        <v>0.1053173346327201</v>
      </c>
    </row>
    <row r="606" spans="1:11" x14ac:dyDescent="0.3">
      <c r="A606" s="5" t="s">
        <v>44</v>
      </c>
      <c r="B606" s="6">
        <v>40252</v>
      </c>
      <c r="C606" s="5">
        <v>12</v>
      </c>
      <c r="D606" s="5">
        <v>3</v>
      </c>
      <c r="E606" s="5">
        <v>2010</v>
      </c>
      <c r="F606" s="5" t="s">
        <v>21</v>
      </c>
      <c r="G606" s="5" t="s">
        <v>5</v>
      </c>
      <c r="H606" s="7">
        <v>40516.379999999997</v>
      </c>
      <c r="I606" s="7">
        <v>42839.13</v>
      </c>
      <c r="J606" s="7">
        <v>2322.75</v>
      </c>
      <c r="K606" s="8">
        <v>5.7328665591545938E-2</v>
      </c>
    </row>
    <row r="607" spans="1:11" x14ac:dyDescent="0.3">
      <c r="A607" s="5" t="s">
        <v>44</v>
      </c>
      <c r="B607" s="6">
        <v>40252</v>
      </c>
      <c r="C607" s="5">
        <v>12</v>
      </c>
      <c r="D607" s="5">
        <v>3</v>
      </c>
      <c r="E607" s="5">
        <v>2010</v>
      </c>
      <c r="F607" s="5" t="s">
        <v>22</v>
      </c>
      <c r="G607" s="5" t="s">
        <v>8</v>
      </c>
      <c r="H607" s="7">
        <v>60675.96</v>
      </c>
      <c r="I607" s="7">
        <v>64485.61</v>
      </c>
      <c r="J607" s="7">
        <v>3809.6500000000015</v>
      </c>
      <c r="K607" s="8">
        <v>6.2786810460024059E-2</v>
      </c>
    </row>
    <row r="608" spans="1:11" x14ac:dyDescent="0.3">
      <c r="A608" s="5" t="s">
        <v>44</v>
      </c>
      <c r="B608" s="6">
        <v>40252</v>
      </c>
      <c r="C608" s="5">
        <v>12</v>
      </c>
      <c r="D608" s="5">
        <v>3</v>
      </c>
      <c r="E608" s="5">
        <v>2010</v>
      </c>
      <c r="F608" s="5" t="s">
        <v>23</v>
      </c>
      <c r="G608" s="5" t="s">
        <v>8</v>
      </c>
      <c r="H608" s="7">
        <v>28739.4</v>
      </c>
      <c r="I608" s="7">
        <v>30464.76</v>
      </c>
      <c r="J608" s="7">
        <v>1725.3599999999969</v>
      </c>
      <c r="K608" s="8">
        <v>6.0034656255871621E-2</v>
      </c>
    </row>
    <row r="609" spans="1:11" x14ac:dyDescent="0.3">
      <c r="A609" s="5" t="s">
        <v>44</v>
      </c>
      <c r="B609" s="6">
        <v>40252</v>
      </c>
      <c r="C609" s="5">
        <v>12</v>
      </c>
      <c r="D609" s="5">
        <v>3</v>
      </c>
      <c r="E609" s="5">
        <v>2010</v>
      </c>
      <c r="F609" s="5" t="s">
        <v>24</v>
      </c>
      <c r="G609" s="5" t="s">
        <v>8</v>
      </c>
      <c r="H609" s="7">
        <v>9703</v>
      </c>
      <c r="I609" s="7">
        <v>10725.83</v>
      </c>
      <c r="J609" s="7">
        <v>1022.8299999999999</v>
      </c>
      <c r="K609" s="8">
        <v>0.10541378954962383</v>
      </c>
    </row>
    <row r="610" spans="1:11" x14ac:dyDescent="0.3">
      <c r="A610" s="5" t="s">
        <v>44</v>
      </c>
      <c r="B610" s="6">
        <v>40252</v>
      </c>
      <c r="C610" s="5">
        <v>12</v>
      </c>
      <c r="D610" s="5">
        <v>3</v>
      </c>
      <c r="E610" s="5">
        <v>2010</v>
      </c>
      <c r="F610" s="5" t="s">
        <v>27</v>
      </c>
      <c r="G610" s="5" t="s">
        <v>10</v>
      </c>
      <c r="H610" s="7">
        <v>1935.26</v>
      </c>
      <c r="I610" s="7">
        <v>2225.63</v>
      </c>
      <c r="J610" s="7">
        <v>290.37000000000012</v>
      </c>
      <c r="K610" s="8">
        <v>0.15004185484121002</v>
      </c>
    </row>
    <row r="611" spans="1:11" x14ac:dyDescent="0.3">
      <c r="A611" s="5" t="s">
        <v>44</v>
      </c>
      <c r="B611" s="6">
        <v>40252</v>
      </c>
      <c r="C611" s="5">
        <v>12</v>
      </c>
      <c r="D611" s="5">
        <v>3</v>
      </c>
      <c r="E611" s="5">
        <v>2010</v>
      </c>
      <c r="F611" s="5" t="s">
        <v>29</v>
      </c>
      <c r="G611" s="5" t="s">
        <v>10</v>
      </c>
      <c r="H611" s="7">
        <v>50918.03</v>
      </c>
      <c r="I611" s="7">
        <v>56182.36</v>
      </c>
      <c r="J611" s="7">
        <v>5264.3300000000017</v>
      </c>
      <c r="K611" s="8">
        <v>0.10338832826014678</v>
      </c>
    </row>
    <row r="612" spans="1:11" x14ac:dyDescent="0.3">
      <c r="A612" s="5" t="s">
        <v>44</v>
      </c>
      <c r="B612" s="6">
        <v>40252</v>
      </c>
      <c r="C612" s="5">
        <v>12</v>
      </c>
      <c r="D612" s="5">
        <v>3</v>
      </c>
      <c r="E612" s="5">
        <v>2010</v>
      </c>
      <c r="F612" s="5" t="s">
        <v>30</v>
      </c>
      <c r="G612" s="5" t="s">
        <v>10</v>
      </c>
      <c r="H612" s="7">
        <v>2110.42</v>
      </c>
      <c r="I612" s="7">
        <v>2406.59</v>
      </c>
      <c r="J612" s="7">
        <v>296.17000000000007</v>
      </c>
      <c r="K612" s="8">
        <v>0.14033699453189416</v>
      </c>
    </row>
    <row r="613" spans="1:11" x14ac:dyDescent="0.3">
      <c r="A613" s="5" t="s">
        <v>44</v>
      </c>
      <c r="B613" s="6">
        <v>40252</v>
      </c>
      <c r="C613" s="5">
        <v>12</v>
      </c>
      <c r="D613" s="5">
        <v>3</v>
      </c>
      <c r="E613" s="5">
        <v>2010</v>
      </c>
      <c r="F613" s="5" t="s">
        <v>9</v>
      </c>
      <c r="G613" s="5" t="s">
        <v>9</v>
      </c>
      <c r="H613" s="7">
        <v>42622.89</v>
      </c>
      <c r="I613" s="7">
        <v>48981.15</v>
      </c>
      <c r="J613" s="7">
        <v>6358.260000000002</v>
      </c>
      <c r="K613" s="8">
        <v>0.14917477439938967</v>
      </c>
    </row>
    <row r="614" spans="1:11" x14ac:dyDescent="0.3">
      <c r="A614" s="5" t="s">
        <v>44</v>
      </c>
      <c r="B614" s="6">
        <v>40252</v>
      </c>
      <c r="C614" s="5">
        <v>12</v>
      </c>
      <c r="D614" s="5">
        <v>3</v>
      </c>
      <c r="E614" s="5">
        <v>2010</v>
      </c>
      <c r="F614" s="5" t="s">
        <v>33</v>
      </c>
      <c r="G614" s="5" t="s">
        <v>7</v>
      </c>
      <c r="H614" s="7">
        <v>2678</v>
      </c>
      <c r="I614" s="7">
        <v>5023.62</v>
      </c>
      <c r="J614" s="7">
        <v>2345.62</v>
      </c>
      <c r="K614" s="8">
        <v>0.87588498879761012</v>
      </c>
    </row>
    <row r="615" spans="1:11" x14ac:dyDescent="0.3">
      <c r="A615" s="5" t="s">
        <v>44</v>
      </c>
      <c r="B615" s="6">
        <v>40252</v>
      </c>
      <c r="C615" s="5">
        <v>12</v>
      </c>
      <c r="D615" s="5">
        <v>3</v>
      </c>
      <c r="E615" s="5">
        <v>2010</v>
      </c>
      <c r="F615" s="5" t="s">
        <v>35</v>
      </c>
      <c r="G615" s="5" t="s">
        <v>11</v>
      </c>
      <c r="H615" s="7">
        <v>866</v>
      </c>
      <c r="I615" s="7">
        <v>970</v>
      </c>
      <c r="J615" s="7">
        <v>104</v>
      </c>
      <c r="K615" s="8">
        <v>0.12009237875288684</v>
      </c>
    </row>
    <row r="616" spans="1:11" x14ac:dyDescent="0.3">
      <c r="A616" s="5" t="s">
        <v>44</v>
      </c>
      <c r="B616" s="6">
        <v>40252</v>
      </c>
      <c r="C616" s="5">
        <v>12</v>
      </c>
      <c r="D616" s="5">
        <v>3</v>
      </c>
      <c r="E616" s="5">
        <v>2010</v>
      </c>
      <c r="F616" s="5" t="s">
        <v>36</v>
      </c>
      <c r="G616" s="5" t="s">
        <v>11</v>
      </c>
      <c r="H616" s="7">
        <v>8767.77</v>
      </c>
      <c r="I616" s="7">
        <v>9711.8700000000008</v>
      </c>
      <c r="J616" s="7">
        <v>944.10000000000036</v>
      </c>
      <c r="K616" s="8">
        <v>0.10767846328085709</v>
      </c>
    </row>
    <row r="617" spans="1:11" x14ac:dyDescent="0.3">
      <c r="A617" s="5" t="s">
        <v>44</v>
      </c>
      <c r="B617" s="6">
        <v>40252</v>
      </c>
      <c r="C617" s="5">
        <v>12</v>
      </c>
      <c r="D617" s="5">
        <v>3</v>
      </c>
      <c r="E617" s="5">
        <v>2010</v>
      </c>
      <c r="F617" s="5" t="s">
        <v>37</v>
      </c>
      <c r="G617" s="5" t="s">
        <v>11</v>
      </c>
      <c r="H617" s="7">
        <v>35663.18</v>
      </c>
      <c r="I617" s="7">
        <v>37455.480000000003</v>
      </c>
      <c r="J617" s="7">
        <v>1792.3000000000029</v>
      </c>
      <c r="K617" s="8">
        <v>5.0256314776192218E-2</v>
      </c>
    </row>
    <row r="618" spans="1:11" x14ac:dyDescent="0.3">
      <c r="A618" s="5" t="s">
        <v>44</v>
      </c>
      <c r="B618" s="6">
        <v>40252</v>
      </c>
      <c r="C618" s="5">
        <v>12</v>
      </c>
      <c r="D618" s="5">
        <v>3</v>
      </c>
      <c r="E618" s="5">
        <v>2010</v>
      </c>
      <c r="F618" s="5" t="s">
        <v>38</v>
      </c>
      <c r="G618" s="5" t="s">
        <v>11</v>
      </c>
      <c r="H618" s="7">
        <v>42835.57</v>
      </c>
      <c r="I618" s="7">
        <v>44106.99</v>
      </c>
      <c r="J618" s="7">
        <v>1271.4199999999983</v>
      </c>
      <c r="K618" s="8">
        <v>2.9681407297720057E-2</v>
      </c>
    </row>
    <row r="619" spans="1:11" x14ac:dyDescent="0.3">
      <c r="A619" s="5" t="s">
        <v>44</v>
      </c>
      <c r="B619" s="6">
        <v>40253</v>
      </c>
      <c r="C619" s="5">
        <v>12</v>
      </c>
      <c r="D619" s="5">
        <v>3</v>
      </c>
      <c r="E619" s="5">
        <v>2010</v>
      </c>
      <c r="F619" s="5" t="s">
        <v>14</v>
      </c>
      <c r="G619" s="5" t="s">
        <v>6</v>
      </c>
      <c r="H619" s="7">
        <v>208</v>
      </c>
      <c r="I619" s="7">
        <v>259.89</v>
      </c>
      <c r="J619" s="7">
        <v>51.889999999999986</v>
      </c>
      <c r="K619" s="8">
        <v>0.24947115384615379</v>
      </c>
    </row>
    <row r="620" spans="1:11" x14ac:dyDescent="0.3">
      <c r="A620" s="5" t="s">
        <v>44</v>
      </c>
      <c r="B620" s="6">
        <v>40253</v>
      </c>
      <c r="C620" s="5">
        <v>12</v>
      </c>
      <c r="D620" s="5">
        <v>3</v>
      </c>
      <c r="E620" s="5">
        <v>2010</v>
      </c>
      <c r="F620" s="5" t="s">
        <v>15</v>
      </c>
      <c r="G620" s="5" t="s">
        <v>6</v>
      </c>
      <c r="H620" s="7">
        <v>14818.77</v>
      </c>
      <c r="I620" s="7">
        <v>17147.099999999999</v>
      </c>
      <c r="J620" s="7">
        <v>2328.3299999999981</v>
      </c>
      <c r="K620" s="8">
        <v>0.15712032780048532</v>
      </c>
    </row>
    <row r="621" spans="1:11" x14ac:dyDescent="0.3">
      <c r="A621" s="5" t="s">
        <v>44</v>
      </c>
      <c r="B621" s="6">
        <v>40253</v>
      </c>
      <c r="C621" s="5">
        <v>12</v>
      </c>
      <c r="D621" s="5">
        <v>3</v>
      </c>
      <c r="E621" s="5">
        <v>2010</v>
      </c>
      <c r="F621" s="5" t="s">
        <v>16</v>
      </c>
      <c r="G621" s="5" t="s">
        <v>6</v>
      </c>
      <c r="H621" s="7">
        <v>15570.14</v>
      </c>
      <c r="I621" s="7">
        <v>17020.47</v>
      </c>
      <c r="J621" s="7">
        <v>1450.3300000000017</v>
      </c>
      <c r="K621" s="8">
        <v>9.3148166940053317E-2</v>
      </c>
    </row>
    <row r="622" spans="1:11" x14ac:dyDescent="0.3">
      <c r="A622" s="5" t="s">
        <v>44</v>
      </c>
      <c r="B622" s="6">
        <v>40253</v>
      </c>
      <c r="C622" s="5">
        <v>12</v>
      </c>
      <c r="D622" s="5">
        <v>3</v>
      </c>
      <c r="E622" s="5">
        <v>2010</v>
      </c>
      <c r="F622" s="5" t="s">
        <v>18</v>
      </c>
      <c r="G622" s="5" t="s">
        <v>6</v>
      </c>
      <c r="H622" s="7">
        <v>994</v>
      </c>
      <c r="I622" s="7">
        <v>1057</v>
      </c>
      <c r="J622" s="7">
        <v>63</v>
      </c>
      <c r="K622" s="8">
        <v>6.3380281690140844E-2</v>
      </c>
    </row>
    <row r="623" spans="1:11" x14ac:dyDescent="0.3">
      <c r="A623" s="5" t="s">
        <v>44</v>
      </c>
      <c r="B623" s="6">
        <v>40253</v>
      </c>
      <c r="C623" s="5">
        <v>12</v>
      </c>
      <c r="D623" s="5">
        <v>3</v>
      </c>
      <c r="E623" s="5">
        <v>2010</v>
      </c>
      <c r="F623" s="5" t="s">
        <v>19</v>
      </c>
      <c r="G623" s="5" t="s">
        <v>5</v>
      </c>
      <c r="H623" s="7">
        <v>25721.3</v>
      </c>
      <c r="I623" s="7">
        <v>29000.400000000001</v>
      </c>
      <c r="J623" s="7">
        <v>3279.1000000000022</v>
      </c>
      <c r="K623" s="8">
        <v>0.12748578026771595</v>
      </c>
    </row>
    <row r="624" spans="1:11" x14ac:dyDescent="0.3">
      <c r="A624" s="5" t="s">
        <v>44</v>
      </c>
      <c r="B624" s="6">
        <v>40253</v>
      </c>
      <c r="C624" s="5">
        <v>12</v>
      </c>
      <c r="D624" s="5">
        <v>3</v>
      </c>
      <c r="E624" s="5">
        <v>2010</v>
      </c>
      <c r="F624" s="5" t="s">
        <v>5</v>
      </c>
      <c r="G624" s="5" t="s">
        <v>5</v>
      </c>
      <c r="H624" s="7">
        <v>163616.85</v>
      </c>
      <c r="I624" s="7">
        <v>169039.65</v>
      </c>
      <c r="J624" s="7">
        <v>5422.7999999999884</v>
      </c>
      <c r="K624" s="8">
        <v>3.3143285670149424E-2</v>
      </c>
    </row>
    <row r="625" spans="1:11" x14ac:dyDescent="0.3">
      <c r="A625" s="5" t="s">
        <v>44</v>
      </c>
      <c r="B625" s="6">
        <v>40253</v>
      </c>
      <c r="C625" s="5">
        <v>12</v>
      </c>
      <c r="D625" s="5">
        <v>3</v>
      </c>
      <c r="E625" s="5">
        <v>2010</v>
      </c>
      <c r="F625" s="5" t="s">
        <v>20</v>
      </c>
      <c r="G625" s="5" t="s">
        <v>5</v>
      </c>
      <c r="H625" s="7">
        <v>16424</v>
      </c>
      <c r="I625" s="7">
        <v>18129.52</v>
      </c>
      <c r="J625" s="7">
        <v>1705.5200000000004</v>
      </c>
      <c r="K625" s="8">
        <v>0.10384315635655142</v>
      </c>
    </row>
    <row r="626" spans="1:11" x14ac:dyDescent="0.3">
      <c r="A626" s="5" t="s">
        <v>44</v>
      </c>
      <c r="B626" s="6">
        <v>40253</v>
      </c>
      <c r="C626" s="5">
        <v>12</v>
      </c>
      <c r="D626" s="5">
        <v>3</v>
      </c>
      <c r="E626" s="5">
        <v>2010</v>
      </c>
      <c r="F626" s="5" t="s">
        <v>21</v>
      </c>
      <c r="G626" s="5" t="s">
        <v>5</v>
      </c>
      <c r="H626" s="7">
        <v>52739.02</v>
      </c>
      <c r="I626" s="7">
        <v>55088.01</v>
      </c>
      <c r="J626" s="7">
        <v>2348.9900000000052</v>
      </c>
      <c r="K626" s="8">
        <v>4.4539887165138931E-2</v>
      </c>
    </row>
    <row r="627" spans="1:11" x14ac:dyDescent="0.3">
      <c r="A627" s="5" t="s">
        <v>44</v>
      </c>
      <c r="B627" s="6">
        <v>40253</v>
      </c>
      <c r="C627" s="5">
        <v>12</v>
      </c>
      <c r="D627" s="5">
        <v>3</v>
      </c>
      <c r="E627" s="5">
        <v>2010</v>
      </c>
      <c r="F627" s="5" t="s">
        <v>22</v>
      </c>
      <c r="G627" s="5" t="s">
        <v>8</v>
      </c>
      <c r="H627" s="7">
        <v>90960.97</v>
      </c>
      <c r="I627" s="7">
        <v>96586.92</v>
      </c>
      <c r="J627" s="7">
        <v>5625.9499999999971</v>
      </c>
      <c r="K627" s="8">
        <v>6.1850153972632403E-2</v>
      </c>
    </row>
    <row r="628" spans="1:11" x14ac:dyDescent="0.3">
      <c r="A628" s="5" t="s">
        <v>44</v>
      </c>
      <c r="B628" s="6">
        <v>40253</v>
      </c>
      <c r="C628" s="5">
        <v>12</v>
      </c>
      <c r="D628" s="5">
        <v>3</v>
      </c>
      <c r="E628" s="5">
        <v>2010</v>
      </c>
      <c r="F628" s="5" t="s">
        <v>23</v>
      </c>
      <c r="G628" s="5" t="s">
        <v>8</v>
      </c>
      <c r="H628" s="7">
        <v>55333.71</v>
      </c>
      <c r="I628" s="7">
        <v>58490.38</v>
      </c>
      <c r="J628" s="7">
        <v>3156.6699999999983</v>
      </c>
      <c r="K628" s="8">
        <v>5.7047864674174179E-2</v>
      </c>
    </row>
    <row r="629" spans="1:11" x14ac:dyDescent="0.3">
      <c r="A629" s="5" t="s">
        <v>44</v>
      </c>
      <c r="B629" s="6">
        <v>40253</v>
      </c>
      <c r="C629" s="5">
        <v>12</v>
      </c>
      <c r="D629" s="5">
        <v>3</v>
      </c>
      <c r="E629" s="5">
        <v>2010</v>
      </c>
      <c r="F629" s="5" t="s">
        <v>24</v>
      </c>
      <c r="G629" s="5" t="s">
        <v>8</v>
      </c>
      <c r="H629" s="7">
        <v>14179.49</v>
      </c>
      <c r="I629" s="7">
        <v>15394.32</v>
      </c>
      <c r="J629" s="7">
        <v>1214.83</v>
      </c>
      <c r="K629" s="8">
        <v>8.5675154748160898E-2</v>
      </c>
    </row>
    <row r="630" spans="1:11" x14ac:dyDescent="0.3">
      <c r="A630" s="5" t="s">
        <v>44</v>
      </c>
      <c r="B630" s="6">
        <v>40253</v>
      </c>
      <c r="C630" s="5">
        <v>12</v>
      </c>
      <c r="D630" s="5">
        <v>3</v>
      </c>
      <c r="E630" s="5">
        <v>2010</v>
      </c>
      <c r="F630" s="5" t="s">
        <v>27</v>
      </c>
      <c r="G630" s="5" t="s">
        <v>10</v>
      </c>
      <c r="H630" s="7">
        <v>2655.26</v>
      </c>
      <c r="I630" s="7">
        <v>3053.26</v>
      </c>
      <c r="J630" s="7">
        <v>398</v>
      </c>
      <c r="K630" s="8">
        <v>0.14989115943448098</v>
      </c>
    </row>
    <row r="631" spans="1:11" x14ac:dyDescent="0.3">
      <c r="A631" s="5" t="s">
        <v>44</v>
      </c>
      <c r="B631" s="6">
        <v>40253</v>
      </c>
      <c r="C631" s="5">
        <v>12</v>
      </c>
      <c r="D631" s="5">
        <v>3</v>
      </c>
      <c r="E631" s="5">
        <v>2010</v>
      </c>
      <c r="F631" s="5" t="s">
        <v>29</v>
      </c>
      <c r="G631" s="5" t="s">
        <v>10</v>
      </c>
      <c r="H631" s="7">
        <v>68280.45</v>
      </c>
      <c r="I631" s="7">
        <v>73308.3</v>
      </c>
      <c r="J631" s="7">
        <v>5027.8500000000058</v>
      </c>
      <c r="K631" s="8">
        <v>7.3635279205101989E-2</v>
      </c>
    </row>
    <row r="632" spans="1:11" x14ac:dyDescent="0.3">
      <c r="A632" s="5" t="s">
        <v>44</v>
      </c>
      <c r="B632" s="6">
        <v>40253</v>
      </c>
      <c r="C632" s="5">
        <v>12</v>
      </c>
      <c r="D632" s="5">
        <v>3</v>
      </c>
      <c r="E632" s="5">
        <v>2010</v>
      </c>
      <c r="F632" s="5" t="s">
        <v>30</v>
      </c>
      <c r="G632" s="5" t="s">
        <v>10</v>
      </c>
      <c r="H632" s="7">
        <v>4296.9399999999996</v>
      </c>
      <c r="I632" s="7">
        <v>4867.05</v>
      </c>
      <c r="J632" s="7">
        <v>570.11000000000058</v>
      </c>
      <c r="K632" s="8">
        <v>0.13267813839616113</v>
      </c>
    </row>
    <row r="633" spans="1:11" x14ac:dyDescent="0.3">
      <c r="A633" s="5" t="s">
        <v>44</v>
      </c>
      <c r="B633" s="6">
        <v>40253</v>
      </c>
      <c r="C633" s="5">
        <v>12</v>
      </c>
      <c r="D633" s="5">
        <v>3</v>
      </c>
      <c r="E633" s="5">
        <v>2010</v>
      </c>
      <c r="F633" s="5" t="s">
        <v>9</v>
      </c>
      <c r="G633" s="5" t="s">
        <v>9</v>
      </c>
      <c r="H633" s="7">
        <v>26463.31</v>
      </c>
      <c r="I633" s="7">
        <v>30032.86</v>
      </c>
      <c r="J633" s="7">
        <v>3569.5499999999993</v>
      </c>
      <c r="K633" s="8">
        <v>0.1348867545291953</v>
      </c>
    </row>
    <row r="634" spans="1:11" x14ac:dyDescent="0.3">
      <c r="A634" s="5" t="s">
        <v>44</v>
      </c>
      <c r="B634" s="6">
        <v>40253</v>
      </c>
      <c r="C634" s="5">
        <v>12</v>
      </c>
      <c r="D634" s="5">
        <v>3</v>
      </c>
      <c r="E634" s="5">
        <v>2010</v>
      </c>
      <c r="F634" s="5" t="s">
        <v>33</v>
      </c>
      <c r="G634" s="5" t="s">
        <v>7</v>
      </c>
      <c r="H634" s="7">
        <v>3231</v>
      </c>
      <c r="I634" s="7">
        <v>6136.89</v>
      </c>
      <c r="J634" s="7">
        <v>2905.8900000000003</v>
      </c>
      <c r="K634" s="8">
        <v>0.89937790157845876</v>
      </c>
    </row>
    <row r="635" spans="1:11" x14ac:dyDescent="0.3">
      <c r="A635" s="5" t="s">
        <v>44</v>
      </c>
      <c r="B635" s="6">
        <v>40253</v>
      </c>
      <c r="C635" s="5">
        <v>12</v>
      </c>
      <c r="D635" s="5">
        <v>3</v>
      </c>
      <c r="E635" s="5">
        <v>2010</v>
      </c>
      <c r="F635" s="5" t="s">
        <v>35</v>
      </c>
      <c r="G635" s="5" t="s">
        <v>11</v>
      </c>
      <c r="H635" s="7">
        <v>2381</v>
      </c>
      <c r="I635" s="7">
        <v>2667</v>
      </c>
      <c r="J635" s="7">
        <v>286</v>
      </c>
      <c r="K635" s="8">
        <v>0.12011759764804704</v>
      </c>
    </row>
    <row r="636" spans="1:11" x14ac:dyDescent="0.3">
      <c r="A636" s="5" t="s">
        <v>44</v>
      </c>
      <c r="B636" s="6">
        <v>40253</v>
      </c>
      <c r="C636" s="5">
        <v>12</v>
      </c>
      <c r="D636" s="5">
        <v>3</v>
      </c>
      <c r="E636" s="5">
        <v>2010</v>
      </c>
      <c r="F636" s="5" t="s">
        <v>36</v>
      </c>
      <c r="G636" s="5" t="s">
        <v>11</v>
      </c>
      <c r="H636" s="7">
        <v>17021.22</v>
      </c>
      <c r="I636" s="7">
        <v>19018.45</v>
      </c>
      <c r="J636" s="7">
        <v>1997.2299999999996</v>
      </c>
      <c r="K636" s="8">
        <v>0.11733765264769502</v>
      </c>
    </row>
    <row r="637" spans="1:11" x14ac:dyDescent="0.3">
      <c r="A637" s="5" t="s">
        <v>44</v>
      </c>
      <c r="B637" s="6">
        <v>40253</v>
      </c>
      <c r="C637" s="5">
        <v>12</v>
      </c>
      <c r="D637" s="5">
        <v>3</v>
      </c>
      <c r="E637" s="5">
        <v>2010</v>
      </c>
      <c r="F637" s="5" t="s">
        <v>37</v>
      </c>
      <c r="G637" s="5" t="s">
        <v>11</v>
      </c>
      <c r="H637" s="7">
        <v>53981.09</v>
      </c>
      <c r="I637" s="7">
        <v>57168.65</v>
      </c>
      <c r="J637" s="7">
        <v>3187.5600000000049</v>
      </c>
      <c r="K637" s="8">
        <v>5.904956717250439E-2</v>
      </c>
    </row>
    <row r="638" spans="1:11" x14ac:dyDescent="0.3">
      <c r="A638" s="5" t="s">
        <v>44</v>
      </c>
      <c r="B638" s="6">
        <v>40253</v>
      </c>
      <c r="C638" s="5">
        <v>12</v>
      </c>
      <c r="D638" s="5">
        <v>3</v>
      </c>
      <c r="E638" s="5">
        <v>2010</v>
      </c>
      <c r="F638" s="5" t="s">
        <v>38</v>
      </c>
      <c r="G638" s="5" t="s">
        <v>11</v>
      </c>
      <c r="H638" s="7">
        <v>73658.679999999993</v>
      </c>
      <c r="I638" s="7">
        <v>76296.14</v>
      </c>
      <c r="J638" s="7">
        <v>2637.4600000000064</v>
      </c>
      <c r="K638" s="8">
        <v>3.5806506442961059E-2</v>
      </c>
    </row>
    <row r="639" spans="1:11" x14ac:dyDescent="0.3">
      <c r="A639" s="5" t="s">
        <v>44</v>
      </c>
      <c r="B639" s="6">
        <v>40254</v>
      </c>
      <c r="C639" s="5">
        <v>12</v>
      </c>
      <c r="D639" s="5">
        <v>3</v>
      </c>
      <c r="E639" s="5">
        <v>2010</v>
      </c>
      <c r="F639" s="5" t="s">
        <v>14</v>
      </c>
      <c r="G639" s="5" t="s">
        <v>6</v>
      </c>
      <c r="H639" s="7">
        <v>416</v>
      </c>
      <c r="I639" s="7">
        <v>519.98</v>
      </c>
      <c r="J639" s="7">
        <v>103.98000000000002</v>
      </c>
      <c r="K639" s="8">
        <v>0.24995192307692313</v>
      </c>
    </row>
    <row r="640" spans="1:11" x14ac:dyDescent="0.3">
      <c r="A640" s="5" t="s">
        <v>44</v>
      </c>
      <c r="B640" s="6">
        <v>40254</v>
      </c>
      <c r="C640" s="5">
        <v>12</v>
      </c>
      <c r="D640" s="5">
        <v>3</v>
      </c>
      <c r="E640" s="5">
        <v>2010</v>
      </c>
      <c r="F640" s="5" t="s">
        <v>15</v>
      </c>
      <c r="G640" s="5" t="s">
        <v>6</v>
      </c>
      <c r="H640" s="7">
        <v>14744.93</v>
      </c>
      <c r="I640" s="7">
        <v>17292.189999999999</v>
      </c>
      <c r="J640" s="7">
        <v>2547.2599999999984</v>
      </c>
      <c r="K640" s="8">
        <v>0.17275497408261675</v>
      </c>
    </row>
    <row r="641" spans="1:11" x14ac:dyDescent="0.3">
      <c r="A641" s="5" t="s">
        <v>44</v>
      </c>
      <c r="B641" s="6">
        <v>40254</v>
      </c>
      <c r="C641" s="5">
        <v>12</v>
      </c>
      <c r="D641" s="5">
        <v>3</v>
      </c>
      <c r="E641" s="5">
        <v>2010</v>
      </c>
      <c r="F641" s="5" t="s">
        <v>16</v>
      </c>
      <c r="G641" s="5" t="s">
        <v>6</v>
      </c>
      <c r="H641" s="7">
        <v>17400.43</v>
      </c>
      <c r="I641" s="7">
        <v>19256.39</v>
      </c>
      <c r="J641" s="7">
        <v>1855.9599999999991</v>
      </c>
      <c r="K641" s="8">
        <v>0.1066617319227168</v>
      </c>
    </row>
    <row r="642" spans="1:11" x14ac:dyDescent="0.3">
      <c r="A642" s="5" t="s">
        <v>44</v>
      </c>
      <c r="B642" s="6">
        <v>40254</v>
      </c>
      <c r="C642" s="5">
        <v>12</v>
      </c>
      <c r="D642" s="5">
        <v>3</v>
      </c>
      <c r="E642" s="5">
        <v>2010</v>
      </c>
      <c r="F642" s="5" t="s">
        <v>18</v>
      </c>
      <c r="G642" s="5" t="s">
        <v>6</v>
      </c>
      <c r="H642" s="7">
        <v>3453.3</v>
      </c>
      <c r="I642" s="7">
        <v>3876.05</v>
      </c>
      <c r="J642" s="7">
        <v>422.75</v>
      </c>
      <c r="K642" s="8">
        <v>0.12241913531983899</v>
      </c>
    </row>
    <row r="643" spans="1:11" x14ac:dyDescent="0.3">
      <c r="A643" s="5" t="s">
        <v>44</v>
      </c>
      <c r="B643" s="6">
        <v>40254</v>
      </c>
      <c r="C643" s="5">
        <v>12</v>
      </c>
      <c r="D643" s="5">
        <v>3</v>
      </c>
      <c r="E643" s="5">
        <v>2010</v>
      </c>
      <c r="F643" s="5" t="s">
        <v>19</v>
      </c>
      <c r="G643" s="5" t="s">
        <v>5</v>
      </c>
      <c r="H643" s="7">
        <v>31380.47</v>
      </c>
      <c r="I643" s="7">
        <v>35316.089999999997</v>
      </c>
      <c r="J643" s="7">
        <v>3935.6199999999953</v>
      </c>
      <c r="K643" s="8">
        <v>0.12541622225543453</v>
      </c>
    </row>
    <row r="644" spans="1:11" x14ac:dyDescent="0.3">
      <c r="A644" s="5" t="s">
        <v>44</v>
      </c>
      <c r="B644" s="6">
        <v>40254</v>
      </c>
      <c r="C644" s="5">
        <v>12</v>
      </c>
      <c r="D644" s="5">
        <v>3</v>
      </c>
      <c r="E644" s="5">
        <v>2010</v>
      </c>
      <c r="F644" s="5" t="s">
        <v>5</v>
      </c>
      <c r="G644" s="5" t="s">
        <v>5</v>
      </c>
      <c r="H644" s="7">
        <v>147418.29999999999</v>
      </c>
      <c r="I644" s="7">
        <v>151449.24</v>
      </c>
      <c r="J644" s="7">
        <v>4030.9400000000023</v>
      </c>
      <c r="K644" s="8">
        <v>2.7343552326949929E-2</v>
      </c>
    </row>
    <row r="645" spans="1:11" x14ac:dyDescent="0.3">
      <c r="A645" s="5" t="s">
        <v>44</v>
      </c>
      <c r="B645" s="6">
        <v>40254</v>
      </c>
      <c r="C645" s="5">
        <v>12</v>
      </c>
      <c r="D645" s="5">
        <v>3</v>
      </c>
      <c r="E645" s="5">
        <v>2010</v>
      </c>
      <c r="F645" s="5" t="s">
        <v>20</v>
      </c>
      <c r="G645" s="5" t="s">
        <v>5</v>
      </c>
      <c r="H645" s="7">
        <v>10362.299999999999</v>
      </c>
      <c r="I645" s="7">
        <v>11479.72</v>
      </c>
      <c r="J645" s="7">
        <v>1117.42</v>
      </c>
      <c r="K645" s="8">
        <v>0.10783513312681549</v>
      </c>
    </row>
    <row r="646" spans="1:11" x14ac:dyDescent="0.3">
      <c r="A646" s="5" t="s">
        <v>44</v>
      </c>
      <c r="B646" s="6">
        <v>40254</v>
      </c>
      <c r="C646" s="5">
        <v>12</v>
      </c>
      <c r="D646" s="5">
        <v>3</v>
      </c>
      <c r="E646" s="5">
        <v>2010</v>
      </c>
      <c r="F646" s="5" t="s">
        <v>21</v>
      </c>
      <c r="G646" s="5" t="s">
        <v>5</v>
      </c>
      <c r="H646" s="7">
        <v>41024.36</v>
      </c>
      <c r="I646" s="7">
        <v>43061.84</v>
      </c>
      <c r="J646" s="7">
        <v>2037.4799999999959</v>
      </c>
      <c r="K646" s="8">
        <v>4.9665125793552804E-2</v>
      </c>
    </row>
    <row r="647" spans="1:11" x14ac:dyDescent="0.3">
      <c r="A647" s="5" t="s">
        <v>44</v>
      </c>
      <c r="B647" s="6">
        <v>40254</v>
      </c>
      <c r="C647" s="5">
        <v>12</v>
      </c>
      <c r="D647" s="5">
        <v>3</v>
      </c>
      <c r="E647" s="5">
        <v>2010</v>
      </c>
      <c r="F647" s="5" t="s">
        <v>22</v>
      </c>
      <c r="G647" s="5" t="s">
        <v>8</v>
      </c>
      <c r="H647" s="7">
        <v>70986.05</v>
      </c>
      <c r="I647" s="7">
        <v>76666.7</v>
      </c>
      <c r="J647" s="7">
        <v>5680.6499999999942</v>
      </c>
      <c r="K647" s="8">
        <v>8.0024878127462992E-2</v>
      </c>
    </row>
    <row r="648" spans="1:11" x14ac:dyDescent="0.3">
      <c r="A648" s="5" t="s">
        <v>44</v>
      </c>
      <c r="B648" s="6">
        <v>40254</v>
      </c>
      <c r="C648" s="5">
        <v>12</v>
      </c>
      <c r="D648" s="5">
        <v>3</v>
      </c>
      <c r="E648" s="5">
        <v>2010</v>
      </c>
      <c r="F648" s="5" t="s">
        <v>23</v>
      </c>
      <c r="G648" s="5" t="s">
        <v>8</v>
      </c>
      <c r="H648" s="7">
        <v>54138.400000000001</v>
      </c>
      <c r="I648" s="7">
        <v>57947.02</v>
      </c>
      <c r="J648" s="7">
        <v>3808.6199999999953</v>
      </c>
      <c r="K648" s="8">
        <v>7.0349696333840583E-2</v>
      </c>
    </row>
    <row r="649" spans="1:11" x14ac:dyDescent="0.3">
      <c r="A649" s="5" t="s">
        <v>44</v>
      </c>
      <c r="B649" s="6">
        <v>40254</v>
      </c>
      <c r="C649" s="5">
        <v>12</v>
      </c>
      <c r="D649" s="5">
        <v>3</v>
      </c>
      <c r="E649" s="5">
        <v>2010</v>
      </c>
      <c r="F649" s="5" t="s">
        <v>24</v>
      </c>
      <c r="G649" s="5" t="s">
        <v>8</v>
      </c>
      <c r="H649" s="7">
        <v>13721.5</v>
      </c>
      <c r="I649" s="7">
        <v>14770.73</v>
      </c>
      <c r="J649" s="7">
        <v>1049.2299999999996</v>
      </c>
      <c r="K649" s="8">
        <v>7.6466129796305043E-2</v>
      </c>
    </row>
    <row r="650" spans="1:11" x14ac:dyDescent="0.3">
      <c r="A650" s="5" t="s">
        <v>44</v>
      </c>
      <c r="B650" s="6">
        <v>40254</v>
      </c>
      <c r="C650" s="5">
        <v>12</v>
      </c>
      <c r="D650" s="5">
        <v>3</v>
      </c>
      <c r="E650" s="5">
        <v>2010</v>
      </c>
      <c r="F650" s="5" t="s">
        <v>27</v>
      </c>
      <c r="G650" s="5" t="s">
        <v>10</v>
      </c>
      <c r="H650" s="7">
        <v>960.6</v>
      </c>
      <c r="I650" s="7">
        <v>1104.3</v>
      </c>
      <c r="J650" s="7">
        <v>143.69999999999993</v>
      </c>
      <c r="K650" s="8">
        <v>0.14959400374765763</v>
      </c>
    </row>
    <row r="651" spans="1:11" x14ac:dyDescent="0.3">
      <c r="A651" s="5" t="s">
        <v>44</v>
      </c>
      <c r="B651" s="6">
        <v>40254</v>
      </c>
      <c r="C651" s="5">
        <v>12</v>
      </c>
      <c r="D651" s="5">
        <v>3</v>
      </c>
      <c r="E651" s="5">
        <v>2010</v>
      </c>
      <c r="F651" s="5" t="s">
        <v>29</v>
      </c>
      <c r="G651" s="5" t="s">
        <v>10</v>
      </c>
      <c r="H651" s="7">
        <v>33663.35</v>
      </c>
      <c r="I651" s="7">
        <v>36865.79</v>
      </c>
      <c r="J651" s="7">
        <v>3202.4400000000023</v>
      </c>
      <c r="K651" s="8">
        <v>9.5131352049038567E-2</v>
      </c>
    </row>
    <row r="652" spans="1:11" x14ac:dyDescent="0.3">
      <c r="A652" s="5" t="s">
        <v>44</v>
      </c>
      <c r="B652" s="6">
        <v>40254</v>
      </c>
      <c r="C652" s="5">
        <v>12</v>
      </c>
      <c r="D652" s="5">
        <v>3</v>
      </c>
      <c r="E652" s="5">
        <v>2010</v>
      </c>
      <c r="F652" s="5" t="s">
        <v>30</v>
      </c>
      <c r="G652" s="5" t="s">
        <v>10</v>
      </c>
      <c r="H652" s="7">
        <v>2431.3000000000002</v>
      </c>
      <c r="I652" s="7">
        <v>2751.39</v>
      </c>
      <c r="J652" s="7">
        <v>320.08999999999969</v>
      </c>
      <c r="K652" s="8">
        <v>0.13165384773577907</v>
      </c>
    </row>
    <row r="653" spans="1:11" x14ac:dyDescent="0.3">
      <c r="A653" s="5" t="s">
        <v>44</v>
      </c>
      <c r="B653" s="6">
        <v>40254</v>
      </c>
      <c r="C653" s="5">
        <v>12</v>
      </c>
      <c r="D653" s="5">
        <v>3</v>
      </c>
      <c r="E653" s="5">
        <v>2010</v>
      </c>
      <c r="F653" s="5" t="s">
        <v>9</v>
      </c>
      <c r="G653" s="5" t="s">
        <v>9</v>
      </c>
      <c r="H653" s="7">
        <v>25603.32</v>
      </c>
      <c r="I653" s="7">
        <v>28848.93</v>
      </c>
      <c r="J653" s="7">
        <v>3245.6100000000006</v>
      </c>
      <c r="K653" s="8">
        <v>0.12676520076302608</v>
      </c>
    </row>
    <row r="654" spans="1:11" x14ac:dyDescent="0.3">
      <c r="A654" s="5" t="s">
        <v>44</v>
      </c>
      <c r="B654" s="6">
        <v>40254</v>
      </c>
      <c r="C654" s="5">
        <v>12</v>
      </c>
      <c r="D654" s="5">
        <v>3</v>
      </c>
      <c r="E654" s="5">
        <v>2010</v>
      </c>
      <c r="F654" s="5" t="s">
        <v>33</v>
      </c>
      <c r="G654" s="5" t="s">
        <v>7</v>
      </c>
      <c r="H654" s="7">
        <v>2038</v>
      </c>
      <c r="I654" s="7">
        <v>4113.2</v>
      </c>
      <c r="J654" s="7">
        <v>2075.1999999999998</v>
      </c>
      <c r="K654" s="8">
        <v>1.0182531894013738</v>
      </c>
    </row>
    <row r="655" spans="1:11" x14ac:dyDescent="0.3">
      <c r="A655" s="5" t="s">
        <v>44</v>
      </c>
      <c r="B655" s="6">
        <v>40254</v>
      </c>
      <c r="C655" s="5">
        <v>12</v>
      </c>
      <c r="D655" s="5">
        <v>3</v>
      </c>
      <c r="E655" s="5">
        <v>2010</v>
      </c>
      <c r="F655" s="5" t="s">
        <v>35</v>
      </c>
      <c r="G655" s="5" t="s">
        <v>11</v>
      </c>
      <c r="H655" s="7">
        <v>1082</v>
      </c>
      <c r="I655" s="7">
        <v>1211.93</v>
      </c>
      <c r="J655" s="7">
        <v>129.93000000000006</v>
      </c>
      <c r="K655" s="8">
        <v>0.1200831792975971</v>
      </c>
    </row>
    <row r="656" spans="1:11" x14ac:dyDescent="0.3">
      <c r="A656" s="5" t="s">
        <v>44</v>
      </c>
      <c r="B656" s="6">
        <v>40254</v>
      </c>
      <c r="C656" s="5">
        <v>12</v>
      </c>
      <c r="D656" s="5">
        <v>3</v>
      </c>
      <c r="E656" s="5">
        <v>2010</v>
      </c>
      <c r="F656" s="5" t="s">
        <v>36</v>
      </c>
      <c r="G656" s="5" t="s">
        <v>11</v>
      </c>
      <c r="H656" s="7">
        <v>13452.36</v>
      </c>
      <c r="I656" s="7">
        <v>15209.74</v>
      </c>
      <c r="J656" s="7">
        <v>1757.3799999999992</v>
      </c>
      <c r="K656" s="8">
        <v>0.13063730081561892</v>
      </c>
    </row>
    <row r="657" spans="1:11" x14ac:dyDescent="0.3">
      <c r="A657" s="5" t="s">
        <v>44</v>
      </c>
      <c r="B657" s="6">
        <v>40254</v>
      </c>
      <c r="C657" s="5">
        <v>12</v>
      </c>
      <c r="D657" s="5">
        <v>3</v>
      </c>
      <c r="E657" s="5">
        <v>2010</v>
      </c>
      <c r="F657" s="5" t="s">
        <v>37</v>
      </c>
      <c r="G657" s="5" t="s">
        <v>11</v>
      </c>
      <c r="H657" s="7">
        <v>43897.02</v>
      </c>
      <c r="I657" s="7">
        <v>46438.41</v>
      </c>
      <c r="J657" s="7">
        <v>2541.3900000000067</v>
      </c>
      <c r="K657" s="8">
        <v>5.7894362760843601E-2</v>
      </c>
    </row>
    <row r="658" spans="1:11" x14ac:dyDescent="0.3">
      <c r="A658" s="5" t="s">
        <v>44</v>
      </c>
      <c r="B658" s="6">
        <v>40254</v>
      </c>
      <c r="C658" s="5">
        <v>12</v>
      </c>
      <c r="D658" s="5">
        <v>3</v>
      </c>
      <c r="E658" s="5">
        <v>2010</v>
      </c>
      <c r="F658" s="5" t="s">
        <v>38</v>
      </c>
      <c r="G658" s="5" t="s">
        <v>11</v>
      </c>
      <c r="H658" s="7">
        <v>25466.68</v>
      </c>
      <c r="I658" s="7">
        <v>26893.1</v>
      </c>
      <c r="J658" s="7">
        <v>1426.4199999999983</v>
      </c>
      <c r="K658" s="8">
        <v>5.6011227219252696E-2</v>
      </c>
    </row>
    <row r="659" spans="1:11" x14ac:dyDescent="0.3">
      <c r="A659" s="5" t="s">
        <v>44</v>
      </c>
      <c r="B659" s="6">
        <v>40255</v>
      </c>
      <c r="C659" s="5">
        <v>12</v>
      </c>
      <c r="D659" s="5">
        <v>3</v>
      </c>
      <c r="E659" s="5">
        <v>2010</v>
      </c>
      <c r="F659" s="5" t="s">
        <v>14</v>
      </c>
      <c r="G659" s="5" t="s">
        <v>6</v>
      </c>
      <c r="H659" s="7">
        <v>416</v>
      </c>
      <c r="I659" s="7">
        <v>519.95000000000005</v>
      </c>
      <c r="J659" s="7">
        <v>103.95000000000005</v>
      </c>
      <c r="K659" s="8">
        <v>0.2498798076923078</v>
      </c>
    </row>
    <row r="660" spans="1:11" x14ac:dyDescent="0.3">
      <c r="A660" s="5" t="s">
        <v>44</v>
      </c>
      <c r="B660" s="6">
        <v>40255</v>
      </c>
      <c r="C660" s="5">
        <v>12</v>
      </c>
      <c r="D660" s="5">
        <v>3</v>
      </c>
      <c r="E660" s="5">
        <v>2010</v>
      </c>
      <c r="F660" s="5" t="s">
        <v>15</v>
      </c>
      <c r="G660" s="5" t="s">
        <v>6</v>
      </c>
      <c r="H660" s="7">
        <v>15708.04</v>
      </c>
      <c r="I660" s="7">
        <v>18803.189999999999</v>
      </c>
      <c r="J660" s="7">
        <v>3095.1499999999978</v>
      </c>
      <c r="K660" s="8">
        <v>0.19704240630912562</v>
      </c>
    </row>
    <row r="661" spans="1:11" x14ac:dyDescent="0.3">
      <c r="A661" s="5" t="s">
        <v>44</v>
      </c>
      <c r="B661" s="6">
        <v>40255</v>
      </c>
      <c r="C661" s="5">
        <v>12</v>
      </c>
      <c r="D661" s="5">
        <v>3</v>
      </c>
      <c r="E661" s="5">
        <v>2010</v>
      </c>
      <c r="F661" s="5" t="s">
        <v>16</v>
      </c>
      <c r="G661" s="5" t="s">
        <v>6</v>
      </c>
      <c r="H661" s="7">
        <v>19417.78</v>
      </c>
      <c r="I661" s="7">
        <v>21978.639999999999</v>
      </c>
      <c r="J661" s="7">
        <v>2560.8600000000006</v>
      </c>
      <c r="K661" s="8">
        <v>0.13188222340555927</v>
      </c>
    </row>
    <row r="662" spans="1:11" x14ac:dyDescent="0.3">
      <c r="A662" s="5" t="s">
        <v>44</v>
      </c>
      <c r="B662" s="6">
        <v>40255</v>
      </c>
      <c r="C662" s="5">
        <v>12</v>
      </c>
      <c r="D662" s="5">
        <v>3</v>
      </c>
      <c r="E662" s="5">
        <v>2010</v>
      </c>
      <c r="F662" s="5" t="s">
        <v>18</v>
      </c>
      <c r="G662" s="5" t="s">
        <v>6</v>
      </c>
      <c r="H662" s="7">
        <v>3986.58</v>
      </c>
      <c r="I662" s="7">
        <v>4509.8</v>
      </c>
      <c r="J662" s="7">
        <v>523.22000000000025</v>
      </c>
      <c r="K662" s="8">
        <v>0.13124532807569403</v>
      </c>
    </row>
    <row r="663" spans="1:11" x14ac:dyDescent="0.3">
      <c r="A663" s="5" t="s">
        <v>44</v>
      </c>
      <c r="B663" s="6">
        <v>40255</v>
      </c>
      <c r="C663" s="5">
        <v>12</v>
      </c>
      <c r="D663" s="5">
        <v>3</v>
      </c>
      <c r="E663" s="5">
        <v>2010</v>
      </c>
      <c r="F663" s="5" t="s">
        <v>19</v>
      </c>
      <c r="G663" s="5" t="s">
        <v>5</v>
      </c>
      <c r="H663" s="7">
        <v>31208.97</v>
      </c>
      <c r="I663" s="7">
        <v>35233.53</v>
      </c>
      <c r="J663" s="7">
        <v>4024.5599999999977</v>
      </c>
      <c r="K663" s="8">
        <v>0.12895523306280204</v>
      </c>
    </row>
    <row r="664" spans="1:11" x14ac:dyDescent="0.3">
      <c r="A664" s="5" t="s">
        <v>44</v>
      </c>
      <c r="B664" s="6">
        <v>40255</v>
      </c>
      <c r="C664" s="5">
        <v>12</v>
      </c>
      <c r="D664" s="5">
        <v>3</v>
      </c>
      <c r="E664" s="5">
        <v>2010</v>
      </c>
      <c r="F664" s="5" t="s">
        <v>5</v>
      </c>
      <c r="G664" s="5" t="s">
        <v>5</v>
      </c>
      <c r="H664" s="7">
        <v>147872.76</v>
      </c>
      <c r="I664" s="7">
        <v>152577.91</v>
      </c>
      <c r="J664" s="7">
        <v>4705.1499999999942</v>
      </c>
      <c r="K664" s="8">
        <v>3.1818909716705049E-2</v>
      </c>
    </row>
    <row r="665" spans="1:11" x14ac:dyDescent="0.3">
      <c r="A665" s="5" t="s">
        <v>44</v>
      </c>
      <c r="B665" s="6">
        <v>40255</v>
      </c>
      <c r="C665" s="5">
        <v>12</v>
      </c>
      <c r="D665" s="5">
        <v>3</v>
      </c>
      <c r="E665" s="5">
        <v>2010</v>
      </c>
      <c r="F665" s="5" t="s">
        <v>20</v>
      </c>
      <c r="G665" s="5" t="s">
        <v>5</v>
      </c>
      <c r="H665" s="7">
        <v>25436.34</v>
      </c>
      <c r="I665" s="7">
        <v>28015.59</v>
      </c>
      <c r="J665" s="7">
        <v>2579.25</v>
      </c>
      <c r="K665" s="8">
        <v>0.10140020144407567</v>
      </c>
    </row>
    <row r="666" spans="1:11" x14ac:dyDescent="0.3">
      <c r="A666" s="5" t="s">
        <v>44</v>
      </c>
      <c r="B666" s="6">
        <v>40255</v>
      </c>
      <c r="C666" s="5">
        <v>12</v>
      </c>
      <c r="D666" s="5">
        <v>3</v>
      </c>
      <c r="E666" s="5">
        <v>2010</v>
      </c>
      <c r="F666" s="5" t="s">
        <v>21</v>
      </c>
      <c r="G666" s="5" t="s">
        <v>5</v>
      </c>
      <c r="H666" s="7">
        <v>42772.15</v>
      </c>
      <c r="I666" s="7">
        <v>45587.41</v>
      </c>
      <c r="J666" s="7">
        <v>2815.260000000002</v>
      </c>
      <c r="K666" s="8">
        <v>6.5819931894936359E-2</v>
      </c>
    </row>
    <row r="667" spans="1:11" x14ac:dyDescent="0.3">
      <c r="A667" s="5" t="s">
        <v>44</v>
      </c>
      <c r="B667" s="6">
        <v>40255</v>
      </c>
      <c r="C667" s="5">
        <v>12</v>
      </c>
      <c r="D667" s="5">
        <v>3</v>
      </c>
      <c r="E667" s="5">
        <v>2010</v>
      </c>
      <c r="F667" s="5" t="s">
        <v>22</v>
      </c>
      <c r="G667" s="5" t="s">
        <v>8</v>
      </c>
      <c r="H667" s="7">
        <v>119602.5</v>
      </c>
      <c r="I667" s="7">
        <v>130017.92</v>
      </c>
      <c r="J667" s="7">
        <v>10415.419999999998</v>
      </c>
      <c r="K667" s="8">
        <v>8.7083631195000094E-2</v>
      </c>
    </row>
    <row r="668" spans="1:11" x14ac:dyDescent="0.3">
      <c r="A668" s="5" t="s">
        <v>44</v>
      </c>
      <c r="B668" s="6">
        <v>40255</v>
      </c>
      <c r="C668" s="5">
        <v>12</v>
      </c>
      <c r="D668" s="5">
        <v>3</v>
      </c>
      <c r="E668" s="5">
        <v>2010</v>
      </c>
      <c r="F668" s="5" t="s">
        <v>23</v>
      </c>
      <c r="G668" s="5" t="s">
        <v>8</v>
      </c>
      <c r="H668" s="7">
        <v>33300.9</v>
      </c>
      <c r="I668" s="7">
        <v>35357.01</v>
      </c>
      <c r="J668" s="7">
        <v>2056.1100000000006</v>
      </c>
      <c r="K668" s="8">
        <v>6.1743376305144919E-2</v>
      </c>
    </row>
    <row r="669" spans="1:11" x14ac:dyDescent="0.3">
      <c r="A669" s="5" t="s">
        <v>44</v>
      </c>
      <c r="B669" s="6">
        <v>40255</v>
      </c>
      <c r="C669" s="5">
        <v>12</v>
      </c>
      <c r="D669" s="5">
        <v>3</v>
      </c>
      <c r="E669" s="5">
        <v>2010</v>
      </c>
      <c r="F669" s="5" t="s">
        <v>24</v>
      </c>
      <c r="G669" s="5" t="s">
        <v>8</v>
      </c>
      <c r="H669" s="7">
        <v>38101.49</v>
      </c>
      <c r="I669" s="7">
        <v>40833.800000000003</v>
      </c>
      <c r="J669" s="7">
        <v>2732.3100000000049</v>
      </c>
      <c r="K669" s="8">
        <v>7.1711368767993194E-2</v>
      </c>
    </row>
    <row r="670" spans="1:11" x14ac:dyDescent="0.3">
      <c r="A670" s="5" t="s">
        <v>44</v>
      </c>
      <c r="B670" s="6">
        <v>40255</v>
      </c>
      <c r="C670" s="5">
        <v>12</v>
      </c>
      <c r="D670" s="5">
        <v>3</v>
      </c>
      <c r="E670" s="5">
        <v>2010</v>
      </c>
      <c r="F670" s="5" t="s">
        <v>27</v>
      </c>
      <c r="G670" s="5" t="s">
        <v>10</v>
      </c>
      <c r="H670" s="7">
        <v>343.2</v>
      </c>
      <c r="I670" s="7">
        <v>394.77</v>
      </c>
      <c r="J670" s="7">
        <v>51.569999999999993</v>
      </c>
      <c r="K670" s="8">
        <v>0.15026223776223774</v>
      </c>
    </row>
    <row r="671" spans="1:11" x14ac:dyDescent="0.3">
      <c r="A671" s="5" t="s">
        <v>44</v>
      </c>
      <c r="B671" s="6">
        <v>40255</v>
      </c>
      <c r="C671" s="5">
        <v>12</v>
      </c>
      <c r="D671" s="5">
        <v>3</v>
      </c>
      <c r="E671" s="5">
        <v>2010</v>
      </c>
      <c r="F671" s="5" t="s">
        <v>29</v>
      </c>
      <c r="G671" s="5" t="s">
        <v>10</v>
      </c>
      <c r="H671" s="7">
        <v>50068.68</v>
      </c>
      <c r="I671" s="7">
        <v>54709.73</v>
      </c>
      <c r="J671" s="7">
        <v>4641.0500000000029</v>
      </c>
      <c r="K671" s="8">
        <v>9.2693675966692216E-2</v>
      </c>
    </row>
    <row r="672" spans="1:11" x14ac:dyDescent="0.3">
      <c r="A672" s="5" t="s">
        <v>44</v>
      </c>
      <c r="B672" s="6">
        <v>40255</v>
      </c>
      <c r="C672" s="5">
        <v>12</v>
      </c>
      <c r="D672" s="5">
        <v>3</v>
      </c>
      <c r="E672" s="5">
        <v>2010</v>
      </c>
      <c r="F672" s="5" t="s">
        <v>30</v>
      </c>
      <c r="G672" s="5" t="s">
        <v>10</v>
      </c>
      <c r="H672" s="7">
        <v>7339.76</v>
      </c>
      <c r="I672" s="7">
        <v>8376.85</v>
      </c>
      <c r="J672" s="7">
        <v>1037.0900000000001</v>
      </c>
      <c r="K672" s="8">
        <v>0.14129753561424355</v>
      </c>
    </row>
    <row r="673" spans="1:11" x14ac:dyDescent="0.3">
      <c r="A673" s="5" t="s">
        <v>44</v>
      </c>
      <c r="B673" s="6">
        <v>40255</v>
      </c>
      <c r="C673" s="5">
        <v>12</v>
      </c>
      <c r="D673" s="5">
        <v>3</v>
      </c>
      <c r="E673" s="5">
        <v>2010</v>
      </c>
      <c r="F673" s="5" t="s">
        <v>9</v>
      </c>
      <c r="G673" s="5" t="s">
        <v>9</v>
      </c>
      <c r="H673" s="7">
        <v>39315.24</v>
      </c>
      <c r="I673" s="7">
        <v>43646.17</v>
      </c>
      <c r="J673" s="7">
        <v>4330.93</v>
      </c>
      <c r="K673" s="8">
        <v>0.11015906299948826</v>
      </c>
    </row>
    <row r="674" spans="1:11" x14ac:dyDescent="0.3">
      <c r="A674" s="5" t="s">
        <v>44</v>
      </c>
      <c r="B674" s="6">
        <v>40255</v>
      </c>
      <c r="C674" s="5">
        <v>12</v>
      </c>
      <c r="D674" s="5">
        <v>3</v>
      </c>
      <c r="E674" s="5">
        <v>2010</v>
      </c>
      <c r="F674" s="5" t="s">
        <v>33</v>
      </c>
      <c r="G674" s="5" t="s">
        <v>7</v>
      </c>
      <c r="H674" s="7">
        <v>5332.82</v>
      </c>
      <c r="I674" s="7">
        <v>7951.72</v>
      </c>
      <c r="J674" s="7">
        <v>2618.9000000000005</v>
      </c>
      <c r="K674" s="8">
        <v>0.49109101751043549</v>
      </c>
    </row>
    <row r="675" spans="1:11" x14ac:dyDescent="0.3">
      <c r="A675" s="5" t="s">
        <v>44</v>
      </c>
      <c r="B675" s="6">
        <v>40255</v>
      </c>
      <c r="C675" s="5">
        <v>12</v>
      </c>
      <c r="D675" s="5">
        <v>3</v>
      </c>
      <c r="E675" s="5">
        <v>2010</v>
      </c>
      <c r="F675" s="5" t="s">
        <v>35</v>
      </c>
      <c r="G675" s="5" t="s">
        <v>11</v>
      </c>
      <c r="H675" s="7">
        <v>1815</v>
      </c>
      <c r="I675" s="7">
        <v>2032.74</v>
      </c>
      <c r="J675" s="7">
        <v>217.74</v>
      </c>
      <c r="K675" s="8">
        <v>0.11996694214876033</v>
      </c>
    </row>
    <row r="676" spans="1:11" x14ac:dyDescent="0.3">
      <c r="A676" s="5" t="s">
        <v>44</v>
      </c>
      <c r="B676" s="6">
        <v>40255</v>
      </c>
      <c r="C676" s="5">
        <v>12</v>
      </c>
      <c r="D676" s="5">
        <v>3</v>
      </c>
      <c r="E676" s="5">
        <v>2010</v>
      </c>
      <c r="F676" s="5" t="s">
        <v>36</v>
      </c>
      <c r="G676" s="5" t="s">
        <v>11</v>
      </c>
      <c r="H676" s="7">
        <v>13407.82</v>
      </c>
      <c r="I676" s="7">
        <v>14931.3</v>
      </c>
      <c r="J676" s="7">
        <v>1523.4799999999996</v>
      </c>
      <c r="K676" s="8">
        <v>0.11362622708240412</v>
      </c>
    </row>
    <row r="677" spans="1:11" x14ac:dyDescent="0.3">
      <c r="A677" s="5" t="s">
        <v>44</v>
      </c>
      <c r="B677" s="6">
        <v>40255</v>
      </c>
      <c r="C677" s="5">
        <v>12</v>
      </c>
      <c r="D677" s="5">
        <v>3</v>
      </c>
      <c r="E677" s="5">
        <v>2010</v>
      </c>
      <c r="F677" s="5" t="s">
        <v>37</v>
      </c>
      <c r="G677" s="5" t="s">
        <v>11</v>
      </c>
      <c r="H677" s="7">
        <v>39835.67</v>
      </c>
      <c r="I677" s="7">
        <v>41159.230000000003</v>
      </c>
      <c r="J677" s="7">
        <v>1323.5600000000049</v>
      </c>
      <c r="K677" s="8">
        <v>3.322549865484891E-2</v>
      </c>
    </row>
    <row r="678" spans="1:11" x14ac:dyDescent="0.3">
      <c r="A678" s="5" t="s">
        <v>44</v>
      </c>
      <c r="B678" s="6">
        <v>40255</v>
      </c>
      <c r="C678" s="5">
        <v>12</v>
      </c>
      <c r="D678" s="5">
        <v>3</v>
      </c>
      <c r="E678" s="5">
        <v>2010</v>
      </c>
      <c r="F678" s="5" t="s">
        <v>38</v>
      </c>
      <c r="G678" s="5" t="s">
        <v>11</v>
      </c>
      <c r="H678" s="7">
        <v>51306.09</v>
      </c>
      <c r="I678" s="7">
        <v>53121.39</v>
      </c>
      <c r="J678" s="7">
        <v>1815.3000000000029</v>
      </c>
      <c r="K678" s="8">
        <v>3.5381764620925175E-2</v>
      </c>
    </row>
    <row r="679" spans="1:11" x14ac:dyDescent="0.3">
      <c r="A679" s="5" t="s">
        <v>44</v>
      </c>
      <c r="B679" s="6">
        <v>40256</v>
      </c>
      <c r="C679" s="5">
        <v>12</v>
      </c>
      <c r="D679" s="5">
        <v>3</v>
      </c>
      <c r="E679" s="5">
        <v>2010</v>
      </c>
      <c r="F679" s="5" t="s">
        <v>14</v>
      </c>
      <c r="G679" s="5" t="s">
        <v>6</v>
      </c>
      <c r="H679" s="7">
        <v>468</v>
      </c>
      <c r="I679" s="7">
        <v>584.96</v>
      </c>
      <c r="J679" s="7">
        <v>116.96000000000004</v>
      </c>
      <c r="K679" s="8">
        <v>0.24991452991453</v>
      </c>
    </row>
    <row r="680" spans="1:11" x14ac:dyDescent="0.3">
      <c r="A680" s="5" t="s">
        <v>44</v>
      </c>
      <c r="B680" s="6">
        <v>40256</v>
      </c>
      <c r="C680" s="5">
        <v>12</v>
      </c>
      <c r="D680" s="5">
        <v>3</v>
      </c>
      <c r="E680" s="5">
        <v>2010</v>
      </c>
      <c r="F680" s="5" t="s">
        <v>15</v>
      </c>
      <c r="G680" s="5" t="s">
        <v>6</v>
      </c>
      <c r="H680" s="7">
        <v>21618.43</v>
      </c>
      <c r="I680" s="7">
        <v>26182.85</v>
      </c>
      <c r="J680" s="7">
        <v>4564.4199999999983</v>
      </c>
      <c r="K680" s="8">
        <v>0.21113559125246367</v>
      </c>
    </row>
    <row r="681" spans="1:11" x14ac:dyDescent="0.3">
      <c r="A681" s="5" t="s">
        <v>44</v>
      </c>
      <c r="B681" s="6">
        <v>40256</v>
      </c>
      <c r="C681" s="5">
        <v>12</v>
      </c>
      <c r="D681" s="5">
        <v>3</v>
      </c>
      <c r="E681" s="5">
        <v>2010</v>
      </c>
      <c r="F681" s="5" t="s">
        <v>16</v>
      </c>
      <c r="G681" s="5" t="s">
        <v>6</v>
      </c>
      <c r="H681" s="7">
        <v>23137.08</v>
      </c>
      <c r="I681" s="7">
        <v>26639.14</v>
      </c>
      <c r="J681" s="7">
        <v>3502.0599999999977</v>
      </c>
      <c r="K681" s="8">
        <v>0.15136136452828089</v>
      </c>
    </row>
    <row r="682" spans="1:11" x14ac:dyDescent="0.3">
      <c r="A682" s="5" t="s">
        <v>44</v>
      </c>
      <c r="B682" s="6">
        <v>40256</v>
      </c>
      <c r="C682" s="5">
        <v>12</v>
      </c>
      <c r="D682" s="5">
        <v>3</v>
      </c>
      <c r="E682" s="5">
        <v>2010</v>
      </c>
      <c r="F682" s="5" t="s">
        <v>17</v>
      </c>
      <c r="G682" s="5" t="s">
        <v>6</v>
      </c>
      <c r="H682" s="7">
        <v>810</v>
      </c>
      <c r="I682" s="7">
        <v>826.66</v>
      </c>
      <c r="J682" s="7">
        <v>16.659999999999968</v>
      </c>
      <c r="K682" s="8">
        <v>2.0567901234567861E-2</v>
      </c>
    </row>
    <row r="683" spans="1:11" x14ac:dyDescent="0.3">
      <c r="A683" s="5" t="s">
        <v>44</v>
      </c>
      <c r="B683" s="6">
        <v>40256</v>
      </c>
      <c r="C683" s="5">
        <v>12</v>
      </c>
      <c r="D683" s="5">
        <v>3</v>
      </c>
      <c r="E683" s="5">
        <v>2010</v>
      </c>
      <c r="F683" s="5" t="s">
        <v>18</v>
      </c>
      <c r="G683" s="5" t="s">
        <v>6</v>
      </c>
      <c r="H683" s="7">
        <v>142</v>
      </c>
      <c r="I683" s="7">
        <v>150.99</v>
      </c>
      <c r="J683" s="7">
        <v>8.9900000000000091</v>
      </c>
      <c r="K683" s="8">
        <v>6.3309859154929635E-2</v>
      </c>
    </row>
    <row r="684" spans="1:11" x14ac:dyDescent="0.3">
      <c r="A684" s="5" t="s">
        <v>44</v>
      </c>
      <c r="B684" s="6">
        <v>40256</v>
      </c>
      <c r="C684" s="5">
        <v>12</v>
      </c>
      <c r="D684" s="5">
        <v>3</v>
      </c>
      <c r="E684" s="5">
        <v>2010</v>
      </c>
      <c r="F684" s="5" t="s">
        <v>19</v>
      </c>
      <c r="G684" s="5" t="s">
        <v>5</v>
      </c>
      <c r="H684" s="7">
        <v>30193.48</v>
      </c>
      <c r="I684" s="7">
        <v>34462.5</v>
      </c>
      <c r="J684" s="7">
        <v>4269.0200000000004</v>
      </c>
      <c r="K684" s="8">
        <v>0.14138880314557978</v>
      </c>
    </row>
    <row r="685" spans="1:11" x14ac:dyDescent="0.3">
      <c r="A685" s="5" t="s">
        <v>44</v>
      </c>
      <c r="B685" s="6">
        <v>40256</v>
      </c>
      <c r="C685" s="5">
        <v>12</v>
      </c>
      <c r="D685" s="5">
        <v>3</v>
      </c>
      <c r="E685" s="5">
        <v>2010</v>
      </c>
      <c r="F685" s="5" t="s">
        <v>5</v>
      </c>
      <c r="G685" s="5" t="s">
        <v>5</v>
      </c>
      <c r="H685" s="7">
        <v>136205.81</v>
      </c>
      <c r="I685" s="7">
        <v>141237.51</v>
      </c>
      <c r="J685" s="7">
        <v>5031.7000000000116</v>
      </c>
      <c r="K685" s="8">
        <v>3.6941889630112044E-2</v>
      </c>
    </row>
    <row r="686" spans="1:11" x14ac:dyDescent="0.3">
      <c r="A686" s="5" t="s">
        <v>44</v>
      </c>
      <c r="B686" s="6">
        <v>40256</v>
      </c>
      <c r="C686" s="5">
        <v>12</v>
      </c>
      <c r="D686" s="5">
        <v>3</v>
      </c>
      <c r="E686" s="5">
        <v>2010</v>
      </c>
      <c r="F686" s="5" t="s">
        <v>20</v>
      </c>
      <c r="G686" s="5" t="s">
        <v>5</v>
      </c>
      <c r="H686" s="7">
        <v>20380.55</v>
      </c>
      <c r="I686" s="7">
        <v>22441.07</v>
      </c>
      <c r="J686" s="7">
        <v>2060.5200000000004</v>
      </c>
      <c r="K686" s="8">
        <v>0.10110227643513058</v>
      </c>
    </row>
    <row r="687" spans="1:11" x14ac:dyDescent="0.3">
      <c r="A687" s="5" t="s">
        <v>44</v>
      </c>
      <c r="B687" s="6">
        <v>40256</v>
      </c>
      <c r="C687" s="5">
        <v>12</v>
      </c>
      <c r="D687" s="5">
        <v>3</v>
      </c>
      <c r="E687" s="5">
        <v>2010</v>
      </c>
      <c r="F687" s="5" t="s">
        <v>21</v>
      </c>
      <c r="G687" s="5" t="s">
        <v>5</v>
      </c>
      <c r="H687" s="7">
        <v>36287.81</v>
      </c>
      <c r="I687" s="7">
        <v>38546.42</v>
      </c>
      <c r="J687" s="7">
        <v>2258.6100000000006</v>
      </c>
      <c r="K687" s="8">
        <v>6.2241562662502935E-2</v>
      </c>
    </row>
    <row r="688" spans="1:11" x14ac:dyDescent="0.3">
      <c r="A688" s="5" t="s">
        <v>44</v>
      </c>
      <c r="B688" s="6">
        <v>40256</v>
      </c>
      <c r="C688" s="5">
        <v>12</v>
      </c>
      <c r="D688" s="5">
        <v>3</v>
      </c>
      <c r="E688" s="5">
        <v>2010</v>
      </c>
      <c r="F688" s="5" t="s">
        <v>22</v>
      </c>
      <c r="G688" s="5" t="s">
        <v>8</v>
      </c>
      <c r="H688" s="7">
        <v>181511.5</v>
      </c>
      <c r="I688" s="7">
        <v>192893.3</v>
      </c>
      <c r="J688" s="7">
        <v>11381.799999999988</v>
      </c>
      <c r="K688" s="8">
        <v>6.270566878682611E-2</v>
      </c>
    </row>
    <row r="689" spans="1:11" x14ac:dyDescent="0.3">
      <c r="A689" s="5" t="s">
        <v>44</v>
      </c>
      <c r="B689" s="6">
        <v>40256</v>
      </c>
      <c r="C689" s="5">
        <v>12</v>
      </c>
      <c r="D689" s="5">
        <v>3</v>
      </c>
      <c r="E689" s="5">
        <v>2010</v>
      </c>
      <c r="F689" s="5" t="s">
        <v>23</v>
      </c>
      <c r="G689" s="5" t="s">
        <v>8</v>
      </c>
      <c r="H689" s="7">
        <v>39589.81</v>
      </c>
      <c r="I689" s="7">
        <v>42043.02</v>
      </c>
      <c r="J689" s="7">
        <v>2453.2099999999991</v>
      </c>
      <c r="K689" s="8">
        <v>6.1965692687082845E-2</v>
      </c>
    </row>
    <row r="690" spans="1:11" x14ac:dyDescent="0.3">
      <c r="A690" s="5" t="s">
        <v>44</v>
      </c>
      <c r="B690" s="6">
        <v>40256</v>
      </c>
      <c r="C690" s="5">
        <v>12</v>
      </c>
      <c r="D690" s="5">
        <v>3</v>
      </c>
      <c r="E690" s="5">
        <v>2010</v>
      </c>
      <c r="F690" s="5" t="s">
        <v>24</v>
      </c>
      <c r="G690" s="5" t="s">
        <v>8</v>
      </c>
      <c r="H690" s="7">
        <v>49758.5</v>
      </c>
      <c r="I690" s="7">
        <v>52030.41</v>
      </c>
      <c r="J690" s="7">
        <v>2271.9100000000035</v>
      </c>
      <c r="K690" s="8">
        <v>4.5658731673985417E-2</v>
      </c>
    </row>
    <row r="691" spans="1:11" x14ac:dyDescent="0.3">
      <c r="A691" s="5" t="s">
        <v>44</v>
      </c>
      <c r="B691" s="6">
        <v>40256</v>
      </c>
      <c r="C691" s="5">
        <v>12</v>
      </c>
      <c r="D691" s="5">
        <v>3</v>
      </c>
      <c r="E691" s="5">
        <v>2010</v>
      </c>
      <c r="F691" s="5" t="s">
        <v>27</v>
      </c>
      <c r="G691" s="5" t="s">
        <v>10</v>
      </c>
      <c r="H691" s="7">
        <v>818.36</v>
      </c>
      <c r="I691" s="7">
        <v>941.21</v>
      </c>
      <c r="J691" s="7">
        <v>122.85000000000002</v>
      </c>
      <c r="K691" s="8">
        <v>0.15011730778630433</v>
      </c>
    </row>
    <row r="692" spans="1:11" x14ac:dyDescent="0.3">
      <c r="A692" s="5" t="s">
        <v>44</v>
      </c>
      <c r="B692" s="6">
        <v>40256</v>
      </c>
      <c r="C692" s="5">
        <v>12</v>
      </c>
      <c r="D692" s="5">
        <v>3</v>
      </c>
      <c r="E692" s="5">
        <v>2010</v>
      </c>
      <c r="F692" s="5" t="s">
        <v>29</v>
      </c>
      <c r="G692" s="5" t="s">
        <v>10</v>
      </c>
      <c r="H692" s="7">
        <v>45598.05</v>
      </c>
      <c r="I692" s="7">
        <v>50315.49</v>
      </c>
      <c r="J692" s="7">
        <v>4717.4399999999951</v>
      </c>
      <c r="K692" s="8">
        <v>0.10345705572935673</v>
      </c>
    </row>
    <row r="693" spans="1:11" x14ac:dyDescent="0.3">
      <c r="A693" s="5" t="s">
        <v>44</v>
      </c>
      <c r="B693" s="6">
        <v>40256</v>
      </c>
      <c r="C693" s="5">
        <v>12</v>
      </c>
      <c r="D693" s="5">
        <v>3</v>
      </c>
      <c r="E693" s="5">
        <v>2010</v>
      </c>
      <c r="F693" s="5" t="s">
        <v>30</v>
      </c>
      <c r="G693" s="5" t="s">
        <v>10</v>
      </c>
      <c r="H693" s="7">
        <v>6348.74</v>
      </c>
      <c r="I693" s="7">
        <v>7202.58</v>
      </c>
      <c r="J693" s="7">
        <v>853.84000000000015</v>
      </c>
      <c r="K693" s="8">
        <v>0.13448967826686872</v>
      </c>
    </row>
    <row r="694" spans="1:11" x14ac:dyDescent="0.3">
      <c r="A694" s="5" t="s">
        <v>44</v>
      </c>
      <c r="B694" s="6">
        <v>40256</v>
      </c>
      <c r="C694" s="5">
        <v>12</v>
      </c>
      <c r="D694" s="5">
        <v>3</v>
      </c>
      <c r="E694" s="5">
        <v>2010</v>
      </c>
      <c r="F694" s="5" t="s">
        <v>9</v>
      </c>
      <c r="G694" s="5" t="s">
        <v>9</v>
      </c>
      <c r="H694" s="7">
        <v>23922.43</v>
      </c>
      <c r="I694" s="7">
        <v>26688.7</v>
      </c>
      <c r="J694" s="7">
        <v>2766.2700000000004</v>
      </c>
      <c r="K694" s="8">
        <v>0.11563499193016764</v>
      </c>
    </row>
    <row r="695" spans="1:11" x14ac:dyDescent="0.3">
      <c r="A695" s="5" t="s">
        <v>44</v>
      </c>
      <c r="B695" s="6">
        <v>40256</v>
      </c>
      <c r="C695" s="5">
        <v>12</v>
      </c>
      <c r="D695" s="5">
        <v>3</v>
      </c>
      <c r="E695" s="5">
        <v>2010</v>
      </c>
      <c r="F695" s="5" t="s">
        <v>33</v>
      </c>
      <c r="G695" s="5" t="s">
        <v>7</v>
      </c>
      <c r="H695" s="7">
        <v>2377</v>
      </c>
      <c r="I695" s="7">
        <v>4533.05</v>
      </c>
      <c r="J695" s="7">
        <v>2156.0500000000002</v>
      </c>
      <c r="K695" s="8">
        <v>0.90704669751787981</v>
      </c>
    </row>
    <row r="696" spans="1:11" x14ac:dyDescent="0.3">
      <c r="A696" s="5" t="s">
        <v>44</v>
      </c>
      <c r="B696" s="6">
        <v>40256</v>
      </c>
      <c r="C696" s="5">
        <v>12</v>
      </c>
      <c r="D696" s="5">
        <v>3</v>
      </c>
      <c r="E696" s="5">
        <v>2010</v>
      </c>
      <c r="F696" s="5" t="s">
        <v>35</v>
      </c>
      <c r="G696" s="5" t="s">
        <v>11</v>
      </c>
      <c r="H696" s="7">
        <v>1333</v>
      </c>
      <c r="I696" s="7">
        <v>1492.91</v>
      </c>
      <c r="J696" s="7">
        <v>159.91000000000008</v>
      </c>
      <c r="K696" s="8">
        <v>0.11996249062265572</v>
      </c>
    </row>
    <row r="697" spans="1:11" x14ac:dyDescent="0.3">
      <c r="A697" s="5" t="s">
        <v>44</v>
      </c>
      <c r="B697" s="6">
        <v>40256</v>
      </c>
      <c r="C697" s="5">
        <v>12</v>
      </c>
      <c r="D697" s="5">
        <v>3</v>
      </c>
      <c r="E697" s="5">
        <v>2010</v>
      </c>
      <c r="F697" s="5" t="s">
        <v>36</v>
      </c>
      <c r="G697" s="5" t="s">
        <v>11</v>
      </c>
      <c r="H697" s="7">
        <v>18964.78</v>
      </c>
      <c r="I697" s="7">
        <v>21126.400000000001</v>
      </c>
      <c r="J697" s="7">
        <v>2161.6200000000026</v>
      </c>
      <c r="K697" s="8">
        <v>0.1139807580156481</v>
      </c>
    </row>
    <row r="698" spans="1:11" x14ac:dyDescent="0.3">
      <c r="A698" s="5" t="s">
        <v>44</v>
      </c>
      <c r="B698" s="6">
        <v>40256</v>
      </c>
      <c r="C698" s="5">
        <v>12</v>
      </c>
      <c r="D698" s="5">
        <v>3</v>
      </c>
      <c r="E698" s="5">
        <v>2010</v>
      </c>
      <c r="F698" s="5" t="s">
        <v>37</v>
      </c>
      <c r="G698" s="5" t="s">
        <v>11</v>
      </c>
      <c r="H698" s="7">
        <v>40353.25</v>
      </c>
      <c r="I698" s="7">
        <v>36793.440000000002</v>
      </c>
      <c r="J698" s="7">
        <v>-3559.8099999999977</v>
      </c>
      <c r="K698" s="8">
        <v>-8.8216190765303848E-2</v>
      </c>
    </row>
    <row r="699" spans="1:11" x14ac:dyDescent="0.3">
      <c r="A699" s="5" t="s">
        <v>44</v>
      </c>
      <c r="B699" s="6">
        <v>40256</v>
      </c>
      <c r="C699" s="5">
        <v>12</v>
      </c>
      <c r="D699" s="5">
        <v>3</v>
      </c>
      <c r="E699" s="5">
        <v>2010</v>
      </c>
      <c r="F699" s="5" t="s">
        <v>38</v>
      </c>
      <c r="G699" s="5" t="s">
        <v>11</v>
      </c>
      <c r="H699" s="7">
        <v>63567</v>
      </c>
      <c r="I699" s="7">
        <v>64341.57</v>
      </c>
      <c r="J699" s="7">
        <v>774.56999999999971</v>
      </c>
      <c r="K699" s="8">
        <v>1.2185096040398316E-2</v>
      </c>
    </row>
    <row r="700" spans="1:11" x14ac:dyDescent="0.3">
      <c r="A700" s="5" t="s">
        <v>44</v>
      </c>
      <c r="B700" s="6">
        <v>40257</v>
      </c>
      <c r="C700" s="5">
        <v>12</v>
      </c>
      <c r="D700" s="5">
        <v>3</v>
      </c>
      <c r="E700" s="5">
        <v>2010</v>
      </c>
      <c r="F700" s="5" t="s">
        <v>14</v>
      </c>
      <c r="G700" s="5" t="s">
        <v>6</v>
      </c>
      <c r="H700" s="7">
        <v>520</v>
      </c>
      <c r="I700" s="7">
        <v>649.86</v>
      </c>
      <c r="J700" s="7">
        <v>129.86000000000001</v>
      </c>
      <c r="K700" s="8">
        <v>0.24973076923076926</v>
      </c>
    </row>
    <row r="701" spans="1:11" x14ac:dyDescent="0.3">
      <c r="A701" s="5" t="s">
        <v>44</v>
      </c>
      <c r="B701" s="6">
        <v>40257</v>
      </c>
      <c r="C701" s="5">
        <v>12</v>
      </c>
      <c r="D701" s="5">
        <v>3</v>
      </c>
      <c r="E701" s="5">
        <v>2010</v>
      </c>
      <c r="F701" s="5" t="s">
        <v>15</v>
      </c>
      <c r="G701" s="5" t="s">
        <v>6</v>
      </c>
      <c r="H701" s="7">
        <v>29805.040000000001</v>
      </c>
      <c r="I701" s="7">
        <v>36562.910000000003</v>
      </c>
      <c r="J701" s="7">
        <v>6757.8700000000026</v>
      </c>
      <c r="K701" s="8">
        <v>0.22673581380867136</v>
      </c>
    </row>
    <row r="702" spans="1:11" x14ac:dyDescent="0.3">
      <c r="A702" s="5" t="s">
        <v>44</v>
      </c>
      <c r="B702" s="6">
        <v>40257</v>
      </c>
      <c r="C702" s="5">
        <v>12</v>
      </c>
      <c r="D702" s="5">
        <v>3</v>
      </c>
      <c r="E702" s="5">
        <v>2010</v>
      </c>
      <c r="F702" s="5" t="s">
        <v>16</v>
      </c>
      <c r="G702" s="5" t="s">
        <v>6</v>
      </c>
      <c r="H702" s="7">
        <v>40558.230000000003</v>
      </c>
      <c r="I702" s="7">
        <v>46675.31</v>
      </c>
      <c r="J702" s="7">
        <v>6117.0799999999945</v>
      </c>
      <c r="K702" s="8">
        <v>0.15082216359047212</v>
      </c>
    </row>
    <row r="703" spans="1:11" x14ac:dyDescent="0.3">
      <c r="A703" s="5" t="s">
        <v>44</v>
      </c>
      <c r="B703" s="6">
        <v>40257</v>
      </c>
      <c r="C703" s="5">
        <v>12</v>
      </c>
      <c r="D703" s="5">
        <v>3</v>
      </c>
      <c r="E703" s="5">
        <v>2010</v>
      </c>
      <c r="F703" s="5" t="s">
        <v>18</v>
      </c>
      <c r="G703" s="5" t="s">
        <v>6</v>
      </c>
      <c r="H703" s="7">
        <v>746</v>
      </c>
      <c r="I703" s="7">
        <v>782.86</v>
      </c>
      <c r="J703" s="7">
        <v>36.860000000000014</v>
      </c>
      <c r="K703" s="8">
        <v>4.9410187667560342E-2</v>
      </c>
    </row>
    <row r="704" spans="1:11" x14ac:dyDescent="0.3">
      <c r="A704" s="5" t="s">
        <v>44</v>
      </c>
      <c r="B704" s="6">
        <v>40257</v>
      </c>
      <c r="C704" s="5">
        <v>12</v>
      </c>
      <c r="D704" s="5">
        <v>3</v>
      </c>
      <c r="E704" s="5">
        <v>2010</v>
      </c>
      <c r="F704" s="5" t="s">
        <v>19</v>
      </c>
      <c r="G704" s="5" t="s">
        <v>5</v>
      </c>
      <c r="H704" s="7">
        <v>63494.17</v>
      </c>
      <c r="I704" s="7">
        <v>72080.490000000005</v>
      </c>
      <c r="J704" s="7">
        <v>8586.320000000007</v>
      </c>
      <c r="K704" s="8">
        <v>0.13523005340490327</v>
      </c>
    </row>
    <row r="705" spans="1:11" x14ac:dyDescent="0.3">
      <c r="A705" s="5" t="s">
        <v>44</v>
      </c>
      <c r="B705" s="6">
        <v>40257</v>
      </c>
      <c r="C705" s="5">
        <v>12</v>
      </c>
      <c r="D705" s="5">
        <v>3</v>
      </c>
      <c r="E705" s="5">
        <v>2010</v>
      </c>
      <c r="F705" s="5" t="s">
        <v>5</v>
      </c>
      <c r="G705" s="5" t="s">
        <v>5</v>
      </c>
      <c r="H705" s="7">
        <v>210915.72</v>
      </c>
      <c r="I705" s="7">
        <v>222880.07</v>
      </c>
      <c r="J705" s="7">
        <v>11964.350000000006</v>
      </c>
      <c r="K705" s="8">
        <v>5.6725738603078071E-2</v>
      </c>
    </row>
    <row r="706" spans="1:11" x14ac:dyDescent="0.3">
      <c r="A706" s="5" t="s">
        <v>44</v>
      </c>
      <c r="B706" s="6">
        <v>40257</v>
      </c>
      <c r="C706" s="5">
        <v>12</v>
      </c>
      <c r="D706" s="5">
        <v>3</v>
      </c>
      <c r="E706" s="5">
        <v>2010</v>
      </c>
      <c r="F706" s="5" t="s">
        <v>20</v>
      </c>
      <c r="G706" s="5" t="s">
        <v>5</v>
      </c>
      <c r="H706" s="7">
        <v>52300.34</v>
      </c>
      <c r="I706" s="7">
        <v>57547.31</v>
      </c>
      <c r="J706" s="7">
        <v>5246.9700000000012</v>
      </c>
      <c r="K706" s="8">
        <v>0.10032382198662573</v>
      </c>
    </row>
    <row r="707" spans="1:11" x14ac:dyDescent="0.3">
      <c r="A707" s="5" t="s">
        <v>44</v>
      </c>
      <c r="B707" s="6">
        <v>40257</v>
      </c>
      <c r="C707" s="5">
        <v>12</v>
      </c>
      <c r="D707" s="5">
        <v>3</v>
      </c>
      <c r="E707" s="5">
        <v>2010</v>
      </c>
      <c r="F707" s="5" t="s">
        <v>21</v>
      </c>
      <c r="G707" s="5" t="s">
        <v>5</v>
      </c>
      <c r="H707" s="7">
        <v>68094.53</v>
      </c>
      <c r="I707" s="7">
        <v>72438.41</v>
      </c>
      <c r="J707" s="7">
        <v>4343.8800000000047</v>
      </c>
      <c r="K707" s="8">
        <v>6.3791908101869632E-2</v>
      </c>
    </row>
    <row r="708" spans="1:11" x14ac:dyDescent="0.3">
      <c r="A708" s="5" t="s">
        <v>44</v>
      </c>
      <c r="B708" s="6">
        <v>40257</v>
      </c>
      <c r="C708" s="5">
        <v>12</v>
      </c>
      <c r="D708" s="5">
        <v>3</v>
      </c>
      <c r="E708" s="5">
        <v>2010</v>
      </c>
      <c r="F708" s="5" t="s">
        <v>22</v>
      </c>
      <c r="G708" s="5" t="s">
        <v>8</v>
      </c>
      <c r="H708" s="7">
        <v>211193.55</v>
      </c>
      <c r="I708" s="7">
        <v>223778.07</v>
      </c>
      <c r="J708" s="7">
        <v>12584.520000000019</v>
      </c>
      <c r="K708" s="8">
        <v>5.9587615246772543E-2</v>
      </c>
    </row>
    <row r="709" spans="1:11" x14ac:dyDescent="0.3">
      <c r="A709" s="5" t="s">
        <v>44</v>
      </c>
      <c r="B709" s="6">
        <v>40257</v>
      </c>
      <c r="C709" s="5">
        <v>12</v>
      </c>
      <c r="D709" s="5">
        <v>3</v>
      </c>
      <c r="E709" s="5">
        <v>2010</v>
      </c>
      <c r="F709" s="5" t="s">
        <v>23</v>
      </c>
      <c r="G709" s="5" t="s">
        <v>8</v>
      </c>
      <c r="H709" s="7">
        <v>71975</v>
      </c>
      <c r="I709" s="7">
        <v>75998.740000000005</v>
      </c>
      <c r="J709" s="7">
        <v>4023.7400000000052</v>
      </c>
      <c r="K709" s="8">
        <v>5.5904689128169573E-2</v>
      </c>
    </row>
    <row r="710" spans="1:11" x14ac:dyDescent="0.3">
      <c r="A710" s="5" t="s">
        <v>44</v>
      </c>
      <c r="B710" s="6">
        <v>40257</v>
      </c>
      <c r="C710" s="5">
        <v>12</v>
      </c>
      <c r="D710" s="5">
        <v>3</v>
      </c>
      <c r="E710" s="5">
        <v>2010</v>
      </c>
      <c r="F710" s="5" t="s">
        <v>24</v>
      </c>
      <c r="G710" s="5" t="s">
        <v>8</v>
      </c>
      <c r="H710" s="7">
        <v>37547.49</v>
      </c>
      <c r="I710" s="7">
        <v>40710.129999999997</v>
      </c>
      <c r="J710" s="7">
        <v>3162.6399999999994</v>
      </c>
      <c r="K710" s="8">
        <v>8.4230397291536654E-2</v>
      </c>
    </row>
    <row r="711" spans="1:11" x14ac:dyDescent="0.3">
      <c r="A711" s="5" t="s">
        <v>44</v>
      </c>
      <c r="B711" s="6">
        <v>40257</v>
      </c>
      <c r="C711" s="5">
        <v>12</v>
      </c>
      <c r="D711" s="5">
        <v>3</v>
      </c>
      <c r="E711" s="5">
        <v>2010</v>
      </c>
      <c r="F711" s="5" t="s">
        <v>27</v>
      </c>
      <c r="G711" s="5" t="s">
        <v>10</v>
      </c>
      <c r="H711" s="7">
        <v>8602.86</v>
      </c>
      <c r="I711" s="7">
        <v>9891.59</v>
      </c>
      <c r="J711" s="7">
        <v>1288.7299999999996</v>
      </c>
      <c r="K711" s="8">
        <v>0.14980250753819072</v>
      </c>
    </row>
    <row r="712" spans="1:11" x14ac:dyDescent="0.3">
      <c r="A712" s="5" t="s">
        <v>44</v>
      </c>
      <c r="B712" s="6">
        <v>40257</v>
      </c>
      <c r="C712" s="5">
        <v>12</v>
      </c>
      <c r="D712" s="5">
        <v>3</v>
      </c>
      <c r="E712" s="5">
        <v>2010</v>
      </c>
      <c r="F712" s="5" t="s">
        <v>29</v>
      </c>
      <c r="G712" s="5" t="s">
        <v>10</v>
      </c>
      <c r="H712" s="7">
        <v>81350</v>
      </c>
      <c r="I712" s="7">
        <v>88720.69</v>
      </c>
      <c r="J712" s="7">
        <v>7370.6900000000023</v>
      </c>
      <c r="K712" s="8">
        <v>9.0604671173939791E-2</v>
      </c>
    </row>
    <row r="713" spans="1:11" x14ac:dyDescent="0.3">
      <c r="A713" s="5" t="s">
        <v>44</v>
      </c>
      <c r="B713" s="6">
        <v>40257</v>
      </c>
      <c r="C713" s="5">
        <v>12</v>
      </c>
      <c r="D713" s="5">
        <v>3</v>
      </c>
      <c r="E713" s="5">
        <v>2010</v>
      </c>
      <c r="F713" s="5" t="s">
        <v>30</v>
      </c>
      <c r="G713" s="5" t="s">
        <v>10</v>
      </c>
      <c r="H713" s="7">
        <v>13850.9</v>
      </c>
      <c r="I713" s="7">
        <v>15677.06</v>
      </c>
      <c r="J713" s="7">
        <v>1826.1599999999999</v>
      </c>
      <c r="K713" s="8">
        <v>0.13184414009197959</v>
      </c>
    </row>
    <row r="714" spans="1:11" x14ac:dyDescent="0.3">
      <c r="A714" s="5" t="s">
        <v>44</v>
      </c>
      <c r="B714" s="6">
        <v>40257</v>
      </c>
      <c r="C714" s="5">
        <v>12</v>
      </c>
      <c r="D714" s="5">
        <v>3</v>
      </c>
      <c r="E714" s="5">
        <v>2010</v>
      </c>
      <c r="F714" s="5" t="s">
        <v>9</v>
      </c>
      <c r="G714" s="5" t="s">
        <v>9</v>
      </c>
      <c r="H714" s="7">
        <v>42331.75</v>
      </c>
      <c r="I714" s="7">
        <v>48006.12</v>
      </c>
      <c r="J714" s="7">
        <v>5674.3700000000026</v>
      </c>
      <c r="K714" s="8">
        <v>0.13404524972390705</v>
      </c>
    </row>
    <row r="715" spans="1:11" x14ac:dyDescent="0.3">
      <c r="A715" s="5" t="s">
        <v>44</v>
      </c>
      <c r="B715" s="6">
        <v>40257</v>
      </c>
      <c r="C715" s="5">
        <v>12</v>
      </c>
      <c r="D715" s="5">
        <v>3</v>
      </c>
      <c r="E715" s="5">
        <v>2010</v>
      </c>
      <c r="F715" s="5" t="s">
        <v>33</v>
      </c>
      <c r="G715" s="5" t="s">
        <v>7</v>
      </c>
      <c r="H715" s="7">
        <v>10130.459999999999</v>
      </c>
      <c r="I715" s="7">
        <v>12659.17</v>
      </c>
      <c r="J715" s="7">
        <v>2528.7100000000009</v>
      </c>
      <c r="K715" s="8">
        <v>0.24961452885653773</v>
      </c>
    </row>
    <row r="716" spans="1:11" x14ac:dyDescent="0.3">
      <c r="A716" s="5" t="s">
        <v>44</v>
      </c>
      <c r="B716" s="6">
        <v>40257</v>
      </c>
      <c r="C716" s="5">
        <v>12</v>
      </c>
      <c r="D716" s="5">
        <v>3</v>
      </c>
      <c r="E716" s="5">
        <v>2010</v>
      </c>
      <c r="F716" s="5" t="s">
        <v>35</v>
      </c>
      <c r="G716" s="5" t="s">
        <v>11</v>
      </c>
      <c r="H716" s="7">
        <v>4319</v>
      </c>
      <c r="I716" s="7">
        <v>4818.5600000000004</v>
      </c>
      <c r="J716" s="7">
        <v>499.5600000000004</v>
      </c>
      <c r="K716" s="8">
        <v>0.11566566334799731</v>
      </c>
    </row>
    <row r="717" spans="1:11" x14ac:dyDescent="0.3">
      <c r="A717" s="5" t="s">
        <v>44</v>
      </c>
      <c r="B717" s="6">
        <v>40257</v>
      </c>
      <c r="C717" s="5">
        <v>12</v>
      </c>
      <c r="D717" s="5">
        <v>3</v>
      </c>
      <c r="E717" s="5">
        <v>2010</v>
      </c>
      <c r="F717" s="5" t="s">
        <v>36</v>
      </c>
      <c r="G717" s="5" t="s">
        <v>11</v>
      </c>
      <c r="H717" s="7">
        <v>33027.65</v>
      </c>
      <c r="I717" s="7">
        <v>36032.910000000003</v>
      </c>
      <c r="J717" s="7">
        <v>3005.260000000002</v>
      </c>
      <c r="K717" s="8">
        <v>9.0992244377059883E-2</v>
      </c>
    </row>
    <row r="718" spans="1:11" x14ac:dyDescent="0.3">
      <c r="A718" s="5" t="s">
        <v>44</v>
      </c>
      <c r="B718" s="6">
        <v>40257</v>
      </c>
      <c r="C718" s="5">
        <v>12</v>
      </c>
      <c r="D718" s="5">
        <v>3</v>
      </c>
      <c r="E718" s="5">
        <v>2010</v>
      </c>
      <c r="F718" s="5" t="s">
        <v>37</v>
      </c>
      <c r="G718" s="5" t="s">
        <v>11</v>
      </c>
      <c r="H718" s="7">
        <v>194809.21</v>
      </c>
      <c r="I718" s="7">
        <v>132590.29</v>
      </c>
      <c r="J718" s="7">
        <v>-62218.919999999984</v>
      </c>
      <c r="K718" s="8">
        <v>-0.31938387307253074</v>
      </c>
    </row>
    <row r="719" spans="1:11" x14ac:dyDescent="0.3">
      <c r="A719" s="5" t="s">
        <v>44</v>
      </c>
      <c r="B719" s="6">
        <v>40257</v>
      </c>
      <c r="C719" s="5">
        <v>12</v>
      </c>
      <c r="D719" s="5">
        <v>3</v>
      </c>
      <c r="E719" s="5">
        <v>2010</v>
      </c>
      <c r="F719" s="5" t="s">
        <v>38</v>
      </c>
      <c r="G719" s="5" t="s">
        <v>11</v>
      </c>
      <c r="H719" s="7">
        <v>81886.66</v>
      </c>
      <c r="I719" s="7">
        <v>84498.16</v>
      </c>
      <c r="J719" s="7">
        <v>2611.5</v>
      </c>
      <c r="K719" s="8">
        <v>3.1891641446848605E-2</v>
      </c>
    </row>
    <row r="720" spans="1:11" x14ac:dyDescent="0.3">
      <c r="A720" s="5" t="s">
        <v>44</v>
      </c>
      <c r="B720" s="6">
        <v>40258</v>
      </c>
      <c r="C720" s="5">
        <v>13</v>
      </c>
      <c r="D720" s="5">
        <v>3</v>
      </c>
      <c r="E720" s="5">
        <v>2010</v>
      </c>
      <c r="F720" s="5" t="s">
        <v>14</v>
      </c>
      <c r="G720" s="5" t="s">
        <v>6</v>
      </c>
      <c r="H720" s="7">
        <v>832</v>
      </c>
      <c r="I720" s="7">
        <v>1039.95</v>
      </c>
      <c r="J720" s="7">
        <v>207.95000000000005</v>
      </c>
      <c r="K720" s="8">
        <v>0.24993990384615389</v>
      </c>
    </row>
    <row r="721" spans="1:11" x14ac:dyDescent="0.3">
      <c r="A721" s="5" t="s">
        <v>44</v>
      </c>
      <c r="B721" s="6">
        <v>40258</v>
      </c>
      <c r="C721" s="5">
        <v>13</v>
      </c>
      <c r="D721" s="5">
        <v>3</v>
      </c>
      <c r="E721" s="5">
        <v>2010</v>
      </c>
      <c r="F721" s="5" t="s">
        <v>15</v>
      </c>
      <c r="G721" s="5" t="s">
        <v>6</v>
      </c>
      <c r="H721" s="7">
        <v>27324.48</v>
      </c>
      <c r="I721" s="7">
        <v>31543.75</v>
      </c>
      <c r="J721" s="7">
        <v>4219.2700000000004</v>
      </c>
      <c r="K721" s="8">
        <v>0.1544135515113188</v>
      </c>
    </row>
    <row r="722" spans="1:11" x14ac:dyDescent="0.3">
      <c r="A722" s="5" t="s">
        <v>44</v>
      </c>
      <c r="B722" s="6">
        <v>40258</v>
      </c>
      <c r="C722" s="5">
        <v>13</v>
      </c>
      <c r="D722" s="5">
        <v>3</v>
      </c>
      <c r="E722" s="5">
        <v>2010</v>
      </c>
      <c r="F722" s="5" t="s">
        <v>16</v>
      </c>
      <c r="G722" s="5" t="s">
        <v>6</v>
      </c>
      <c r="H722" s="7">
        <v>34763.629999999997</v>
      </c>
      <c r="I722" s="7">
        <v>40638.879999999997</v>
      </c>
      <c r="J722" s="7">
        <v>5875.25</v>
      </c>
      <c r="K722" s="8">
        <v>0.16900565332216458</v>
      </c>
    </row>
    <row r="723" spans="1:11" x14ac:dyDescent="0.3">
      <c r="A723" s="5" t="s">
        <v>44</v>
      </c>
      <c r="B723" s="6">
        <v>40258</v>
      </c>
      <c r="C723" s="5">
        <v>13</v>
      </c>
      <c r="D723" s="5">
        <v>3</v>
      </c>
      <c r="E723" s="5">
        <v>2010</v>
      </c>
      <c r="F723" s="5" t="s">
        <v>17</v>
      </c>
      <c r="G723" s="5" t="s">
        <v>6</v>
      </c>
      <c r="H723" s="7">
        <v>2230</v>
      </c>
      <c r="I723" s="7">
        <v>2565.77</v>
      </c>
      <c r="J723" s="7">
        <v>335.77</v>
      </c>
      <c r="K723" s="8">
        <v>0.15056950672645739</v>
      </c>
    </row>
    <row r="724" spans="1:11" x14ac:dyDescent="0.3">
      <c r="A724" s="5" t="s">
        <v>44</v>
      </c>
      <c r="B724" s="6">
        <v>40258</v>
      </c>
      <c r="C724" s="5">
        <v>13</v>
      </c>
      <c r="D724" s="5">
        <v>3</v>
      </c>
      <c r="E724" s="5">
        <v>2010</v>
      </c>
      <c r="F724" s="5" t="s">
        <v>18</v>
      </c>
      <c r="G724" s="5" t="s">
        <v>6</v>
      </c>
      <c r="H724" s="7">
        <v>4266.1499999999996</v>
      </c>
      <c r="I724" s="7">
        <v>4690.68</v>
      </c>
      <c r="J724" s="7">
        <v>424.53000000000065</v>
      </c>
      <c r="K724" s="8">
        <v>9.9511268942723691E-2</v>
      </c>
    </row>
    <row r="725" spans="1:11" x14ac:dyDescent="0.3">
      <c r="A725" s="5" t="s">
        <v>44</v>
      </c>
      <c r="B725" s="6">
        <v>40258</v>
      </c>
      <c r="C725" s="5">
        <v>13</v>
      </c>
      <c r="D725" s="5">
        <v>3</v>
      </c>
      <c r="E725" s="5">
        <v>2010</v>
      </c>
      <c r="F725" s="5" t="s">
        <v>19</v>
      </c>
      <c r="G725" s="5" t="s">
        <v>5</v>
      </c>
      <c r="H725" s="7">
        <v>52949.88</v>
      </c>
      <c r="I725" s="7">
        <v>59304.14</v>
      </c>
      <c r="J725" s="7">
        <v>6354.260000000002</v>
      </c>
      <c r="K725" s="8">
        <v>0.12000518225914775</v>
      </c>
    </row>
    <row r="726" spans="1:11" x14ac:dyDescent="0.3">
      <c r="A726" s="5" t="s">
        <v>44</v>
      </c>
      <c r="B726" s="6">
        <v>40258</v>
      </c>
      <c r="C726" s="5">
        <v>13</v>
      </c>
      <c r="D726" s="5">
        <v>3</v>
      </c>
      <c r="E726" s="5">
        <v>2010</v>
      </c>
      <c r="F726" s="5" t="s">
        <v>5</v>
      </c>
      <c r="G726" s="5" t="s">
        <v>5</v>
      </c>
      <c r="H726" s="7">
        <v>226504.67</v>
      </c>
      <c r="I726" s="7">
        <v>237725.78</v>
      </c>
      <c r="J726" s="7">
        <v>11221.109999999986</v>
      </c>
      <c r="K726" s="8">
        <v>4.9540303076311784E-2</v>
      </c>
    </row>
    <row r="727" spans="1:11" x14ac:dyDescent="0.3">
      <c r="A727" s="5" t="s">
        <v>44</v>
      </c>
      <c r="B727" s="6">
        <v>40258</v>
      </c>
      <c r="C727" s="5">
        <v>13</v>
      </c>
      <c r="D727" s="5">
        <v>3</v>
      </c>
      <c r="E727" s="5">
        <v>2010</v>
      </c>
      <c r="F727" s="5" t="s">
        <v>20</v>
      </c>
      <c r="G727" s="5" t="s">
        <v>5</v>
      </c>
      <c r="H727" s="7">
        <v>37601.68</v>
      </c>
      <c r="I727" s="7">
        <v>41038.1</v>
      </c>
      <c r="J727" s="7">
        <v>3436.4199999999983</v>
      </c>
      <c r="K727" s="8">
        <v>9.1390065550262606E-2</v>
      </c>
    </row>
    <row r="728" spans="1:11" x14ac:dyDescent="0.3">
      <c r="A728" s="5" t="s">
        <v>44</v>
      </c>
      <c r="B728" s="6">
        <v>40258</v>
      </c>
      <c r="C728" s="5">
        <v>13</v>
      </c>
      <c r="D728" s="5">
        <v>3</v>
      </c>
      <c r="E728" s="5">
        <v>2010</v>
      </c>
      <c r="F728" s="5" t="s">
        <v>21</v>
      </c>
      <c r="G728" s="5" t="s">
        <v>5</v>
      </c>
      <c r="H728" s="7">
        <v>66097.03</v>
      </c>
      <c r="I728" s="7">
        <v>70413.710000000006</v>
      </c>
      <c r="J728" s="7">
        <v>4316.6800000000076</v>
      </c>
      <c r="K728" s="8">
        <v>6.5308229431791529E-2</v>
      </c>
    </row>
    <row r="729" spans="1:11" x14ac:dyDescent="0.3">
      <c r="A729" s="5" t="s">
        <v>44</v>
      </c>
      <c r="B729" s="6">
        <v>40258</v>
      </c>
      <c r="C729" s="5">
        <v>13</v>
      </c>
      <c r="D729" s="5">
        <v>3</v>
      </c>
      <c r="E729" s="5">
        <v>2010</v>
      </c>
      <c r="F729" s="5" t="s">
        <v>22</v>
      </c>
      <c r="G729" s="5" t="s">
        <v>8</v>
      </c>
      <c r="H729" s="7">
        <v>213137.16</v>
      </c>
      <c r="I729" s="7">
        <v>227113.27</v>
      </c>
      <c r="J729" s="7">
        <v>13976.109999999986</v>
      </c>
      <c r="K729" s="8">
        <v>6.5573314385909923E-2</v>
      </c>
    </row>
    <row r="730" spans="1:11" x14ac:dyDescent="0.3">
      <c r="A730" s="5" t="s">
        <v>44</v>
      </c>
      <c r="B730" s="6">
        <v>40258</v>
      </c>
      <c r="C730" s="5">
        <v>13</v>
      </c>
      <c r="D730" s="5">
        <v>3</v>
      </c>
      <c r="E730" s="5">
        <v>2010</v>
      </c>
      <c r="F730" s="5" t="s">
        <v>23</v>
      </c>
      <c r="G730" s="5" t="s">
        <v>8</v>
      </c>
      <c r="H730" s="7">
        <v>67494.81</v>
      </c>
      <c r="I730" s="7">
        <v>71937.179999999993</v>
      </c>
      <c r="J730" s="7">
        <v>4442.3699999999953</v>
      </c>
      <c r="K730" s="8">
        <v>6.5817949557899269E-2</v>
      </c>
    </row>
    <row r="731" spans="1:11" x14ac:dyDescent="0.3">
      <c r="A731" s="5" t="s">
        <v>44</v>
      </c>
      <c r="B731" s="6">
        <v>40258</v>
      </c>
      <c r="C731" s="5">
        <v>13</v>
      </c>
      <c r="D731" s="5">
        <v>3</v>
      </c>
      <c r="E731" s="5">
        <v>2010</v>
      </c>
      <c r="F731" s="5" t="s">
        <v>24</v>
      </c>
      <c r="G731" s="5" t="s">
        <v>8</v>
      </c>
      <c r="H731" s="7">
        <v>41609.94</v>
      </c>
      <c r="I731" s="7">
        <v>45381.19</v>
      </c>
      <c r="J731" s="7">
        <v>3771.25</v>
      </c>
      <c r="K731" s="8">
        <v>9.0633391925102502E-2</v>
      </c>
    </row>
    <row r="732" spans="1:11" x14ac:dyDescent="0.3">
      <c r="A732" s="5" t="s">
        <v>44</v>
      </c>
      <c r="B732" s="6">
        <v>40258</v>
      </c>
      <c r="C732" s="5">
        <v>13</v>
      </c>
      <c r="D732" s="5">
        <v>3</v>
      </c>
      <c r="E732" s="5">
        <v>2010</v>
      </c>
      <c r="F732" s="5" t="s">
        <v>27</v>
      </c>
      <c r="G732" s="5" t="s">
        <v>10</v>
      </c>
      <c r="H732" s="7">
        <v>9984</v>
      </c>
      <c r="I732" s="7">
        <v>11479</v>
      </c>
      <c r="J732" s="7">
        <v>1495</v>
      </c>
      <c r="K732" s="8">
        <v>0.14973958333333334</v>
      </c>
    </row>
    <row r="733" spans="1:11" x14ac:dyDescent="0.3">
      <c r="A733" s="5" t="s">
        <v>44</v>
      </c>
      <c r="B733" s="6">
        <v>40258</v>
      </c>
      <c r="C733" s="5">
        <v>13</v>
      </c>
      <c r="D733" s="5">
        <v>3</v>
      </c>
      <c r="E733" s="5">
        <v>2010</v>
      </c>
      <c r="F733" s="5" t="s">
        <v>29</v>
      </c>
      <c r="G733" s="5" t="s">
        <v>10</v>
      </c>
      <c r="H733" s="7">
        <v>81065.02</v>
      </c>
      <c r="I733" s="7">
        <v>88848.11</v>
      </c>
      <c r="J733" s="7">
        <v>7783.0899999999965</v>
      </c>
      <c r="K733" s="8">
        <v>9.6010461725661647E-2</v>
      </c>
    </row>
    <row r="734" spans="1:11" x14ac:dyDescent="0.3">
      <c r="A734" s="5" t="s">
        <v>44</v>
      </c>
      <c r="B734" s="6">
        <v>40258</v>
      </c>
      <c r="C734" s="5">
        <v>13</v>
      </c>
      <c r="D734" s="5">
        <v>3</v>
      </c>
      <c r="E734" s="5">
        <v>2010</v>
      </c>
      <c r="F734" s="5" t="s">
        <v>30</v>
      </c>
      <c r="G734" s="5" t="s">
        <v>10</v>
      </c>
      <c r="H734" s="7">
        <v>13016.94</v>
      </c>
      <c r="I734" s="7">
        <v>14722.11</v>
      </c>
      <c r="J734" s="7">
        <v>1705.17</v>
      </c>
      <c r="K734" s="8">
        <v>0.13099622491922064</v>
      </c>
    </row>
    <row r="735" spans="1:11" x14ac:dyDescent="0.3">
      <c r="A735" s="5" t="s">
        <v>44</v>
      </c>
      <c r="B735" s="6">
        <v>40258</v>
      </c>
      <c r="C735" s="5">
        <v>13</v>
      </c>
      <c r="D735" s="5">
        <v>3</v>
      </c>
      <c r="E735" s="5">
        <v>2010</v>
      </c>
      <c r="F735" s="5" t="s">
        <v>9</v>
      </c>
      <c r="G735" s="5" t="s">
        <v>9</v>
      </c>
      <c r="H735" s="7">
        <v>43441.68</v>
      </c>
      <c r="I735" s="7">
        <v>51452.09</v>
      </c>
      <c r="J735" s="7">
        <v>8010.4099999999962</v>
      </c>
      <c r="K735" s="8">
        <v>0.18439457221728064</v>
      </c>
    </row>
    <row r="736" spans="1:11" x14ac:dyDescent="0.3">
      <c r="A736" s="5" t="s">
        <v>44</v>
      </c>
      <c r="B736" s="6">
        <v>40258</v>
      </c>
      <c r="C736" s="5">
        <v>13</v>
      </c>
      <c r="D736" s="5">
        <v>3</v>
      </c>
      <c r="E736" s="5">
        <v>2010</v>
      </c>
      <c r="F736" s="5" t="s">
        <v>33</v>
      </c>
      <c r="G736" s="5" t="s">
        <v>7</v>
      </c>
      <c r="H736" s="7">
        <v>5749.82</v>
      </c>
      <c r="I736" s="7">
        <v>8917.7800000000007</v>
      </c>
      <c r="J736" s="7">
        <v>3167.9600000000009</v>
      </c>
      <c r="K736" s="8">
        <v>0.55096681287414229</v>
      </c>
    </row>
    <row r="737" spans="1:11" x14ac:dyDescent="0.3">
      <c r="A737" s="5" t="s">
        <v>44</v>
      </c>
      <c r="B737" s="6">
        <v>40258</v>
      </c>
      <c r="C737" s="5">
        <v>13</v>
      </c>
      <c r="D737" s="5">
        <v>3</v>
      </c>
      <c r="E737" s="5">
        <v>2010</v>
      </c>
      <c r="F737" s="5" t="s">
        <v>35</v>
      </c>
      <c r="G737" s="5" t="s">
        <v>11</v>
      </c>
      <c r="H737" s="7">
        <v>3090</v>
      </c>
      <c r="I737" s="7">
        <v>3390.65</v>
      </c>
      <c r="J737" s="7">
        <v>300.65000000000009</v>
      </c>
      <c r="K737" s="8">
        <v>9.7297734627831742E-2</v>
      </c>
    </row>
    <row r="738" spans="1:11" x14ac:dyDescent="0.3">
      <c r="A738" s="5" t="s">
        <v>44</v>
      </c>
      <c r="B738" s="6">
        <v>40258</v>
      </c>
      <c r="C738" s="5">
        <v>13</v>
      </c>
      <c r="D738" s="5">
        <v>3</v>
      </c>
      <c r="E738" s="5">
        <v>2010</v>
      </c>
      <c r="F738" s="5" t="s">
        <v>36</v>
      </c>
      <c r="G738" s="5" t="s">
        <v>11</v>
      </c>
      <c r="H738" s="7">
        <v>35759.370000000003</v>
      </c>
      <c r="I738" s="7">
        <v>39956.97</v>
      </c>
      <c r="J738" s="7">
        <v>4197.5999999999985</v>
      </c>
      <c r="K738" s="8">
        <v>0.11738461835317564</v>
      </c>
    </row>
    <row r="739" spans="1:11" x14ac:dyDescent="0.3">
      <c r="A739" s="5" t="s">
        <v>44</v>
      </c>
      <c r="B739" s="6">
        <v>40258</v>
      </c>
      <c r="C739" s="5">
        <v>13</v>
      </c>
      <c r="D739" s="5">
        <v>3</v>
      </c>
      <c r="E739" s="5">
        <v>2010</v>
      </c>
      <c r="F739" s="5" t="s">
        <v>37</v>
      </c>
      <c r="G739" s="5" t="s">
        <v>11</v>
      </c>
      <c r="H739" s="7">
        <v>57982.06</v>
      </c>
      <c r="I739" s="7">
        <v>62586.21</v>
      </c>
      <c r="J739" s="7">
        <v>4604.1500000000015</v>
      </c>
      <c r="K739" s="8">
        <v>7.9406457790564905E-2</v>
      </c>
    </row>
    <row r="740" spans="1:11" x14ac:dyDescent="0.3">
      <c r="A740" s="5" t="s">
        <v>44</v>
      </c>
      <c r="B740" s="6">
        <v>40258</v>
      </c>
      <c r="C740" s="5">
        <v>13</v>
      </c>
      <c r="D740" s="5">
        <v>3</v>
      </c>
      <c r="E740" s="5">
        <v>2010</v>
      </c>
      <c r="F740" s="5" t="s">
        <v>38</v>
      </c>
      <c r="G740" s="5" t="s">
        <v>11</v>
      </c>
      <c r="H740" s="7">
        <v>68787.11</v>
      </c>
      <c r="I740" s="7">
        <v>73035.09</v>
      </c>
      <c r="J740" s="7">
        <v>4247.9799999999959</v>
      </c>
      <c r="K740" s="8">
        <v>6.1755465522537523E-2</v>
      </c>
    </row>
    <row r="741" spans="1:11" x14ac:dyDescent="0.3">
      <c r="A741" s="5" t="s">
        <v>44</v>
      </c>
      <c r="B741" s="6">
        <v>40259</v>
      </c>
      <c r="C741" s="5">
        <v>13</v>
      </c>
      <c r="D741" s="5">
        <v>3</v>
      </c>
      <c r="E741" s="5">
        <v>2010</v>
      </c>
      <c r="F741" s="5" t="s">
        <v>14</v>
      </c>
      <c r="G741" s="5" t="s">
        <v>6</v>
      </c>
      <c r="H741" s="7">
        <v>208</v>
      </c>
      <c r="I741" s="7">
        <v>259.99</v>
      </c>
      <c r="J741" s="7">
        <v>51.990000000000009</v>
      </c>
      <c r="K741" s="8">
        <v>0.24995192307692313</v>
      </c>
    </row>
    <row r="742" spans="1:11" x14ac:dyDescent="0.3">
      <c r="A742" s="5" t="s">
        <v>44</v>
      </c>
      <c r="B742" s="6">
        <v>40259</v>
      </c>
      <c r="C742" s="5">
        <v>13</v>
      </c>
      <c r="D742" s="5">
        <v>3</v>
      </c>
      <c r="E742" s="5">
        <v>2010</v>
      </c>
      <c r="F742" s="5" t="s">
        <v>15</v>
      </c>
      <c r="G742" s="5" t="s">
        <v>6</v>
      </c>
      <c r="H742" s="7">
        <v>23254.68</v>
      </c>
      <c r="I742" s="7">
        <v>26643.27</v>
      </c>
      <c r="J742" s="7">
        <v>3388.59</v>
      </c>
      <c r="K742" s="8">
        <v>0.14571647513532759</v>
      </c>
    </row>
    <row r="743" spans="1:11" x14ac:dyDescent="0.3">
      <c r="A743" s="5" t="s">
        <v>44</v>
      </c>
      <c r="B743" s="6">
        <v>40259</v>
      </c>
      <c r="C743" s="5">
        <v>13</v>
      </c>
      <c r="D743" s="5">
        <v>3</v>
      </c>
      <c r="E743" s="5">
        <v>2010</v>
      </c>
      <c r="F743" s="5" t="s">
        <v>16</v>
      </c>
      <c r="G743" s="5" t="s">
        <v>6</v>
      </c>
      <c r="H743" s="7">
        <v>29581.93</v>
      </c>
      <c r="I743" s="7">
        <v>33278.449999999997</v>
      </c>
      <c r="J743" s="7">
        <v>3696.5199999999968</v>
      </c>
      <c r="K743" s="8">
        <v>0.12495871635150231</v>
      </c>
    </row>
    <row r="744" spans="1:11" x14ac:dyDescent="0.3">
      <c r="A744" s="5" t="s">
        <v>44</v>
      </c>
      <c r="B744" s="6">
        <v>40259</v>
      </c>
      <c r="C744" s="5">
        <v>13</v>
      </c>
      <c r="D744" s="5">
        <v>3</v>
      </c>
      <c r="E744" s="5">
        <v>2010</v>
      </c>
      <c r="F744" s="5" t="s">
        <v>18</v>
      </c>
      <c r="G744" s="5" t="s">
        <v>6</v>
      </c>
      <c r="H744" s="7">
        <v>2014.65</v>
      </c>
      <c r="I744" s="7">
        <v>2207.91</v>
      </c>
      <c r="J744" s="7">
        <v>193.25999999999976</v>
      </c>
      <c r="K744" s="8">
        <v>9.5927332290968531E-2</v>
      </c>
    </row>
    <row r="745" spans="1:11" x14ac:dyDescent="0.3">
      <c r="A745" s="5" t="s">
        <v>44</v>
      </c>
      <c r="B745" s="6">
        <v>40259</v>
      </c>
      <c r="C745" s="5">
        <v>13</v>
      </c>
      <c r="D745" s="5">
        <v>3</v>
      </c>
      <c r="E745" s="5">
        <v>2010</v>
      </c>
      <c r="F745" s="5" t="s">
        <v>19</v>
      </c>
      <c r="G745" s="5" t="s">
        <v>5</v>
      </c>
      <c r="H745" s="7">
        <v>27735.59</v>
      </c>
      <c r="I745" s="7">
        <v>31237.89</v>
      </c>
      <c r="J745" s="7">
        <v>3502.2999999999993</v>
      </c>
      <c r="K745" s="8">
        <v>0.12627458078230891</v>
      </c>
    </row>
    <row r="746" spans="1:11" x14ac:dyDescent="0.3">
      <c r="A746" s="5" t="s">
        <v>44</v>
      </c>
      <c r="B746" s="6">
        <v>40259</v>
      </c>
      <c r="C746" s="5">
        <v>13</v>
      </c>
      <c r="D746" s="5">
        <v>3</v>
      </c>
      <c r="E746" s="5">
        <v>2010</v>
      </c>
      <c r="F746" s="5" t="s">
        <v>5</v>
      </c>
      <c r="G746" s="5" t="s">
        <v>5</v>
      </c>
      <c r="H746" s="7">
        <v>143945.48000000001</v>
      </c>
      <c r="I746" s="7">
        <v>150917.89000000001</v>
      </c>
      <c r="J746" s="7">
        <v>6972.4100000000035</v>
      </c>
      <c r="K746" s="8">
        <v>4.843785299823241E-2</v>
      </c>
    </row>
    <row r="747" spans="1:11" x14ac:dyDescent="0.3">
      <c r="A747" s="5" t="s">
        <v>44</v>
      </c>
      <c r="B747" s="6">
        <v>40259</v>
      </c>
      <c r="C747" s="5">
        <v>13</v>
      </c>
      <c r="D747" s="5">
        <v>3</v>
      </c>
      <c r="E747" s="5">
        <v>2010</v>
      </c>
      <c r="F747" s="5" t="s">
        <v>20</v>
      </c>
      <c r="G747" s="5" t="s">
        <v>5</v>
      </c>
      <c r="H747" s="7">
        <v>31248.46</v>
      </c>
      <c r="I747" s="7">
        <v>34744.699999999997</v>
      </c>
      <c r="J747" s="7">
        <v>3496.239999999998</v>
      </c>
      <c r="K747" s="8">
        <v>0.11188519370234559</v>
      </c>
    </row>
    <row r="748" spans="1:11" x14ac:dyDescent="0.3">
      <c r="A748" s="5" t="s">
        <v>44</v>
      </c>
      <c r="B748" s="6">
        <v>40259</v>
      </c>
      <c r="C748" s="5">
        <v>13</v>
      </c>
      <c r="D748" s="5">
        <v>3</v>
      </c>
      <c r="E748" s="5">
        <v>2010</v>
      </c>
      <c r="F748" s="5" t="s">
        <v>21</v>
      </c>
      <c r="G748" s="5" t="s">
        <v>5</v>
      </c>
      <c r="H748" s="7">
        <v>45886.2</v>
      </c>
      <c r="I748" s="7">
        <v>49178.23</v>
      </c>
      <c r="J748" s="7">
        <v>3292.0300000000061</v>
      </c>
      <c r="K748" s="8">
        <v>7.1743356390374588E-2</v>
      </c>
    </row>
    <row r="749" spans="1:11" x14ac:dyDescent="0.3">
      <c r="A749" s="5" t="s">
        <v>44</v>
      </c>
      <c r="B749" s="6">
        <v>40259</v>
      </c>
      <c r="C749" s="5">
        <v>13</v>
      </c>
      <c r="D749" s="5">
        <v>3</v>
      </c>
      <c r="E749" s="5">
        <v>2010</v>
      </c>
      <c r="F749" s="5" t="s">
        <v>22</v>
      </c>
      <c r="G749" s="5" t="s">
        <v>8</v>
      </c>
      <c r="H749" s="7">
        <v>183601.5</v>
      </c>
      <c r="I749" s="7">
        <v>197397.25</v>
      </c>
      <c r="J749" s="7">
        <v>13795.75</v>
      </c>
      <c r="K749" s="8">
        <v>7.513963665874189E-2</v>
      </c>
    </row>
    <row r="750" spans="1:11" x14ac:dyDescent="0.3">
      <c r="A750" s="5" t="s">
        <v>44</v>
      </c>
      <c r="B750" s="6">
        <v>40259</v>
      </c>
      <c r="C750" s="5">
        <v>13</v>
      </c>
      <c r="D750" s="5">
        <v>3</v>
      </c>
      <c r="E750" s="5">
        <v>2010</v>
      </c>
      <c r="F750" s="5" t="s">
        <v>23</v>
      </c>
      <c r="G750" s="5" t="s">
        <v>8</v>
      </c>
      <c r="H750" s="7">
        <v>57998.71</v>
      </c>
      <c r="I750" s="7">
        <v>61583.47</v>
      </c>
      <c r="J750" s="7">
        <v>3584.760000000002</v>
      </c>
      <c r="K750" s="8">
        <v>6.1807581582417989E-2</v>
      </c>
    </row>
    <row r="751" spans="1:11" x14ac:dyDescent="0.3">
      <c r="A751" s="5" t="s">
        <v>44</v>
      </c>
      <c r="B751" s="6">
        <v>40259</v>
      </c>
      <c r="C751" s="5">
        <v>13</v>
      </c>
      <c r="D751" s="5">
        <v>3</v>
      </c>
      <c r="E751" s="5">
        <v>2010</v>
      </c>
      <c r="F751" s="5" t="s">
        <v>24</v>
      </c>
      <c r="G751" s="5" t="s">
        <v>8</v>
      </c>
      <c r="H751" s="7">
        <v>49768.99</v>
      </c>
      <c r="I751" s="7">
        <v>52879.53</v>
      </c>
      <c r="J751" s="7">
        <v>3110.5400000000009</v>
      </c>
      <c r="K751" s="8">
        <v>6.2499560469280187E-2</v>
      </c>
    </row>
    <row r="752" spans="1:11" x14ac:dyDescent="0.3">
      <c r="A752" s="5" t="s">
        <v>44</v>
      </c>
      <c r="B752" s="6">
        <v>40259</v>
      </c>
      <c r="C752" s="5">
        <v>13</v>
      </c>
      <c r="D752" s="5">
        <v>3</v>
      </c>
      <c r="E752" s="5">
        <v>2010</v>
      </c>
      <c r="F752" s="5" t="s">
        <v>27</v>
      </c>
      <c r="G752" s="5" t="s">
        <v>10</v>
      </c>
      <c r="H752" s="7">
        <v>11606.64</v>
      </c>
      <c r="I752" s="7">
        <v>13344.52</v>
      </c>
      <c r="J752" s="7">
        <v>1737.880000000001</v>
      </c>
      <c r="K752" s="8">
        <v>0.14973153298456754</v>
      </c>
    </row>
    <row r="753" spans="1:11" x14ac:dyDescent="0.3">
      <c r="A753" s="5" t="s">
        <v>44</v>
      </c>
      <c r="B753" s="6">
        <v>40259</v>
      </c>
      <c r="C753" s="5">
        <v>13</v>
      </c>
      <c r="D753" s="5">
        <v>3</v>
      </c>
      <c r="E753" s="5">
        <v>2010</v>
      </c>
      <c r="F753" s="5" t="s">
        <v>29</v>
      </c>
      <c r="G753" s="5" t="s">
        <v>10</v>
      </c>
      <c r="H753" s="7">
        <v>66088.850000000006</v>
      </c>
      <c r="I753" s="7">
        <v>72220.05</v>
      </c>
      <c r="J753" s="7">
        <v>6131.1999999999971</v>
      </c>
      <c r="K753" s="8">
        <v>9.2772078799979063E-2</v>
      </c>
    </row>
    <row r="754" spans="1:11" x14ac:dyDescent="0.3">
      <c r="A754" s="5" t="s">
        <v>44</v>
      </c>
      <c r="B754" s="6">
        <v>40259</v>
      </c>
      <c r="C754" s="5">
        <v>13</v>
      </c>
      <c r="D754" s="5">
        <v>3</v>
      </c>
      <c r="E754" s="5">
        <v>2010</v>
      </c>
      <c r="F754" s="5" t="s">
        <v>30</v>
      </c>
      <c r="G754" s="5" t="s">
        <v>10</v>
      </c>
      <c r="H754" s="7">
        <v>8993.5</v>
      </c>
      <c r="I754" s="7">
        <v>10188.23</v>
      </c>
      <c r="J754" s="7">
        <v>1194.7299999999996</v>
      </c>
      <c r="K754" s="8">
        <v>0.13284372046478007</v>
      </c>
    </row>
    <row r="755" spans="1:11" x14ac:dyDescent="0.3">
      <c r="A755" s="5" t="s">
        <v>44</v>
      </c>
      <c r="B755" s="6">
        <v>40259</v>
      </c>
      <c r="C755" s="5">
        <v>13</v>
      </c>
      <c r="D755" s="5">
        <v>3</v>
      </c>
      <c r="E755" s="5">
        <v>2010</v>
      </c>
      <c r="F755" s="5" t="s">
        <v>9</v>
      </c>
      <c r="G755" s="5" t="s">
        <v>9</v>
      </c>
      <c r="H755" s="7">
        <v>39863.19</v>
      </c>
      <c r="I755" s="7">
        <v>45825.81</v>
      </c>
      <c r="J755" s="7">
        <v>5962.6199999999953</v>
      </c>
      <c r="K755" s="8">
        <v>0.14957709104564876</v>
      </c>
    </row>
    <row r="756" spans="1:11" x14ac:dyDescent="0.3">
      <c r="A756" s="5" t="s">
        <v>44</v>
      </c>
      <c r="B756" s="6">
        <v>40259</v>
      </c>
      <c r="C756" s="5">
        <v>13</v>
      </c>
      <c r="D756" s="5">
        <v>3</v>
      </c>
      <c r="E756" s="5">
        <v>2010</v>
      </c>
      <c r="F756" s="5" t="s">
        <v>33</v>
      </c>
      <c r="G756" s="5" t="s">
        <v>7</v>
      </c>
      <c r="H756" s="7">
        <v>4413.82</v>
      </c>
      <c r="I756" s="7">
        <v>6021.83</v>
      </c>
      <c r="J756" s="7">
        <v>1608.0100000000002</v>
      </c>
      <c r="K756" s="8">
        <v>0.36431254559542536</v>
      </c>
    </row>
    <row r="757" spans="1:11" x14ac:dyDescent="0.3">
      <c r="A757" s="5" t="s">
        <v>44</v>
      </c>
      <c r="B757" s="6">
        <v>40259</v>
      </c>
      <c r="C757" s="5">
        <v>13</v>
      </c>
      <c r="D757" s="5">
        <v>3</v>
      </c>
      <c r="E757" s="5">
        <v>2010</v>
      </c>
      <c r="F757" s="5" t="s">
        <v>35</v>
      </c>
      <c r="G757" s="5" t="s">
        <v>11</v>
      </c>
      <c r="H757" s="7">
        <v>4673</v>
      </c>
      <c r="I757" s="7">
        <v>5065.26</v>
      </c>
      <c r="J757" s="7">
        <v>392.26000000000022</v>
      </c>
      <c r="K757" s="8">
        <v>8.3941793280547877E-2</v>
      </c>
    </row>
    <row r="758" spans="1:11" x14ac:dyDescent="0.3">
      <c r="A758" s="5" t="s">
        <v>44</v>
      </c>
      <c r="B758" s="6">
        <v>40259</v>
      </c>
      <c r="C758" s="5">
        <v>13</v>
      </c>
      <c r="D758" s="5">
        <v>3</v>
      </c>
      <c r="E758" s="5">
        <v>2010</v>
      </c>
      <c r="F758" s="5" t="s">
        <v>36</v>
      </c>
      <c r="G758" s="5" t="s">
        <v>11</v>
      </c>
      <c r="H758" s="7">
        <v>25827.77</v>
      </c>
      <c r="I758" s="7">
        <v>28825.75</v>
      </c>
      <c r="J758" s="7">
        <v>2997.9799999999996</v>
      </c>
      <c r="K758" s="8">
        <v>0.11607583620266092</v>
      </c>
    </row>
    <row r="759" spans="1:11" x14ac:dyDescent="0.3">
      <c r="A759" s="5" t="s">
        <v>44</v>
      </c>
      <c r="B759" s="6">
        <v>40259</v>
      </c>
      <c r="C759" s="5">
        <v>13</v>
      </c>
      <c r="D759" s="5">
        <v>3</v>
      </c>
      <c r="E759" s="5">
        <v>2010</v>
      </c>
      <c r="F759" s="5" t="s">
        <v>37</v>
      </c>
      <c r="G759" s="5" t="s">
        <v>11</v>
      </c>
      <c r="H759" s="7">
        <v>37662.11</v>
      </c>
      <c r="I759" s="7">
        <v>41516.51</v>
      </c>
      <c r="J759" s="7">
        <v>3854.4000000000015</v>
      </c>
      <c r="K759" s="8">
        <v>0.10234158415447253</v>
      </c>
    </row>
    <row r="760" spans="1:11" x14ac:dyDescent="0.3">
      <c r="A760" s="5" t="s">
        <v>44</v>
      </c>
      <c r="B760" s="6">
        <v>40259</v>
      </c>
      <c r="C760" s="5">
        <v>13</v>
      </c>
      <c r="D760" s="5">
        <v>3</v>
      </c>
      <c r="E760" s="5">
        <v>2010</v>
      </c>
      <c r="F760" s="5" t="s">
        <v>38</v>
      </c>
      <c r="G760" s="5" t="s">
        <v>11</v>
      </c>
      <c r="H760" s="7">
        <v>58589.19</v>
      </c>
      <c r="I760" s="7">
        <v>61802.84</v>
      </c>
      <c r="J760" s="7">
        <v>3213.6499999999942</v>
      </c>
      <c r="K760" s="8">
        <v>5.4850562023472146E-2</v>
      </c>
    </row>
    <row r="761" spans="1:11" x14ac:dyDescent="0.3">
      <c r="A761" s="5" t="s">
        <v>44</v>
      </c>
      <c r="B761" s="6">
        <v>40260</v>
      </c>
      <c r="C761" s="5">
        <v>13</v>
      </c>
      <c r="D761" s="5">
        <v>3</v>
      </c>
      <c r="E761" s="5">
        <v>2010</v>
      </c>
      <c r="F761" s="5" t="s">
        <v>14</v>
      </c>
      <c r="G761" s="5" t="s">
        <v>6</v>
      </c>
      <c r="H761" s="7">
        <v>780</v>
      </c>
      <c r="I761" s="7">
        <v>974.94</v>
      </c>
      <c r="J761" s="7">
        <v>194.94000000000005</v>
      </c>
      <c r="K761" s="8">
        <v>0.249923076923077</v>
      </c>
    </row>
    <row r="762" spans="1:11" x14ac:dyDescent="0.3">
      <c r="A762" s="5" t="s">
        <v>44</v>
      </c>
      <c r="B762" s="6">
        <v>40260</v>
      </c>
      <c r="C762" s="5">
        <v>13</v>
      </c>
      <c r="D762" s="5">
        <v>3</v>
      </c>
      <c r="E762" s="5">
        <v>2010</v>
      </c>
      <c r="F762" s="5" t="s">
        <v>15</v>
      </c>
      <c r="G762" s="5" t="s">
        <v>6</v>
      </c>
      <c r="H762" s="7">
        <v>14730.11</v>
      </c>
      <c r="I762" s="7">
        <v>16874.310000000001</v>
      </c>
      <c r="J762" s="7">
        <v>2144.2000000000007</v>
      </c>
      <c r="K762" s="8">
        <v>0.14556578328335637</v>
      </c>
    </row>
    <row r="763" spans="1:11" x14ac:dyDescent="0.3">
      <c r="A763" s="5" t="s">
        <v>44</v>
      </c>
      <c r="B763" s="6">
        <v>40260</v>
      </c>
      <c r="C763" s="5">
        <v>13</v>
      </c>
      <c r="D763" s="5">
        <v>3</v>
      </c>
      <c r="E763" s="5">
        <v>2010</v>
      </c>
      <c r="F763" s="5" t="s">
        <v>16</v>
      </c>
      <c r="G763" s="5" t="s">
        <v>6</v>
      </c>
      <c r="H763" s="7">
        <v>14346.82</v>
      </c>
      <c r="I763" s="7">
        <v>16291.59</v>
      </c>
      <c r="J763" s="7">
        <v>1944.7700000000004</v>
      </c>
      <c r="K763" s="8">
        <v>0.13555408097404167</v>
      </c>
    </row>
    <row r="764" spans="1:11" x14ac:dyDescent="0.3">
      <c r="A764" s="5" t="s">
        <v>44</v>
      </c>
      <c r="B764" s="6">
        <v>40260</v>
      </c>
      <c r="C764" s="5">
        <v>13</v>
      </c>
      <c r="D764" s="5">
        <v>3</v>
      </c>
      <c r="E764" s="5">
        <v>2010</v>
      </c>
      <c r="F764" s="5" t="s">
        <v>18</v>
      </c>
      <c r="G764" s="5" t="s">
        <v>6</v>
      </c>
      <c r="H764" s="7">
        <v>2059.56</v>
      </c>
      <c r="I764" s="7">
        <v>2257.69</v>
      </c>
      <c r="J764" s="7">
        <v>198.13000000000011</v>
      </c>
      <c r="K764" s="8">
        <v>9.6200159257317147E-2</v>
      </c>
    </row>
    <row r="765" spans="1:11" x14ac:dyDescent="0.3">
      <c r="A765" s="5" t="s">
        <v>44</v>
      </c>
      <c r="B765" s="6">
        <v>40260</v>
      </c>
      <c r="C765" s="5">
        <v>13</v>
      </c>
      <c r="D765" s="5">
        <v>3</v>
      </c>
      <c r="E765" s="5">
        <v>2010</v>
      </c>
      <c r="F765" s="5" t="s">
        <v>19</v>
      </c>
      <c r="G765" s="5" t="s">
        <v>5</v>
      </c>
      <c r="H765" s="7">
        <v>20195.78</v>
      </c>
      <c r="I765" s="7">
        <v>22952.080000000002</v>
      </c>
      <c r="J765" s="7">
        <v>2756.3000000000029</v>
      </c>
      <c r="K765" s="8">
        <v>0.13647900700047252</v>
      </c>
    </row>
    <row r="766" spans="1:11" x14ac:dyDescent="0.3">
      <c r="A766" s="5" t="s">
        <v>44</v>
      </c>
      <c r="B766" s="6">
        <v>40260</v>
      </c>
      <c r="C766" s="5">
        <v>13</v>
      </c>
      <c r="D766" s="5">
        <v>3</v>
      </c>
      <c r="E766" s="5">
        <v>2010</v>
      </c>
      <c r="F766" s="5" t="s">
        <v>5</v>
      </c>
      <c r="G766" s="5" t="s">
        <v>5</v>
      </c>
      <c r="H766" s="7">
        <v>129931.47</v>
      </c>
      <c r="I766" s="7">
        <v>134992.47</v>
      </c>
      <c r="J766" s="7">
        <v>5061</v>
      </c>
      <c r="K766" s="8">
        <v>3.8951302559726293E-2</v>
      </c>
    </row>
    <row r="767" spans="1:11" x14ac:dyDescent="0.3">
      <c r="A767" s="5" t="s">
        <v>44</v>
      </c>
      <c r="B767" s="6">
        <v>40260</v>
      </c>
      <c r="C767" s="5">
        <v>13</v>
      </c>
      <c r="D767" s="5">
        <v>3</v>
      </c>
      <c r="E767" s="5">
        <v>2010</v>
      </c>
      <c r="F767" s="5" t="s">
        <v>20</v>
      </c>
      <c r="G767" s="5" t="s">
        <v>5</v>
      </c>
      <c r="H767" s="7">
        <v>18377.3</v>
      </c>
      <c r="I767" s="7">
        <v>20290.400000000001</v>
      </c>
      <c r="J767" s="7">
        <v>1913.1000000000022</v>
      </c>
      <c r="K767" s="8">
        <v>0.10410125535307158</v>
      </c>
    </row>
    <row r="768" spans="1:11" x14ac:dyDescent="0.3">
      <c r="A768" s="5" t="s">
        <v>44</v>
      </c>
      <c r="B768" s="6">
        <v>40260</v>
      </c>
      <c r="C768" s="5">
        <v>13</v>
      </c>
      <c r="D768" s="5">
        <v>3</v>
      </c>
      <c r="E768" s="5">
        <v>2010</v>
      </c>
      <c r="F768" s="5" t="s">
        <v>21</v>
      </c>
      <c r="G768" s="5" t="s">
        <v>5</v>
      </c>
      <c r="H768" s="7">
        <v>20968.45</v>
      </c>
      <c r="I768" s="7">
        <v>22321.07</v>
      </c>
      <c r="J768" s="7">
        <v>1352.619999999999</v>
      </c>
      <c r="K768" s="8">
        <v>6.4507390865800707E-2</v>
      </c>
    </row>
    <row r="769" spans="1:11" x14ac:dyDescent="0.3">
      <c r="A769" s="5" t="s">
        <v>44</v>
      </c>
      <c r="B769" s="6">
        <v>40260</v>
      </c>
      <c r="C769" s="5">
        <v>13</v>
      </c>
      <c r="D769" s="5">
        <v>3</v>
      </c>
      <c r="E769" s="5">
        <v>2010</v>
      </c>
      <c r="F769" s="5" t="s">
        <v>22</v>
      </c>
      <c r="G769" s="5" t="s">
        <v>8</v>
      </c>
      <c r="H769" s="7">
        <v>62715.63</v>
      </c>
      <c r="I769" s="7">
        <v>68120.960000000006</v>
      </c>
      <c r="J769" s="7">
        <v>5405.330000000009</v>
      </c>
      <c r="K769" s="8">
        <v>8.6187924764528537E-2</v>
      </c>
    </row>
    <row r="770" spans="1:11" x14ac:dyDescent="0.3">
      <c r="A770" s="5" t="s">
        <v>44</v>
      </c>
      <c r="B770" s="6">
        <v>40260</v>
      </c>
      <c r="C770" s="5">
        <v>13</v>
      </c>
      <c r="D770" s="5">
        <v>3</v>
      </c>
      <c r="E770" s="5">
        <v>2010</v>
      </c>
      <c r="F770" s="5" t="s">
        <v>23</v>
      </c>
      <c r="G770" s="5" t="s">
        <v>8</v>
      </c>
      <c r="H770" s="7">
        <v>21763.51</v>
      </c>
      <c r="I770" s="7">
        <v>23458.46</v>
      </c>
      <c r="J770" s="7">
        <v>1694.9500000000007</v>
      </c>
      <c r="K770" s="8">
        <v>7.7880360291147935E-2</v>
      </c>
    </row>
    <row r="771" spans="1:11" x14ac:dyDescent="0.3">
      <c r="A771" s="5" t="s">
        <v>44</v>
      </c>
      <c r="B771" s="6">
        <v>40260</v>
      </c>
      <c r="C771" s="5">
        <v>13</v>
      </c>
      <c r="D771" s="5">
        <v>3</v>
      </c>
      <c r="E771" s="5">
        <v>2010</v>
      </c>
      <c r="F771" s="5" t="s">
        <v>24</v>
      </c>
      <c r="G771" s="5" t="s">
        <v>8</v>
      </c>
      <c r="H771" s="7">
        <v>21786.5</v>
      </c>
      <c r="I771" s="7">
        <v>23770.46</v>
      </c>
      <c r="J771" s="7">
        <v>1983.9599999999991</v>
      </c>
      <c r="K771" s="8">
        <v>9.1063732127693711E-2</v>
      </c>
    </row>
    <row r="772" spans="1:11" x14ac:dyDescent="0.3">
      <c r="A772" s="5" t="s">
        <v>44</v>
      </c>
      <c r="B772" s="6">
        <v>40260</v>
      </c>
      <c r="C772" s="5">
        <v>13</v>
      </c>
      <c r="D772" s="5">
        <v>3</v>
      </c>
      <c r="E772" s="5">
        <v>2010</v>
      </c>
      <c r="F772" s="5" t="s">
        <v>27</v>
      </c>
      <c r="G772" s="5" t="s">
        <v>10</v>
      </c>
      <c r="H772" s="7">
        <v>4301.12</v>
      </c>
      <c r="I772" s="7">
        <v>4946.99</v>
      </c>
      <c r="J772" s="7">
        <v>645.86999999999989</v>
      </c>
      <c r="K772" s="8">
        <v>0.15016321330258164</v>
      </c>
    </row>
    <row r="773" spans="1:11" x14ac:dyDescent="0.3">
      <c r="A773" s="5" t="s">
        <v>44</v>
      </c>
      <c r="B773" s="6">
        <v>40260</v>
      </c>
      <c r="C773" s="5">
        <v>13</v>
      </c>
      <c r="D773" s="5">
        <v>3</v>
      </c>
      <c r="E773" s="5">
        <v>2010</v>
      </c>
      <c r="F773" s="5" t="s">
        <v>29</v>
      </c>
      <c r="G773" s="5" t="s">
        <v>10</v>
      </c>
      <c r="H773" s="7">
        <v>38450.050000000003</v>
      </c>
      <c r="I773" s="7">
        <v>41866.269999999997</v>
      </c>
      <c r="J773" s="7">
        <v>3416.2199999999939</v>
      </c>
      <c r="K773" s="8">
        <v>8.8848258974955657E-2</v>
      </c>
    </row>
    <row r="774" spans="1:11" x14ac:dyDescent="0.3">
      <c r="A774" s="5" t="s">
        <v>44</v>
      </c>
      <c r="B774" s="6">
        <v>40260</v>
      </c>
      <c r="C774" s="5">
        <v>13</v>
      </c>
      <c r="D774" s="5">
        <v>3</v>
      </c>
      <c r="E774" s="5">
        <v>2010</v>
      </c>
      <c r="F774" s="5" t="s">
        <v>30</v>
      </c>
      <c r="G774" s="5" t="s">
        <v>10</v>
      </c>
      <c r="H774" s="7">
        <v>3540.12</v>
      </c>
      <c r="I774" s="7">
        <v>3993.87</v>
      </c>
      <c r="J774" s="7">
        <v>453.75</v>
      </c>
      <c r="K774" s="8">
        <v>0.12817362123317855</v>
      </c>
    </row>
    <row r="775" spans="1:11" x14ac:dyDescent="0.3">
      <c r="A775" s="5" t="s">
        <v>44</v>
      </c>
      <c r="B775" s="6">
        <v>40260</v>
      </c>
      <c r="C775" s="5">
        <v>13</v>
      </c>
      <c r="D775" s="5">
        <v>3</v>
      </c>
      <c r="E775" s="5">
        <v>2010</v>
      </c>
      <c r="F775" s="5" t="s">
        <v>9</v>
      </c>
      <c r="G775" s="5" t="s">
        <v>9</v>
      </c>
      <c r="H775" s="7">
        <v>21769.39</v>
      </c>
      <c r="I775" s="7">
        <v>25175.93</v>
      </c>
      <c r="J775" s="7">
        <v>3406.5400000000009</v>
      </c>
      <c r="K775" s="8">
        <v>0.15648302501815628</v>
      </c>
    </row>
    <row r="776" spans="1:11" x14ac:dyDescent="0.3">
      <c r="A776" s="5" t="s">
        <v>44</v>
      </c>
      <c r="B776" s="6">
        <v>40260</v>
      </c>
      <c r="C776" s="5">
        <v>13</v>
      </c>
      <c r="D776" s="5">
        <v>3</v>
      </c>
      <c r="E776" s="5">
        <v>2010</v>
      </c>
      <c r="F776" s="5" t="s">
        <v>33</v>
      </c>
      <c r="G776" s="5" t="s">
        <v>7</v>
      </c>
      <c r="H776" s="7">
        <v>2207</v>
      </c>
      <c r="I776" s="7">
        <v>4078.22</v>
      </c>
      <c r="J776" s="7">
        <v>1871.2199999999998</v>
      </c>
      <c r="K776" s="8">
        <v>0.84785681921159939</v>
      </c>
    </row>
    <row r="777" spans="1:11" x14ac:dyDescent="0.3">
      <c r="A777" s="5" t="s">
        <v>44</v>
      </c>
      <c r="B777" s="6">
        <v>40260</v>
      </c>
      <c r="C777" s="5">
        <v>13</v>
      </c>
      <c r="D777" s="5">
        <v>3</v>
      </c>
      <c r="E777" s="5">
        <v>2010</v>
      </c>
      <c r="F777" s="5" t="s">
        <v>35</v>
      </c>
      <c r="G777" s="5" t="s">
        <v>11</v>
      </c>
      <c r="H777" s="7">
        <v>1899</v>
      </c>
      <c r="I777" s="7">
        <v>2126.6799999999998</v>
      </c>
      <c r="J777" s="7">
        <v>227.67999999999984</v>
      </c>
      <c r="K777" s="8">
        <v>0.11989468141126901</v>
      </c>
    </row>
    <row r="778" spans="1:11" x14ac:dyDescent="0.3">
      <c r="A778" s="5" t="s">
        <v>44</v>
      </c>
      <c r="B778" s="6">
        <v>40260</v>
      </c>
      <c r="C778" s="5">
        <v>13</v>
      </c>
      <c r="D778" s="5">
        <v>3</v>
      </c>
      <c r="E778" s="5">
        <v>2010</v>
      </c>
      <c r="F778" s="5" t="s">
        <v>36</v>
      </c>
      <c r="G778" s="5" t="s">
        <v>11</v>
      </c>
      <c r="H778" s="7">
        <v>17115.79</v>
      </c>
      <c r="I778" s="7">
        <v>19160.59</v>
      </c>
      <c r="J778" s="7">
        <v>2044.7999999999993</v>
      </c>
      <c r="K778" s="8">
        <v>0.11946863101264968</v>
      </c>
    </row>
    <row r="779" spans="1:11" x14ac:dyDescent="0.3">
      <c r="A779" s="5" t="s">
        <v>44</v>
      </c>
      <c r="B779" s="6">
        <v>40260</v>
      </c>
      <c r="C779" s="5">
        <v>13</v>
      </c>
      <c r="D779" s="5">
        <v>3</v>
      </c>
      <c r="E779" s="5">
        <v>2010</v>
      </c>
      <c r="F779" s="5" t="s">
        <v>37</v>
      </c>
      <c r="G779" s="5" t="s">
        <v>11</v>
      </c>
      <c r="H779" s="7">
        <v>25152.98</v>
      </c>
      <c r="I779" s="7">
        <v>27445.79</v>
      </c>
      <c r="J779" s="7">
        <v>2292.8100000000013</v>
      </c>
      <c r="K779" s="8">
        <v>9.1154606730494817E-2</v>
      </c>
    </row>
    <row r="780" spans="1:11" x14ac:dyDescent="0.3">
      <c r="A780" s="5" t="s">
        <v>44</v>
      </c>
      <c r="B780" s="6">
        <v>40260</v>
      </c>
      <c r="C780" s="5">
        <v>13</v>
      </c>
      <c r="D780" s="5">
        <v>3</v>
      </c>
      <c r="E780" s="5">
        <v>2010</v>
      </c>
      <c r="F780" s="5" t="s">
        <v>38</v>
      </c>
      <c r="G780" s="5" t="s">
        <v>11</v>
      </c>
      <c r="H780" s="7">
        <v>47710.25</v>
      </c>
      <c r="I780" s="7">
        <v>49245.78</v>
      </c>
      <c r="J780" s="7">
        <v>1535.5299999999988</v>
      </c>
      <c r="K780" s="8">
        <v>3.2184488658097553E-2</v>
      </c>
    </row>
    <row r="781" spans="1:11" x14ac:dyDescent="0.3">
      <c r="A781" s="5" t="s">
        <v>44</v>
      </c>
      <c r="B781" s="6">
        <v>40261</v>
      </c>
      <c r="C781" s="5">
        <v>13</v>
      </c>
      <c r="D781" s="5">
        <v>3</v>
      </c>
      <c r="E781" s="5">
        <v>2010</v>
      </c>
      <c r="F781" s="5" t="s">
        <v>15</v>
      </c>
      <c r="G781" s="5" t="s">
        <v>6</v>
      </c>
      <c r="H781" s="7">
        <v>14884.88</v>
      </c>
      <c r="I781" s="7">
        <v>17425.54</v>
      </c>
      <c r="J781" s="7">
        <v>2540.6600000000017</v>
      </c>
      <c r="K781" s="8">
        <v>0.17068730147639766</v>
      </c>
    </row>
    <row r="782" spans="1:11" x14ac:dyDescent="0.3">
      <c r="A782" s="5" t="s">
        <v>44</v>
      </c>
      <c r="B782" s="6">
        <v>40261</v>
      </c>
      <c r="C782" s="5">
        <v>13</v>
      </c>
      <c r="D782" s="5">
        <v>3</v>
      </c>
      <c r="E782" s="5">
        <v>2010</v>
      </c>
      <c r="F782" s="5" t="s">
        <v>16</v>
      </c>
      <c r="G782" s="5" t="s">
        <v>6</v>
      </c>
      <c r="H782" s="7">
        <v>13670.61</v>
      </c>
      <c r="I782" s="7">
        <v>15685.45</v>
      </c>
      <c r="J782" s="7">
        <v>2014.8400000000001</v>
      </c>
      <c r="K782" s="8">
        <v>0.14738479116879202</v>
      </c>
    </row>
    <row r="783" spans="1:11" x14ac:dyDescent="0.3">
      <c r="A783" s="5" t="s">
        <v>44</v>
      </c>
      <c r="B783" s="6">
        <v>40261</v>
      </c>
      <c r="C783" s="5">
        <v>13</v>
      </c>
      <c r="D783" s="5">
        <v>3</v>
      </c>
      <c r="E783" s="5">
        <v>2010</v>
      </c>
      <c r="F783" s="5" t="s">
        <v>17</v>
      </c>
      <c r="G783" s="5" t="s">
        <v>6</v>
      </c>
      <c r="H783" s="7">
        <v>710</v>
      </c>
      <c r="I783" s="7">
        <v>724.6</v>
      </c>
      <c r="J783" s="7">
        <v>14.600000000000023</v>
      </c>
      <c r="K783" s="8">
        <v>2.0563380281690174E-2</v>
      </c>
    </row>
    <row r="784" spans="1:11" x14ac:dyDescent="0.3">
      <c r="A784" s="5" t="s">
        <v>44</v>
      </c>
      <c r="B784" s="6">
        <v>40261</v>
      </c>
      <c r="C784" s="5">
        <v>13</v>
      </c>
      <c r="D784" s="5">
        <v>3</v>
      </c>
      <c r="E784" s="5">
        <v>2010</v>
      </c>
      <c r="F784" s="5" t="s">
        <v>18</v>
      </c>
      <c r="G784" s="5" t="s">
        <v>6</v>
      </c>
      <c r="H784" s="7">
        <v>1578.65</v>
      </c>
      <c r="I784" s="7">
        <v>1753.96</v>
      </c>
      <c r="J784" s="7">
        <v>175.30999999999995</v>
      </c>
      <c r="K784" s="8">
        <v>0.11105058119279126</v>
      </c>
    </row>
    <row r="785" spans="1:11" x14ac:dyDescent="0.3">
      <c r="A785" s="5" t="s">
        <v>44</v>
      </c>
      <c r="B785" s="6">
        <v>40261</v>
      </c>
      <c r="C785" s="5">
        <v>13</v>
      </c>
      <c r="D785" s="5">
        <v>3</v>
      </c>
      <c r="E785" s="5">
        <v>2010</v>
      </c>
      <c r="F785" s="5" t="s">
        <v>19</v>
      </c>
      <c r="G785" s="5" t="s">
        <v>5</v>
      </c>
      <c r="H785" s="7">
        <v>18787.98</v>
      </c>
      <c r="I785" s="7">
        <v>21479</v>
      </c>
      <c r="J785" s="7">
        <v>2691.0200000000004</v>
      </c>
      <c r="K785" s="8">
        <v>0.14323093807849491</v>
      </c>
    </row>
    <row r="786" spans="1:11" x14ac:dyDescent="0.3">
      <c r="A786" s="5" t="s">
        <v>44</v>
      </c>
      <c r="B786" s="6">
        <v>40261</v>
      </c>
      <c r="C786" s="5">
        <v>13</v>
      </c>
      <c r="D786" s="5">
        <v>3</v>
      </c>
      <c r="E786" s="5">
        <v>2010</v>
      </c>
      <c r="F786" s="5" t="s">
        <v>5</v>
      </c>
      <c r="G786" s="5" t="s">
        <v>5</v>
      </c>
      <c r="H786" s="7">
        <v>117542.45</v>
      </c>
      <c r="I786" s="7">
        <v>120723.99</v>
      </c>
      <c r="J786" s="7">
        <v>3181.5400000000081</v>
      </c>
      <c r="K786" s="8">
        <v>2.7067157439716528E-2</v>
      </c>
    </row>
    <row r="787" spans="1:11" x14ac:dyDescent="0.3">
      <c r="A787" s="5" t="s">
        <v>44</v>
      </c>
      <c r="B787" s="6">
        <v>40261</v>
      </c>
      <c r="C787" s="5">
        <v>13</v>
      </c>
      <c r="D787" s="5">
        <v>3</v>
      </c>
      <c r="E787" s="5">
        <v>2010</v>
      </c>
      <c r="F787" s="5" t="s">
        <v>20</v>
      </c>
      <c r="G787" s="5" t="s">
        <v>5</v>
      </c>
      <c r="H787" s="7">
        <v>12339.38</v>
      </c>
      <c r="I787" s="7">
        <v>13824.06</v>
      </c>
      <c r="J787" s="7">
        <v>1484.6800000000003</v>
      </c>
      <c r="K787" s="8">
        <v>0.12032046991015759</v>
      </c>
    </row>
    <row r="788" spans="1:11" x14ac:dyDescent="0.3">
      <c r="A788" s="5" t="s">
        <v>44</v>
      </c>
      <c r="B788" s="6">
        <v>40261</v>
      </c>
      <c r="C788" s="5">
        <v>13</v>
      </c>
      <c r="D788" s="5">
        <v>3</v>
      </c>
      <c r="E788" s="5">
        <v>2010</v>
      </c>
      <c r="F788" s="5" t="s">
        <v>21</v>
      </c>
      <c r="G788" s="5" t="s">
        <v>5</v>
      </c>
      <c r="H788" s="7">
        <v>25499.08</v>
      </c>
      <c r="I788" s="7">
        <v>27360.9</v>
      </c>
      <c r="J788" s="7">
        <v>1861.8199999999997</v>
      </c>
      <c r="K788" s="8">
        <v>7.301518329288742E-2</v>
      </c>
    </row>
    <row r="789" spans="1:11" x14ac:dyDescent="0.3">
      <c r="A789" s="5" t="s">
        <v>44</v>
      </c>
      <c r="B789" s="6">
        <v>40261</v>
      </c>
      <c r="C789" s="5">
        <v>13</v>
      </c>
      <c r="D789" s="5">
        <v>3</v>
      </c>
      <c r="E789" s="5">
        <v>2010</v>
      </c>
      <c r="F789" s="5" t="s">
        <v>22</v>
      </c>
      <c r="G789" s="5" t="s">
        <v>8</v>
      </c>
      <c r="H789" s="7">
        <v>58477.15</v>
      </c>
      <c r="I789" s="7">
        <v>63074.03</v>
      </c>
      <c r="J789" s="7">
        <v>4596.8799999999974</v>
      </c>
      <c r="K789" s="8">
        <v>7.8609850172246726E-2</v>
      </c>
    </row>
    <row r="790" spans="1:11" x14ac:dyDescent="0.3">
      <c r="A790" s="5" t="s">
        <v>44</v>
      </c>
      <c r="B790" s="6">
        <v>40261</v>
      </c>
      <c r="C790" s="5">
        <v>13</v>
      </c>
      <c r="D790" s="5">
        <v>3</v>
      </c>
      <c r="E790" s="5">
        <v>2010</v>
      </c>
      <c r="F790" s="5" t="s">
        <v>23</v>
      </c>
      <c r="G790" s="5" t="s">
        <v>8</v>
      </c>
      <c r="H790" s="7">
        <v>29577.200000000001</v>
      </c>
      <c r="I790" s="7">
        <v>31317.21</v>
      </c>
      <c r="J790" s="7">
        <v>1740.0099999999984</v>
      </c>
      <c r="K790" s="8">
        <v>5.8829436187333432E-2</v>
      </c>
    </row>
    <row r="791" spans="1:11" x14ac:dyDescent="0.3">
      <c r="A791" s="5" t="s">
        <v>44</v>
      </c>
      <c r="B791" s="6">
        <v>40261</v>
      </c>
      <c r="C791" s="5">
        <v>13</v>
      </c>
      <c r="D791" s="5">
        <v>3</v>
      </c>
      <c r="E791" s="5">
        <v>2010</v>
      </c>
      <c r="F791" s="5" t="s">
        <v>24</v>
      </c>
      <c r="G791" s="5" t="s">
        <v>8</v>
      </c>
      <c r="H791" s="7">
        <v>22116</v>
      </c>
      <c r="I791" s="7">
        <v>23270.52</v>
      </c>
      <c r="J791" s="7">
        <v>1154.5200000000004</v>
      </c>
      <c r="K791" s="8">
        <v>5.2202930005425953E-2</v>
      </c>
    </row>
    <row r="792" spans="1:11" x14ac:dyDescent="0.3">
      <c r="A792" s="5" t="s">
        <v>44</v>
      </c>
      <c r="B792" s="6">
        <v>40261</v>
      </c>
      <c r="C792" s="5">
        <v>13</v>
      </c>
      <c r="D792" s="5">
        <v>3</v>
      </c>
      <c r="E792" s="5">
        <v>2010</v>
      </c>
      <c r="F792" s="5" t="s">
        <v>27</v>
      </c>
      <c r="G792" s="5" t="s">
        <v>10</v>
      </c>
      <c r="H792" s="7">
        <v>4369.28</v>
      </c>
      <c r="I792" s="7">
        <v>5022.37</v>
      </c>
      <c r="J792" s="7">
        <v>653.09000000000015</v>
      </c>
      <c r="K792" s="8">
        <v>0.14947313973927059</v>
      </c>
    </row>
    <row r="793" spans="1:11" x14ac:dyDescent="0.3">
      <c r="A793" s="5" t="s">
        <v>44</v>
      </c>
      <c r="B793" s="6">
        <v>40261</v>
      </c>
      <c r="C793" s="5">
        <v>13</v>
      </c>
      <c r="D793" s="5">
        <v>3</v>
      </c>
      <c r="E793" s="5">
        <v>2010</v>
      </c>
      <c r="F793" s="5" t="s">
        <v>29</v>
      </c>
      <c r="G793" s="5" t="s">
        <v>10</v>
      </c>
      <c r="H793" s="7">
        <v>41318.67</v>
      </c>
      <c r="I793" s="7">
        <v>44740.39</v>
      </c>
      <c r="J793" s="7">
        <v>3421.7200000000012</v>
      </c>
      <c r="K793" s="8">
        <v>8.2812926940775231E-2</v>
      </c>
    </row>
    <row r="794" spans="1:11" x14ac:dyDescent="0.3">
      <c r="A794" s="5" t="s">
        <v>44</v>
      </c>
      <c r="B794" s="6">
        <v>40261</v>
      </c>
      <c r="C794" s="5">
        <v>13</v>
      </c>
      <c r="D794" s="5">
        <v>3</v>
      </c>
      <c r="E794" s="5">
        <v>2010</v>
      </c>
      <c r="F794" s="5" t="s">
        <v>30</v>
      </c>
      <c r="G794" s="5" t="s">
        <v>10</v>
      </c>
      <c r="H794" s="7">
        <v>3908.74</v>
      </c>
      <c r="I794" s="7">
        <v>4527.6499999999996</v>
      </c>
      <c r="J794" s="7">
        <v>618.90999999999985</v>
      </c>
      <c r="K794" s="8">
        <v>0.15834002773272202</v>
      </c>
    </row>
    <row r="795" spans="1:11" x14ac:dyDescent="0.3">
      <c r="A795" s="5" t="s">
        <v>44</v>
      </c>
      <c r="B795" s="6">
        <v>40261</v>
      </c>
      <c r="C795" s="5">
        <v>13</v>
      </c>
      <c r="D795" s="5">
        <v>3</v>
      </c>
      <c r="E795" s="5">
        <v>2010</v>
      </c>
      <c r="F795" s="5" t="s">
        <v>9</v>
      </c>
      <c r="G795" s="5" t="s">
        <v>9</v>
      </c>
      <c r="H795" s="7">
        <v>15443.45</v>
      </c>
      <c r="I795" s="7">
        <v>18139.66</v>
      </c>
      <c r="J795" s="7">
        <v>2696.2099999999991</v>
      </c>
      <c r="K795" s="8">
        <v>0.17458598952954157</v>
      </c>
    </row>
    <row r="796" spans="1:11" x14ac:dyDescent="0.3">
      <c r="A796" s="5" t="s">
        <v>44</v>
      </c>
      <c r="B796" s="6">
        <v>40261</v>
      </c>
      <c r="C796" s="5">
        <v>13</v>
      </c>
      <c r="D796" s="5">
        <v>3</v>
      </c>
      <c r="E796" s="5">
        <v>2010</v>
      </c>
      <c r="F796" s="5" t="s">
        <v>33</v>
      </c>
      <c r="G796" s="5" t="s">
        <v>7</v>
      </c>
      <c r="H796" s="7">
        <v>1998</v>
      </c>
      <c r="I796" s="7">
        <v>4007.18</v>
      </c>
      <c r="J796" s="7">
        <v>2009.1799999999998</v>
      </c>
      <c r="K796" s="8">
        <v>1.0055955955955955</v>
      </c>
    </row>
    <row r="797" spans="1:11" x14ac:dyDescent="0.3">
      <c r="A797" s="5" t="s">
        <v>44</v>
      </c>
      <c r="B797" s="6">
        <v>40261</v>
      </c>
      <c r="C797" s="5">
        <v>13</v>
      </c>
      <c r="D797" s="5">
        <v>3</v>
      </c>
      <c r="E797" s="5">
        <v>2010</v>
      </c>
      <c r="F797" s="5" t="s">
        <v>35</v>
      </c>
      <c r="G797" s="5" t="s">
        <v>11</v>
      </c>
      <c r="H797" s="7">
        <v>4766</v>
      </c>
      <c r="I797" s="7">
        <v>5320.65</v>
      </c>
      <c r="J797" s="7">
        <v>554.64999999999964</v>
      </c>
      <c r="K797" s="8">
        <v>0.11637641628199741</v>
      </c>
    </row>
    <row r="798" spans="1:11" x14ac:dyDescent="0.3">
      <c r="A798" s="5" t="s">
        <v>44</v>
      </c>
      <c r="B798" s="6">
        <v>40261</v>
      </c>
      <c r="C798" s="5">
        <v>13</v>
      </c>
      <c r="D798" s="5">
        <v>3</v>
      </c>
      <c r="E798" s="5">
        <v>2010</v>
      </c>
      <c r="F798" s="5" t="s">
        <v>36</v>
      </c>
      <c r="G798" s="5" t="s">
        <v>11</v>
      </c>
      <c r="H798" s="7">
        <v>17481.79</v>
      </c>
      <c r="I798" s="7">
        <v>19386.439999999999</v>
      </c>
      <c r="J798" s="7">
        <v>1904.6499999999978</v>
      </c>
      <c r="K798" s="8">
        <v>0.10895051364877383</v>
      </c>
    </row>
    <row r="799" spans="1:11" x14ac:dyDescent="0.3">
      <c r="A799" s="5" t="s">
        <v>44</v>
      </c>
      <c r="B799" s="6">
        <v>40261</v>
      </c>
      <c r="C799" s="5">
        <v>13</v>
      </c>
      <c r="D799" s="5">
        <v>3</v>
      </c>
      <c r="E799" s="5">
        <v>2010</v>
      </c>
      <c r="F799" s="5" t="s">
        <v>37</v>
      </c>
      <c r="G799" s="5" t="s">
        <v>11</v>
      </c>
      <c r="H799" s="7">
        <v>44243.1</v>
      </c>
      <c r="I799" s="7">
        <v>46995.62</v>
      </c>
      <c r="J799" s="7">
        <v>2752.5200000000041</v>
      </c>
      <c r="K799" s="8">
        <v>6.221354290273521E-2</v>
      </c>
    </row>
    <row r="800" spans="1:11" x14ac:dyDescent="0.3">
      <c r="A800" s="5" t="s">
        <v>44</v>
      </c>
      <c r="B800" s="6">
        <v>40261</v>
      </c>
      <c r="C800" s="5">
        <v>13</v>
      </c>
      <c r="D800" s="5">
        <v>3</v>
      </c>
      <c r="E800" s="5">
        <v>2010</v>
      </c>
      <c r="F800" s="5" t="s">
        <v>38</v>
      </c>
      <c r="G800" s="5" t="s">
        <v>11</v>
      </c>
      <c r="H800" s="7">
        <v>30083.119999999999</v>
      </c>
      <c r="I800" s="7">
        <v>31347.29</v>
      </c>
      <c r="J800" s="7">
        <v>1264.1700000000019</v>
      </c>
      <c r="K800" s="8">
        <v>4.2022569467528699E-2</v>
      </c>
    </row>
    <row r="801" spans="1:11" x14ac:dyDescent="0.3">
      <c r="A801" s="5" t="s">
        <v>44</v>
      </c>
      <c r="B801" s="6">
        <v>40262</v>
      </c>
      <c r="C801" s="5">
        <v>13</v>
      </c>
      <c r="D801" s="5">
        <v>3</v>
      </c>
      <c r="E801" s="5">
        <v>2010</v>
      </c>
      <c r="F801" s="5" t="s">
        <v>14</v>
      </c>
      <c r="G801" s="5" t="s">
        <v>6</v>
      </c>
      <c r="H801" s="7">
        <v>624</v>
      </c>
      <c r="I801" s="7">
        <v>779.93</v>
      </c>
      <c r="J801" s="7">
        <v>155.92999999999995</v>
      </c>
      <c r="K801" s="8">
        <v>0.24988782051282044</v>
      </c>
    </row>
    <row r="802" spans="1:11" x14ac:dyDescent="0.3">
      <c r="A802" s="5" t="s">
        <v>44</v>
      </c>
      <c r="B802" s="6">
        <v>40262</v>
      </c>
      <c r="C802" s="5">
        <v>13</v>
      </c>
      <c r="D802" s="5">
        <v>3</v>
      </c>
      <c r="E802" s="5">
        <v>2010</v>
      </c>
      <c r="F802" s="5" t="s">
        <v>15</v>
      </c>
      <c r="G802" s="5" t="s">
        <v>6</v>
      </c>
      <c r="H802" s="7">
        <v>10923.19</v>
      </c>
      <c r="I802" s="7">
        <v>12974.47</v>
      </c>
      <c r="J802" s="7">
        <v>2051.2799999999988</v>
      </c>
      <c r="K802" s="8">
        <v>0.18779129539997003</v>
      </c>
    </row>
    <row r="803" spans="1:11" x14ac:dyDescent="0.3">
      <c r="A803" s="5" t="s">
        <v>44</v>
      </c>
      <c r="B803" s="6">
        <v>40262</v>
      </c>
      <c r="C803" s="5">
        <v>13</v>
      </c>
      <c r="D803" s="5">
        <v>3</v>
      </c>
      <c r="E803" s="5">
        <v>2010</v>
      </c>
      <c r="F803" s="5" t="s">
        <v>16</v>
      </c>
      <c r="G803" s="5" t="s">
        <v>6</v>
      </c>
      <c r="H803" s="7">
        <v>8593.84</v>
      </c>
      <c r="I803" s="7">
        <v>9616.4500000000007</v>
      </c>
      <c r="J803" s="7">
        <v>1022.6100000000006</v>
      </c>
      <c r="K803" s="8">
        <v>0.11899337199668607</v>
      </c>
    </row>
    <row r="804" spans="1:11" x14ac:dyDescent="0.3">
      <c r="A804" s="5" t="s">
        <v>44</v>
      </c>
      <c r="B804" s="6">
        <v>40262</v>
      </c>
      <c r="C804" s="5">
        <v>13</v>
      </c>
      <c r="D804" s="5">
        <v>3</v>
      </c>
      <c r="E804" s="5">
        <v>2010</v>
      </c>
      <c r="F804" s="5" t="s">
        <v>18</v>
      </c>
      <c r="G804" s="5" t="s">
        <v>6</v>
      </c>
      <c r="H804" s="7">
        <v>426</v>
      </c>
      <c r="I804" s="7">
        <v>452.95</v>
      </c>
      <c r="J804" s="7">
        <v>26.949999999999989</v>
      </c>
      <c r="K804" s="8">
        <v>6.3262910798122032E-2</v>
      </c>
    </row>
    <row r="805" spans="1:11" x14ac:dyDescent="0.3">
      <c r="A805" s="5" t="s">
        <v>44</v>
      </c>
      <c r="B805" s="6">
        <v>40262</v>
      </c>
      <c r="C805" s="5">
        <v>13</v>
      </c>
      <c r="D805" s="5">
        <v>3</v>
      </c>
      <c r="E805" s="5">
        <v>2010</v>
      </c>
      <c r="F805" s="5" t="s">
        <v>19</v>
      </c>
      <c r="G805" s="5" t="s">
        <v>5</v>
      </c>
      <c r="H805" s="7">
        <v>18452.11</v>
      </c>
      <c r="I805" s="7">
        <v>20577.96</v>
      </c>
      <c r="J805" s="7">
        <v>2125.8499999999985</v>
      </c>
      <c r="K805" s="8">
        <v>0.1152090465534835</v>
      </c>
    </row>
    <row r="806" spans="1:11" x14ac:dyDescent="0.3">
      <c r="A806" s="5" t="s">
        <v>44</v>
      </c>
      <c r="B806" s="6">
        <v>40262</v>
      </c>
      <c r="C806" s="5">
        <v>13</v>
      </c>
      <c r="D806" s="5">
        <v>3</v>
      </c>
      <c r="E806" s="5">
        <v>2010</v>
      </c>
      <c r="F806" s="5" t="s">
        <v>5</v>
      </c>
      <c r="G806" s="5" t="s">
        <v>5</v>
      </c>
      <c r="H806" s="7">
        <v>76679.86</v>
      </c>
      <c r="I806" s="7">
        <v>78892.13</v>
      </c>
      <c r="J806" s="7">
        <v>2212.2700000000041</v>
      </c>
      <c r="K806" s="8">
        <v>2.8850730817714117E-2</v>
      </c>
    </row>
    <row r="807" spans="1:11" x14ac:dyDescent="0.3">
      <c r="A807" s="5" t="s">
        <v>44</v>
      </c>
      <c r="B807" s="6">
        <v>40262</v>
      </c>
      <c r="C807" s="5">
        <v>13</v>
      </c>
      <c r="D807" s="5">
        <v>3</v>
      </c>
      <c r="E807" s="5">
        <v>2010</v>
      </c>
      <c r="F807" s="5" t="s">
        <v>20</v>
      </c>
      <c r="G807" s="5" t="s">
        <v>5</v>
      </c>
      <c r="H807" s="7">
        <v>12048.58</v>
      </c>
      <c r="I807" s="7">
        <v>13030.23</v>
      </c>
      <c r="J807" s="7">
        <v>981.64999999999964</v>
      </c>
      <c r="K807" s="8">
        <v>8.1474331414988291E-2</v>
      </c>
    </row>
    <row r="808" spans="1:11" x14ac:dyDescent="0.3">
      <c r="A808" s="5" t="s">
        <v>44</v>
      </c>
      <c r="B808" s="6">
        <v>40262</v>
      </c>
      <c r="C808" s="5">
        <v>13</v>
      </c>
      <c r="D808" s="5">
        <v>3</v>
      </c>
      <c r="E808" s="5">
        <v>2010</v>
      </c>
      <c r="F808" s="5" t="s">
        <v>21</v>
      </c>
      <c r="G808" s="5" t="s">
        <v>5</v>
      </c>
      <c r="H808" s="7">
        <v>22962.65</v>
      </c>
      <c r="I808" s="7">
        <v>24290.33</v>
      </c>
      <c r="J808" s="7">
        <v>1327.6800000000003</v>
      </c>
      <c r="K808" s="8">
        <v>5.7819110599168659E-2</v>
      </c>
    </row>
    <row r="809" spans="1:11" x14ac:dyDescent="0.3">
      <c r="A809" s="5" t="s">
        <v>44</v>
      </c>
      <c r="B809" s="6">
        <v>40262</v>
      </c>
      <c r="C809" s="5">
        <v>13</v>
      </c>
      <c r="D809" s="5">
        <v>3</v>
      </c>
      <c r="E809" s="5">
        <v>2010</v>
      </c>
      <c r="F809" s="5" t="s">
        <v>22</v>
      </c>
      <c r="G809" s="5" t="s">
        <v>8</v>
      </c>
      <c r="H809" s="7">
        <v>25539</v>
      </c>
      <c r="I809" s="7">
        <v>28205.4</v>
      </c>
      <c r="J809" s="7">
        <v>2666.4000000000015</v>
      </c>
      <c r="K809" s="8">
        <v>0.10440502760483972</v>
      </c>
    </row>
    <row r="810" spans="1:11" x14ac:dyDescent="0.3">
      <c r="A810" s="5" t="s">
        <v>44</v>
      </c>
      <c r="B810" s="6">
        <v>40262</v>
      </c>
      <c r="C810" s="5">
        <v>13</v>
      </c>
      <c r="D810" s="5">
        <v>3</v>
      </c>
      <c r="E810" s="5">
        <v>2010</v>
      </c>
      <c r="F810" s="5" t="s">
        <v>23</v>
      </c>
      <c r="G810" s="5" t="s">
        <v>8</v>
      </c>
      <c r="H810" s="7">
        <v>12036.3</v>
      </c>
      <c r="I810" s="7">
        <v>13149.9</v>
      </c>
      <c r="J810" s="7">
        <v>1113.6000000000004</v>
      </c>
      <c r="K810" s="8">
        <v>9.2520126616983667E-2</v>
      </c>
    </row>
    <row r="811" spans="1:11" x14ac:dyDescent="0.3">
      <c r="A811" s="5" t="s">
        <v>44</v>
      </c>
      <c r="B811" s="6">
        <v>40262</v>
      </c>
      <c r="C811" s="5">
        <v>13</v>
      </c>
      <c r="D811" s="5">
        <v>3</v>
      </c>
      <c r="E811" s="5">
        <v>2010</v>
      </c>
      <c r="F811" s="5" t="s">
        <v>24</v>
      </c>
      <c r="G811" s="5" t="s">
        <v>8</v>
      </c>
      <c r="H811" s="7">
        <v>12834.99</v>
      </c>
      <c r="I811" s="7">
        <v>14436.86</v>
      </c>
      <c r="J811" s="7">
        <v>1601.8700000000008</v>
      </c>
      <c r="K811" s="8">
        <v>0.12480492777945296</v>
      </c>
    </row>
    <row r="812" spans="1:11" x14ac:dyDescent="0.3">
      <c r="A812" s="5" t="s">
        <v>44</v>
      </c>
      <c r="B812" s="6">
        <v>40262</v>
      </c>
      <c r="C812" s="5">
        <v>13</v>
      </c>
      <c r="D812" s="5">
        <v>3</v>
      </c>
      <c r="E812" s="5">
        <v>2010</v>
      </c>
      <c r="F812" s="5" t="s">
        <v>27</v>
      </c>
      <c r="G812" s="5" t="s">
        <v>10</v>
      </c>
      <c r="H812" s="7">
        <v>4019.5</v>
      </c>
      <c r="I812" s="7">
        <v>4621.8599999999997</v>
      </c>
      <c r="J812" s="7">
        <v>602.35999999999967</v>
      </c>
      <c r="K812" s="8">
        <v>0.14985943525314085</v>
      </c>
    </row>
    <row r="813" spans="1:11" x14ac:dyDescent="0.3">
      <c r="A813" s="5" t="s">
        <v>44</v>
      </c>
      <c r="B813" s="6">
        <v>40262</v>
      </c>
      <c r="C813" s="5">
        <v>13</v>
      </c>
      <c r="D813" s="5">
        <v>3</v>
      </c>
      <c r="E813" s="5">
        <v>2010</v>
      </c>
      <c r="F813" s="5" t="s">
        <v>29</v>
      </c>
      <c r="G813" s="5" t="s">
        <v>10</v>
      </c>
      <c r="H813" s="7">
        <v>48908.73</v>
      </c>
      <c r="I813" s="7">
        <v>52385.85</v>
      </c>
      <c r="J813" s="7">
        <v>3477.1199999999953</v>
      </c>
      <c r="K813" s="8">
        <v>7.1094056214503931E-2</v>
      </c>
    </row>
    <row r="814" spans="1:11" x14ac:dyDescent="0.3">
      <c r="A814" s="5" t="s">
        <v>44</v>
      </c>
      <c r="B814" s="6">
        <v>40262</v>
      </c>
      <c r="C814" s="5">
        <v>13</v>
      </c>
      <c r="D814" s="5">
        <v>3</v>
      </c>
      <c r="E814" s="5">
        <v>2010</v>
      </c>
      <c r="F814" s="5" t="s">
        <v>30</v>
      </c>
      <c r="G814" s="5" t="s">
        <v>10</v>
      </c>
      <c r="H814" s="7">
        <v>2826.82</v>
      </c>
      <c r="I814" s="7">
        <v>3280.87</v>
      </c>
      <c r="J814" s="7">
        <v>454.04999999999973</v>
      </c>
      <c r="K814" s="8">
        <v>0.16062218323062655</v>
      </c>
    </row>
    <row r="815" spans="1:11" x14ac:dyDescent="0.3">
      <c r="A815" s="5" t="s">
        <v>44</v>
      </c>
      <c r="B815" s="6">
        <v>40262</v>
      </c>
      <c r="C815" s="5">
        <v>13</v>
      </c>
      <c r="D815" s="5">
        <v>3</v>
      </c>
      <c r="E815" s="5">
        <v>2010</v>
      </c>
      <c r="F815" s="5" t="s">
        <v>9</v>
      </c>
      <c r="G815" s="5" t="s">
        <v>9</v>
      </c>
      <c r="H815" s="7">
        <v>12460.43</v>
      </c>
      <c r="I815" s="7">
        <v>14922.59</v>
      </c>
      <c r="J815" s="7">
        <v>2462.16</v>
      </c>
      <c r="K815" s="8">
        <v>0.19759831723303287</v>
      </c>
    </row>
    <row r="816" spans="1:11" x14ac:dyDescent="0.3">
      <c r="A816" s="5" t="s">
        <v>44</v>
      </c>
      <c r="B816" s="6">
        <v>40262</v>
      </c>
      <c r="C816" s="5">
        <v>13</v>
      </c>
      <c r="D816" s="5">
        <v>3</v>
      </c>
      <c r="E816" s="5">
        <v>2010</v>
      </c>
      <c r="F816" s="5" t="s">
        <v>33</v>
      </c>
      <c r="G816" s="5" t="s">
        <v>7</v>
      </c>
      <c r="H816" s="7">
        <v>2332</v>
      </c>
      <c r="I816" s="7">
        <v>4076.23</v>
      </c>
      <c r="J816" s="7">
        <v>1744.23</v>
      </c>
      <c r="K816" s="8">
        <v>0.74795454545454543</v>
      </c>
    </row>
    <row r="817" spans="1:11" x14ac:dyDescent="0.3">
      <c r="A817" s="5" t="s">
        <v>44</v>
      </c>
      <c r="B817" s="6">
        <v>40262</v>
      </c>
      <c r="C817" s="5">
        <v>13</v>
      </c>
      <c r="D817" s="5">
        <v>3</v>
      </c>
      <c r="E817" s="5">
        <v>2010</v>
      </c>
      <c r="F817" s="5" t="s">
        <v>35</v>
      </c>
      <c r="G817" s="5" t="s">
        <v>11</v>
      </c>
      <c r="H817" s="7">
        <v>266</v>
      </c>
      <c r="I817" s="7">
        <v>297.95</v>
      </c>
      <c r="J817" s="7">
        <v>31.949999999999989</v>
      </c>
      <c r="K817" s="8">
        <v>0.12011278195488717</v>
      </c>
    </row>
    <row r="818" spans="1:11" x14ac:dyDescent="0.3">
      <c r="A818" s="5" t="s">
        <v>44</v>
      </c>
      <c r="B818" s="6">
        <v>40262</v>
      </c>
      <c r="C818" s="5">
        <v>13</v>
      </c>
      <c r="D818" s="5">
        <v>3</v>
      </c>
      <c r="E818" s="5">
        <v>2010</v>
      </c>
      <c r="F818" s="5" t="s">
        <v>36</v>
      </c>
      <c r="G818" s="5" t="s">
        <v>11</v>
      </c>
      <c r="H818" s="7">
        <v>10071.24</v>
      </c>
      <c r="I818" s="7">
        <v>11213.19</v>
      </c>
      <c r="J818" s="7">
        <v>1141.9500000000007</v>
      </c>
      <c r="K818" s="8">
        <v>0.11338722937791183</v>
      </c>
    </row>
    <row r="819" spans="1:11" x14ac:dyDescent="0.3">
      <c r="A819" s="5" t="s">
        <v>44</v>
      </c>
      <c r="B819" s="6">
        <v>40262</v>
      </c>
      <c r="C819" s="5">
        <v>13</v>
      </c>
      <c r="D819" s="5">
        <v>3</v>
      </c>
      <c r="E819" s="5">
        <v>2010</v>
      </c>
      <c r="F819" s="5" t="s">
        <v>37</v>
      </c>
      <c r="G819" s="5" t="s">
        <v>11</v>
      </c>
      <c r="H819" s="7">
        <v>21528.13</v>
      </c>
      <c r="I819" s="7">
        <v>23721.25</v>
      </c>
      <c r="J819" s="7">
        <v>2193.119999999999</v>
      </c>
      <c r="K819" s="8">
        <v>0.10187229452813593</v>
      </c>
    </row>
    <row r="820" spans="1:11" x14ac:dyDescent="0.3">
      <c r="A820" s="5" t="s">
        <v>44</v>
      </c>
      <c r="B820" s="6">
        <v>40262</v>
      </c>
      <c r="C820" s="5">
        <v>13</v>
      </c>
      <c r="D820" s="5">
        <v>3</v>
      </c>
      <c r="E820" s="5">
        <v>2010</v>
      </c>
      <c r="F820" s="5" t="s">
        <v>38</v>
      </c>
      <c r="G820" s="5" t="s">
        <v>11</v>
      </c>
      <c r="H820" s="7">
        <v>21436.639999999999</v>
      </c>
      <c r="I820" s="7">
        <v>22104.43</v>
      </c>
      <c r="J820" s="7">
        <v>667.79000000000087</v>
      </c>
      <c r="K820" s="8">
        <v>3.1151803640869134E-2</v>
      </c>
    </row>
    <row r="821" spans="1:11" x14ac:dyDescent="0.3">
      <c r="A821" s="5" t="s">
        <v>44</v>
      </c>
      <c r="B821" s="6">
        <v>40263</v>
      </c>
      <c r="C821" s="5">
        <v>13</v>
      </c>
      <c r="D821" s="5">
        <v>3</v>
      </c>
      <c r="E821" s="5">
        <v>2010</v>
      </c>
      <c r="F821" s="5" t="s">
        <v>14</v>
      </c>
      <c r="G821" s="5" t="s">
        <v>6</v>
      </c>
      <c r="H821" s="7">
        <v>780</v>
      </c>
      <c r="I821" s="7">
        <v>974.96</v>
      </c>
      <c r="J821" s="7">
        <v>194.96000000000004</v>
      </c>
      <c r="K821" s="8">
        <v>0.24994871794871801</v>
      </c>
    </row>
    <row r="822" spans="1:11" x14ac:dyDescent="0.3">
      <c r="A822" s="5" t="s">
        <v>44</v>
      </c>
      <c r="B822" s="6">
        <v>40263</v>
      </c>
      <c r="C822" s="5">
        <v>13</v>
      </c>
      <c r="D822" s="5">
        <v>3</v>
      </c>
      <c r="E822" s="5">
        <v>2010</v>
      </c>
      <c r="F822" s="5" t="s">
        <v>15</v>
      </c>
      <c r="G822" s="5" t="s">
        <v>6</v>
      </c>
      <c r="H822" s="7">
        <v>15893.66</v>
      </c>
      <c r="I822" s="7">
        <v>18078.21</v>
      </c>
      <c r="J822" s="7">
        <v>2184.5499999999993</v>
      </c>
      <c r="K822" s="8">
        <v>0.13744788802579136</v>
      </c>
    </row>
    <row r="823" spans="1:11" x14ac:dyDescent="0.3">
      <c r="A823" s="5" t="s">
        <v>44</v>
      </c>
      <c r="B823" s="6">
        <v>40263</v>
      </c>
      <c r="C823" s="5">
        <v>13</v>
      </c>
      <c r="D823" s="5">
        <v>3</v>
      </c>
      <c r="E823" s="5">
        <v>2010</v>
      </c>
      <c r="F823" s="5" t="s">
        <v>16</v>
      </c>
      <c r="G823" s="5" t="s">
        <v>6</v>
      </c>
      <c r="H823" s="7">
        <v>10659.04</v>
      </c>
      <c r="I823" s="7">
        <v>12281.54</v>
      </c>
      <c r="J823" s="7">
        <v>1622.5</v>
      </c>
      <c r="K823" s="8">
        <v>0.15221821102087993</v>
      </c>
    </row>
    <row r="824" spans="1:11" x14ac:dyDescent="0.3">
      <c r="A824" s="5" t="s">
        <v>44</v>
      </c>
      <c r="B824" s="6">
        <v>40263</v>
      </c>
      <c r="C824" s="5">
        <v>13</v>
      </c>
      <c r="D824" s="5">
        <v>3</v>
      </c>
      <c r="E824" s="5">
        <v>2010</v>
      </c>
      <c r="F824" s="5" t="s">
        <v>18</v>
      </c>
      <c r="G824" s="5" t="s">
        <v>6</v>
      </c>
      <c r="H824" s="7">
        <v>1430</v>
      </c>
      <c r="I824" s="7">
        <v>1510.49</v>
      </c>
      <c r="J824" s="7">
        <v>80.490000000000009</v>
      </c>
      <c r="K824" s="8">
        <v>5.6286713286713294E-2</v>
      </c>
    </row>
    <row r="825" spans="1:11" x14ac:dyDescent="0.3">
      <c r="A825" s="5" t="s">
        <v>44</v>
      </c>
      <c r="B825" s="6">
        <v>40263</v>
      </c>
      <c r="C825" s="5">
        <v>13</v>
      </c>
      <c r="D825" s="5">
        <v>3</v>
      </c>
      <c r="E825" s="5">
        <v>2010</v>
      </c>
      <c r="F825" s="5" t="s">
        <v>19</v>
      </c>
      <c r="G825" s="5" t="s">
        <v>5</v>
      </c>
      <c r="H825" s="7">
        <v>16553</v>
      </c>
      <c r="I825" s="7">
        <v>18648.64</v>
      </c>
      <c r="J825" s="7">
        <v>2095.6399999999994</v>
      </c>
      <c r="K825" s="8">
        <v>0.12660182444269918</v>
      </c>
    </row>
    <row r="826" spans="1:11" x14ac:dyDescent="0.3">
      <c r="A826" s="5" t="s">
        <v>44</v>
      </c>
      <c r="B826" s="6">
        <v>40263</v>
      </c>
      <c r="C826" s="5">
        <v>13</v>
      </c>
      <c r="D826" s="5">
        <v>3</v>
      </c>
      <c r="E826" s="5">
        <v>2010</v>
      </c>
      <c r="F826" s="5" t="s">
        <v>5</v>
      </c>
      <c r="G826" s="5" t="s">
        <v>5</v>
      </c>
      <c r="H826" s="7">
        <v>120142.28</v>
      </c>
      <c r="I826" s="7">
        <v>122819.04</v>
      </c>
      <c r="J826" s="7">
        <v>2676.7599999999948</v>
      </c>
      <c r="K826" s="8">
        <v>2.227991677867271E-2</v>
      </c>
    </row>
    <row r="827" spans="1:11" x14ac:dyDescent="0.3">
      <c r="A827" s="5" t="s">
        <v>44</v>
      </c>
      <c r="B827" s="6">
        <v>40263</v>
      </c>
      <c r="C827" s="5">
        <v>13</v>
      </c>
      <c r="D827" s="5">
        <v>3</v>
      </c>
      <c r="E827" s="5">
        <v>2010</v>
      </c>
      <c r="F827" s="5" t="s">
        <v>20</v>
      </c>
      <c r="G827" s="5" t="s">
        <v>5</v>
      </c>
      <c r="H827" s="7">
        <v>18577.59</v>
      </c>
      <c r="I827" s="7">
        <v>20126.72</v>
      </c>
      <c r="J827" s="7">
        <v>1549.130000000001</v>
      </c>
      <c r="K827" s="8">
        <v>8.338702705786924E-2</v>
      </c>
    </row>
    <row r="828" spans="1:11" x14ac:dyDescent="0.3">
      <c r="A828" s="5" t="s">
        <v>44</v>
      </c>
      <c r="B828" s="6">
        <v>40263</v>
      </c>
      <c r="C828" s="5">
        <v>13</v>
      </c>
      <c r="D828" s="5">
        <v>3</v>
      </c>
      <c r="E828" s="5">
        <v>2010</v>
      </c>
      <c r="F828" s="5" t="s">
        <v>21</v>
      </c>
      <c r="G828" s="5" t="s">
        <v>5</v>
      </c>
      <c r="H828" s="7">
        <v>29949.98</v>
      </c>
      <c r="I828" s="7">
        <v>32175.8</v>
      </c>
      <c r="J828" s="7">
        <v>2225.8199999999997</v>
      </c>
      <c r="K828" s="8">
        <v>7.4317912733163752E-2</v>
      </c>
    </row>
    <row r="829" spans="1:11" x14ac:dyDescent="0.3">
      <c r="A829" s="5" t="s">
        <v>44</v>
      </c>
      <c r="B829" s="6">
        <v>40263</v>
      </c>
      <c r="C829" s="5">
        <v>13</v>
      </c>
      <c r="D829" s="5">
        <v>3</v>
      </c>
      <c r="E829" s="5">
        <v>2010</v>
      </c>
      <c r="F829" s="5" t="s">
        <v>22</v>
      </c>
      <c r="G829" s="5" t="s">
        <v>8</v>
      </c>
      <c r="H829" s="7">
        <v>94735.52</v>
      </c>
      <c r="I829" s="7">
        <v>103966.61</v>
      </c>
      <c r="J829" s="7">
        <v>9231.0899999999965</v>
      </c>
      <c r="K829" s="8">
        <v>9.7440643171642444E-2</v>
      </c>
    </row>
    <row r="830" spans="1:11" x14ac:dyDescent="0.3">
      <c r="A830" s="5" t="s">
        <v>44</v>
      </c>
      <c r="B830" s="6">
        <v>40263</v>
      </c>
      <c r="C830" s="5">
        <v>13</v>
      </c>
      <c r="D830" s="5">
        <v>3</v>
      </c>
      <c r="E830" s="5">
        <v>2010</v>
      </c>
      <c r="F830" s="5" t="s">
        <v>23</v>
      </c>
      <c r="G830" s="5" t="s">
        <v>8</v>
      </c>
      <c r="H830" s="7">
        <v>28968.9</v>
      </c>
      <c r="I830" s="7">
        <v>30819.360000000001</v>
      </c>
      <c r="J830" s="7">
        <v>1850.4599999999991</v>
      </c>
      <c r="K830" s="8">
        <v>6.3877468595631828E-2</v>
      </c>
    </row>
    <row r="831" spans="1:11" x14ac:dyDescent="0.3">
      <c r="A831" s="5" t="s">
        <v>44</v>
      </c>
      <c r="B831" s="6">
        <v>40263</v>
      </c>
      <c r="C831" s="5">
        <v>13</v>
      </c>
      <c r="D831" s="5">
        <v>3</v>
      </c>
      <c r="E831" s="5">
        <v>2010</v>
      </c>
      <c r="F831" s="5" t="s">
        <v>24</v>
      </c>
      <c r="G831" s="5" t="s">
        <v>8</v>
      </c>
      <c r="H831" s="7">
        <v>27848.5</v>
      </c>
      <c r="I831" s="7">
        <v>30049.79</v>
      </c>
      <c r="J831" s="7">
        <v>2201.2900000000009</v>
      </c>
      <c r="K831" s="8">
        <v>7.9045190943856966E-2</v>
      </c>
    </row>
    <row r="832" spans="1:11" x14ac:dyDescent="0.3">
      <c r="A832" s="5" t="s">
        <v>44</v>
      </c>
      <c r="B832" s="6">
        <v>40263</v>
      </c>
      <c r="C832" s="5">
        <v>13</v>
      </c>
      <c r="D832" s="5">
        <v>3</v>
      </c>
      <c r="E832" s="5">
        <v>2010</v>
      </c>
      <c r="F832" s="5" t="s">
        <v>27</v>
      </c>
      <c r="G832" s="5" t="s">
        <v>10</v>
      </c>
      <c r="H832" s="7">
        <v>3644.1</v>
      </c>
      <c r="I832" s="7">
        <v>4190.62</v>
      </c>
      <c r="J832" s="7">
        <v>546.52</v>
      </c>
      <c r="K832" s="8">
        <v>0.14997393046294008</v>
      </c>
    </row>
    <row r="833" spans="1:11" x14ac:dyDescent="0.3">
      <c r="A833" s="5" t="s">
        <v>44</v>
      </c>
      <c r="B833" s="6">
        <v>40263</v>
      </c>
      <c r="C833" s="5">
        <v>13</v>
      </c>
      <c r="D833" s="5">
        <v>3</v>
      </c>
      <c r="E833" s="5">
        <v>2010</v>
      </c>
      <c r="F833" s="5" t="s">
        <v>29</v>
      </c>
      <c r="G833" s="5" t="s">
        <v>10</v>
      </c>
      <c r="H833" s="7">
        <v>38010.550000000003</v>
      </c>
      <c r="I833" s="7">
        <v>42217.78</v>
      </c>
      <c r="J833" s="7">
        <v>4207.2299999999959</v>
      </c>
      <c r="K833" s="8">
        <v>0.11068584906032655</v>
      </c>
    </row>
    <row r="834" spans="1:11" x14ac:dyDescent="0.3">
      <c r="A834" s="5" t="s">
        <v>44</v>
      </c>
      <c r="B834" s="6">
        <v>40263</v>
      </c>
      <c r="C834" s="5">
        <v>13</v>
      </c>
      <c r="D834" s="5">
        <v>3</v>
      </c>
      <c r="E834" s="5">
        <v>2010</v>
      </c>
      <c r="F834" s="5" t="s">
        <v>30</v>
      </c>
      <c r="G834" s="5" t="s">
        <v>10</v>
      </c>
      <c r="H834" s="7">
        <v>3790.48</v>
      </c>
      <c r="I834" s="7">
        <v>4433.5</v>
      </c>
      <c r="J834" s="7">
        <v>643.02</v>
      </c>
      <c r="K834" s="8">
        <v>0.16964078428061879</v>
      </c>
    </row>
    <row r="835" spans="1:11" x14ac:dyDescent="0.3">
      <c r="A835" s="5" t="s">
        <v>44</v>
      </c>
      <c r="B835" s="6">
        <v>40263</v>
      </c>
      <c r="C835" s="5">
        <v>13</v>
      </c>
      <c r="D835" s="5">
        <v>3</v>
      </c>
      <c r="E835" s="5">
        <v>2010</v>
      </c>
      <c r="F835" s="5" t="s">
        <v>9</v>
      </c>
      <c r="G835" s="5" t="s">
        <v>9</v>
      </c>
      <c r="H835" s="7">
        <v>17066.88</v>
      </c>
      <c r="I835" s="7">
        <v>18913.29</v>
      </c>
      <c r="J835" s="7">
        <v>1846.4099999999999</v>
      </c>
      <c r="K835" s="8">
        <v>0.10818673360332995</v>
      </c>
    </row>
    <row r="836" spans="1:11" x14ac:dyDescent="0.3">
      <c r="A836" s="5" t="s">
        <v>44</v>
      </c>
      <c r="B836" s="6">
        <v>40263</v>
      </c>
      <c r="C836" s="5">
        <v>13</v>
      </c>
      <c r="D836" s="5">
        <v>3</v>
      </c>
      <c r="E836" s="5">
        <v>2010</v>
      </c>
      <c r="F836" s="5" t="s">
        <v>33</v>
      </c>
      <c r="G836" s="5" t="s">
        <v>7</v>
      </c>
      <c r="H836" s="7">
        <v>2736.5</v>
      </c>
      <c r="I836" s="7">
        <v>5167.8999999999996</v>
      </c>
      <c r="J836" s="7">
        <v>2431.3999999999996</v>
      </c>
      <c r="K836" s="8">
        <v>0.88850721724830972</v>
      </c>
    </row>
    <row r="837" spans="1:11" x14ac:dyDescent="0.3">
      <c r="A837" s="5" t="s">
        <v>44</v>
      </c>
      <c r="B837" s="6">
        <v>40263</v>
      </c>
      <c r="C837" s="5">
        <v>13</v>
      </c>
      <c r="D837" s="5">
        <v>3</v>
      </c>
      <c r="E837" s="5">
        <v>2010</v>
      </c>
      <c r="F837" s="5" t="s">
        <v>35</v>
      </c>
      <c r="G837" s="5" t="s">
        <v>11</v>
      </c>
      <c r="H837" s="7">
        <v>2115</v>
      </c>
      <c r="I837" s="7">
        <v>2334.1</v>
      </c>
      <c r="J837" s="7">
        <v>219.09999999999991</v>
      </c>
      <c r="K837" s="8">
        <v>0.10359338061465717</v>
      </c>
    </row>
    <row r="838" spans="1:11" x14ac:dyDescent="0.3">
      <c r="A838" s="5" t="s">
        <v>44</v>
      </c>
      <c r="B838" s="6">
        <v>40263</v>
      </c>
      <c r="C838" s="5">
        <v>13</v>
      </c>
      <c r="D838" s="5">
        <v>3</v>
      </c>
      <c r="E838" s="5">
        <v>2010</v>
      </c>
      <c r="F838" s="5" t="s">
        <v>36</v>
      </c>
      <c r="G838" s="5" t="s">
        <v>11</v>
      </c>
      <c r="H838" s="7">
        <v>15881.9</v>
      </c>
      <c r="I838" s="7">
        <v>17486.77</v>
      </c>
      <c r="J838" s="7">
        <v>1604.8700000000008</v>
      </c>
      <c r="K838" s="8">
        <v>0.10105025217385834</v>
      </c>
    </row>
    <row r="839" spans="1:11" x14ac:dyDescent="0.3">
      <c r="A839" s="5" t="s">
        <v>44</v>
      </c>
      <c r="B839" s="6">
        <v>40263</v>
      </c>
      <c r="C839" s="5">
        <v>13</v>
      </c>
      <c r="D839" s="5">
        <v>3</v>
      </c>
      <c r="E839" s="5">
        <v>2010</v>
      </c>
      <c r="F839" s="5" t="s">
        <v>37</v>
      </c>
      <c r="G839" s="5" t="s">
        <v>11</v>
      </c>
      <c r="H839" s="7">
        <v>25162.67</v>
      </c>
      <c r="I839" s="7">
        <v>27441.439999999999</v>
      </c>
      <c r="J839" s="7">
        <v>2278.7700000000004</v>
      </c>
      <c r="K839" s="8">
        <v>9.0561534209207553E-2</v>
      </c>
    </row>
    <row r="840" spans="1:11" x14ac:dyDescent="0.3">
      <c r="A840" s="5" t="s">
        <v>44</v>
      </c>
      <c r="B840" s="6">
        <v>40263</v>
      </c>
      <c r="C840" s="5">
        <v>13</v>
      </c>
      <c r="D840" s="5">
        <v>3</v>
      </c>
      <c r="E840" s="5">
        <v>2010</v>
      </c>
      <c r="F840" s="5" t="s">
        <v>38</v>
      </c>
      <c r="G840" s="5" t="s">
        <v>11</v>
      </c>
      <c r="H840" s="7">
        <v>38562.129999999997</v>
      </c>
      <c r="I840" s="7">
        <v>39398.1</v>
      </c>
      <c r="J840" s="7">
        <v>835.97000000000116</v>
      </c>
      <c r="K840" s="8">
        <v>2.1678522426017473E-2</v>
      </c>
    </row>
    <row r="841" spans="1:11" x14ac:dyDescent="0.3">
      <c r="A841" s="5" t="s">
        <v>44</v>
      </c>
      <c r="B841" s="6">
        <v>40264</v>
      </c>
      <c r="C841" s="5">
        <v>13</v>
      </c>
      <c r="D841" s="5">
        <v>3</v>
      </c>
      <c r="E841" s="5">
        <v>2010</v>
      </c>
      <c r="F841" s="5" t="s">
        <v>14</v>
      </c>
      <c r="G841" s="5" t="s">
        <v>6</v>
      </c>
      <c r="H841" s="7">
        <v>416</v>
      </c>
      <c r="I841" s="7">
        <v>519.96</v>
      </c>
      <c r="J841" s="7">
        <v>103.96000000000004</v>
      </c>
      <c r="K841" s="8">
        <v>0.24990384615384625</v>
      </c>
    </row>
    <row r="842" spans="1:11" x14ac:dyDescent="0.3">
      <c r="A842" s="5" t="s">
        <v>44</v>
      </c>
      <c r="B842" s="6">
        <v>40264</v>
      </c>
      <c r="C842" s="5">
        <v>13</v>
      </c>
      <c r="D842" s="5">
        <v>3</v>
      </c>
      <c r="E842" s="5">
        <v>2010</v>
      </c>
      <c r="F842" s="5" t="s">
        <v>15</v>
      </c>
      <c r="G842" s="5" t="s">
        <v>6</v>
      </c>
      <c r="H842" s="7">
        <v>20661.96</v>
      </c>
      <c r="I842" s="7">
        <v>24332.63</v>
      </c>
      <c r="J842" s="7">
        <v>3670.6700000000019</v>
      </c>
      <c r="K842" s="8">
        <v>0.17765352367345605</v>
      </c>
    </row>
    <row r="843" spans="1:11" x14ac:dyDescent="0.3">
      <c r="A843" s="5" t="s">
        <v>44</v>
      </c>
      <c r="B843" s="6">
        <v>40264</v>
      </c>
      <c r="C843" s="5">
        <v>13</v>
      </c>
      <c r="D843" s="5">
        <v>3</v>
      </c>
      <c r="E843" s="5">
        <v>2010</v>
      </c>
      <c r="F843" s="5" t="s">
        <v>16</v>
      </c>
      <c r="G843" s="5" t="s">
        <v>6</v>
      </c>
      <c r="H843" s="7">
        <v>23791.68</v>
      </c>
      <c r="I843" s="7">
        <v>27627.63</v>
      </c>
      <c r="J843" s="7">
        <v>3835.9500000000007</v>
      </c>
      <c r="K843" s="8">
        <v>0.16123073276035996</v>
      </c>
    </row>
    <row r="844" spans="1:11" x14ac:dyDescent="0.3">
      <c r="A844" s="5" t="s">
        <v>44</v>
      </c>
      <c r="B844" s="6">
        <v>40264</v>
      </c>
      <c r="C844" s="5">
        <v>13</v>
      </c>
      <c r="D844" s="5">
        <v>3</v>
      </c>
      <c r="E844" s="5">
        <v>2010</v>
      </c>
      <c r="F844" s="5" t="s">
        <v>18</v>
      </c>
      <c r="G844" s="5" t="s">
        <v>6</v>
      </c>
      <c r="H844" s="7">
        <v>6998.15</v>
      </c>
      <c r="I844" s="7">
        <v>7721.81</v>
      </c>
      <c r="J844" s="7">
        <v>723.66000000000076</v>
      </c>
      <c r="K844" s="8">
        <v>0.10340732907982836</v>
      </c>
    </row>
    <row r="845" spans="1:11" x14ac:dyDescent="0.3">
      <c r="A845" s="5" t="s">
        <v>44</v>
      </c>
      <c r="B845" s="6">
        <v>40264</v>
      </c>
      <c r="C845" s="5">
        <v>13</v>
      </c>
      <c r="D845" s="5">
        <v>3</v>
      </c>
      <c r="E845" s="5">
        <v>2010</v>
      </c>
      <c r="F845" s="5" t="s">
        <v>19</v>
      </c>
      <c r="G845" s="5" t="s">
        <v>5</v>
      </c>
      <c r="H845" s="7">
        <v>23169.53</v>
      </c>
      <c r="I845" s="7">
        <v>26095.06</v>
      </c>
      <c r="J845" s="7">
        <v>2925.5300000000025</v>
      </c>
      <c r="K845" s="8">
        <v>0.1262662643566789</v>
      </c>
    </row>
    <row r="846" spans="1:11" x14ac:dyDescent="0.3">
      <c r="A846" s="5" t="s">
        <v>44</v>
      </c>
      <c r="B846" s="6">
        <v>40264</v>
      </c>
      <c r="C846" s="5">
        <v>13</v>
      </c>
      <c r="D846" s="5">
        <v>3</v>
      </c>
      <c r="E846" s="5">
        <v>2010</v>
      </c>
      <c r="F846" s="5" t="s">
        <v>5</v>
      </c>
      <c r="G846" s="5" t="s">
        <v>5</v>
      </c>
      <c r="H846" s="7">
        <v>179556.75</v>
      </c>
      <c r="I846" s="7">
        <v>184999.58</v>
      </c>
      <c r="J846" s="7">
        <v>5442.8299999999872</v>
      </c>
      <c r="K846" s="8">
        <v>3.0312589195337893E-2</v>
      </c>
    </row>
    <row r="847" spans="1:11" x14ac:dyDescent="0.3">
      <c r="A847" s="5" t="s">
        <v>44</v>
      </c>
      <c r="B847" s="6">
        <v>40264</v>
      </c>
      <c r="C847" s="5">
        <v>13</v>
      </c>
      <c r="D847" s="5">
        <v>3</v>
      </c>
      <c r="E847" s="5">
        <v>2010</v>
      </c>
      <c r="F847" s="5" t="s">
        <v>20</v>
      </c>
      <c r="G847" s="5" t="s">
        <v>5</v>
      </c>
      <c r="H847" s="7">
        <v>32884.54</v>
      </c>
      <c r="I847" s="7">
        <v>35542.21</v>
      </c>
      <c r="J847" s="7">
        <v>2657.6699999999983</v>
      </c>
      <c r="K847" s="8">
        <v>8.0818220355218531E-2</v>
      </c>
    </row>
    <row r="848" spans="1:11" x14ac:dyDescent="0.3">
      <c r="A848" s="5" t="s">
        <v>44</v>
      </c>
      <c r="B848" s="6">
        <v>40264</v>
      </c>
      <c r="C848" s="5">
        <v>13</v>
      </c>
      <c r="D848" s="5">
        <v>3</v>
      </c>
      <c r="E848" s="5">
        <v>2010</v>
      </c>
      <c r="F848" s="5" t="s">
        <v>21</v>
      </c>
      <c r="G848" s="5" t="s">
        <v>5</v>
      </c>
      <c r="H848" s="7">
        <v>38039.99</v>
      </c>
      <c r="I848" s="7">
        <v>40900.07</v>
      </c>
      <c r="J848" s="7">
        <v>2860.0800000000017</v>
      </c>
      <c r="K848" s="8">
        <v>7.5186139638838023E-2</v>
      </c>
    </row>
    <row r="849" spans="1:11" x14ac:dyDescent="0.3">
      <c r="A849" s="5" t="s">
        <v>44</v>
      </c>
      <c r="B849" s="6">
        <v>40264</v>
      </c>
      <c r="C849" s="5">
        <v>13</v>
      </c>
      <c r="D849" s="5">
        <v>3</v>
      </c>
      <c r="E849" s="5">
        <v>2010</v>
      </c>
      <c r="F849" s="5" t="s">
        <v>22</v>
      </c>
      <c r="G849" s="5" t="s">
        <v>8</v>
      </c>
      <c r="H849" s="7">
        <v>72348.03</v>
      </c>
      <c r="I849" s="7">
        <v>80237.94</v>
      </c>
      <c r="J849" s="7">
        <v>7889.9100000000035</v>
      </c>
      <c r="K849" s="8">
        <v>0.10905493902183658</v>
      </c>
    </row>
    <row r="850" spans="1:11" x14ac:dyDescent="0.3">
      <c r="A850" s="5" t="s">
        <v>44</v>
      </c>
      <c r="B850" s="6">
        <v>40264</v>
      </c>
      <c r="C850" s="5">
        <v>13</v>
      </c>
      <c r="D850" s="5">
        <v>3</v>
      </c>
      <c r="E850" s="5">
        <v>2010</v>
      </c>
      <c r="F850" s="5" t="s">
        <v>23</v>
      </c>
      <c r="G850" s="5" t="s">
        <v>8</v>
      </c>
      <c r="H850" s="7">
        <v>25276.7</v>
      </c>
      <c r="I850" s="7">
        <v>27231.88</v>
      </c>
      <c r="J850" s="7">
        <v>1955.1800000000003</v>
      </c>
      <c r="K850" s="8">
        <v>7.735107826575463E-2</v>
      </c>
    </row>
    <row r="851" spans="1:11" x14ac:dyDescent="0.3">
      <c r="A851" s="5" t="s">
        <v>44</v>
      </c>
      <c r="B851" s="6">
        <v>40264</v>
      </c>
      <c r="C851" s="5">
        <v>13</v>
      </c>
      <c r="D851" s="5">
        <v>3</v>
      </c>
      <c r="E851" s="5">
        <v>2010</v>
      </c>
      <c r="F851" s="5" t="s">
        <v>24</v>
      </c>
      <c r="G851" s="5" t="s">
        <v>8</v>
      </c>
      <c r="H851" s="7">
        <v>32449.98</v>
      </c>
      <c r="I851" s="7">
        <v>34807.040000000001</v>
      </c>
      <c r="J851" s="7">
        <v>2357.0600000000013</v>
      </c>
      <c r="K851" s="8">
        <v>7.2636716571165882E-2</v>
      </c>
    </row>
    <row r="852" spans="1:11" x14ac:dyDescent="0.3">
      <c r="A852" s="5" t="s">
        <v>44</v>
      </c>
      <c r="B852" s="6">
        <v>40264</v>
      </c>
      <c r="C852" s="5">
        <v>13</v>
      </c>
      <c r="D852" s="5">
        <v>3</v>
      </c>
      <c r="E852" s="5">
        <v>2010</v>
      </c>
      <c r="F852" s="5" t="s">
        <v>27</v>
      </c>
      <c r="G852" s="5" t="s">
        <v>10</v>
      </c>
      <c r="H852" s="7">
        <v>1187.3</v>
      </c>
      <c r="I852" s="7">
        <v>1364.64</v>
      </c>
      <c r="J852" s="7">
        <v>177.34000000000015</v>
      </c>
      <c r="K852" s="8">
        <v>0.1493641034279459</v>
      </c>
    </row>
    <row r="853" spans="1:11" x14ac:dyDescent="0.3">
      <c r="A853" s="5" t="s">
        <v>44</v>
      </c>
      <c r="B853" s="6">
        <v>40264</v>
      </c>
      <c r="C853" s="5">
        <v>13</v>
      </c>
      <c r="D853" s="5">
        <v>3</v>
      </c>
      <c r="E853" s="5">
        <v>2010</v>
      </c>
      <c r="F853" s="5" t="s">
        <v>29</v>
      </c>
      <c r="G853" s="5" t="s">
        <v>10</v>
      </c>
      <c r="H853" s="7">
        <v>49610.47</v>
      </c>
      <c r="I853" s="7">
        <v>53810.98</v>
      </c>
      <c r="J853" s="7">
        <v>4200.510000000002</v>
      </c>
      <c r="K853" s="8">
        <v>8.4669828768000013E-2</v>
      </c>
    </row>
    <row r="854" spans="1:11" x14ac:dyDescent="0.3">
      <c r="A854" s="5" t="s">
        <v>44</v>
      </c>
      <c r="B854" s="6">
        <v>40264</v>
      </c>
      <c r="C854" s="5">
        <v>13</v>
      </c>
      <c r="D854" s="5">
        <v>3</v>
      </c>
      <c r="E854" s="5">
        <v>2010</v>
      </c>
      <c r="F854" s="5" t="s">
        <v>30</v>
      </c>
      <c r="G854" s="5" t="s">
        <v>10</v>
      </c>
      <c r="H854" s="7">
        <v>963.88</v>
      </c>
      <c r="I854" s="7">
        <v>1119.6099999999999</v>
      </c>
      <c r="J854" s="7">
        <v>155.7299999999999</v>
      </c>
      <c r="K854" s="8">
        <v>0.16156575507324553</v>
      </c>
    </row>
    <row r="855" spans="1:11" x14ac:dyDescent="0.3">
      <c r="A855" s="5" t="s">
        <v>44</v>
      </c>
      <c r="B855" s="6">
        <v>40264</v>
      </c>
      <c r="C855" s="5">
        <v>13</v>
      </c>
      <c r="D855" s="5">
        <v>3</v>
      </c>
      <c r="E855" s="5">
        <v>2010</v>
      </c>
      <c r="F855" s="5" t="s">
        <v>9</v>
      </c>
      <c r="G855" s="5" t="s">
        <v>9</v>
      </c>
      <c r="H855" s="7">
        <v>27744.04</v>
      </c>
      <c r="I855" s="7">
        <v>30958.6</v>
      </c>
      <c r="J855" s="7">
        <v>3214.5599999999977</v>
      </c>
      <c r="K855" s="8">
        <v>0.11586488485454885</v>
      </c>
    </row>
    <row r="856" spans="1:11" x14ac:dyDescent="0.3">
      <c r="A856" s="5" t="s">
        <v>44</v>
      </c>
      <c r="B856" s="6">
        <v>40264</v>
      </c>
      <c r="C856" s="5">
        <v>13</v>
      </c>
      <c r="D856" s="5">
        <v>3</v>
      </c>
      <c r="E856" s="5">
        <v>2010</v>
      </c>
      <c r="F856" s="5" t="s">
        <v>33</v>
      </c>
      <c r="G856" s="5" t="s">
        <v>7</v>
      </c>
      <c r="H856" s="7">
        <v>1979.5</v>
      </c>
      <c r="I856" s="7">
        <v>3486.4</v>
      </c>
      <c r="J856" s="7">
        <v>1506.9</v>
      </c>
      <c r="K856" s="8">
        <v>0.76125284162667339</v>
      </c>
    </row>
    <row r="857" spans="1:11" x14ac:dyDescent="0.3">
      <c r="A857" s="5" t="s">
        <v>44</v>
      </c>
      <c r="B857" s="6">
        <v>40264</v>
      </c>
      <c r="C857" s="5">
        <v>13</v>
      </c>
      <c r="D857" s="5">
        <v>3</v>
      </c>
      <c r="E857" s="5">
        <v>2010</v>
      </c>
      <c r="F857" s="5" t="s">
        <v>35</v>
      </c>
      <c r="G857" s="5" t="s">
        <v>11</v>
      </c>
      <c r="H857" s="7">
        <v>1599</v>
      </c>
      <c r="I857" s="7">
        <v>1657.56</v>
      </c>
      <c r="J857" s="7">
        <v>58.559999999999945</v>
      </c>
      <c r="K857" s="8">
        <v>3.66228893058161E-2</v>
      </c>
    </row>
    <row r="858" spans="1:11" x14ac:dyDescent="0.3">
      <c r="A858" s="5" t="s">
        <v>44</v>
      </c>
      <c r="B858" s="6">
        <v>40264</v>
      </c>
      <c r="C858" s="5">
        <v>13</v>
      </c>
      <c r="D858" s="5">
        <v>3</v>
      </c>
      <c r="E858" s="5">
        <v>2010</v>
      </c>
      <c r="F858" s="5" t="s">
        <v>36</v>
      </c>
      <c r="G858" s="5" t="s">
        <v>11</v>
      </c>
      <c r="H858" s="7">
        <v>16102.11</v>
      </c>
      <c r="I858" s="7">
        <v>17900.12</v>
      </c>
      <c r="J858" s="7">
        <v>1798.0099999999984</v>
      </c>
      <c r="K858" s="8">
        <v>0.11166300565578041</v>
      </c>
    </row>
    <row r="859" spans="1:11" x14ac:dyDescent="0.3">
      <c r="A859" s="5" t="s">
        <v>44</v>
      </c>
      <c r="B859" s="6">
        <v>40264</v>
      </c>
      <c r="C859" s="5">
        <v>13</v>
      </c>
      <c r="D859" s="5">
        <v>3</v>
      </c>
      <c r="E859" s="5">
        <v>2010</v>
      </c>
      <c r="F859" s="5" t="s">
        <v>37</v>
      </c>
      <c r="G859" s="5" t="s">
        <v>11</v>
      </c>
      <c r="H859" s="7">
        <v>41330.82</v>
      </c>
      <c r="I859" s="7">
        <v>44781.02</v>
      </c>
      <c r="J859" s="7">
        <v>3450.1999999999971</v>
      </c>
      <c r="K859" s="8">
        <v>8.3477656625249558E-2</v>
      </c>
    </row>
    <row r="860" spans="1:11" x14ac:dyDescent="0.3">
      <c r="A860" s="5" t="s">
        <v>44</v>
      </c>
      <c r="B860" s="6">
        <v>40264</v>
      </c>
      <c r="C860" s="5">
        <v>13</v>
      </c>
      <c r="D860" s="5">
        <v>3</v>
      </c>
      <c r="E860" s="5">
        <v>2010</v>
      </c>
      <c r="F860" s="5" t="s">
        <v>38</v>
      </c>
      <c r="G860" s="5" t="s">
        <v>11</v>
      </c>
      <c r="H860" s="7">
        <v>41695.68</v>
      </c>
      <c r="I860" s="7">
        <v>43333.599999999999</v>
      </c>
      <c r="J860" s="7">
        <v>1637.9199999999983</v>
      </c>
      <c r="K860" s="8">
        <v>3.9282726651777788E-2</v>
      </c>
    </row>
    <row r="861" spans="1:11" x14ac:dyDescent="0.3">
      <c r="A861" s="5" t="s">
        <v>44</v>
      </c>
      <c r="B861" s="6">
        <v>40265</v>
      </c>
      <c r="C861" s="5">
        <v>14</v>
      </c>
      <c r="D861" s="5">
        <v>3</v>
      </c>
      <c r="E861" s="5">
        <v>2010</v>
      </c>
      <c r="F861" s="5" t="s">
        <v>14</v>
      </c>
      <c r="G861" s="5" t="s">
        <v>6</v>
      </c>
      <c r="H861" s="7">
        <v>728</v>
      </c>
      <c r="I861" s="7">
        <v>909.93</v>
      </c>
      <c r="J861" s="7">
        <v>181.92999999999995</v>
      </c>
      <c r="K861" s="8">
        <v>0.24990384615384609</v>
      </c>
    </row>
    <row r="862" spans="1:11" x14ac:dyDescent="0.3">
      <c r="A862" s="5" t="s">
        <v>44</v>
      </c>
      <c r="B862" s="6">
        <v>40265</v>
      </c>
      <c r="C862" s="5">
        <v>14</v>
      </c>
      <c r="D862" s="5">
        <v>3</v>
      </c>
      <c r="E862" s="5">
        <v>2010</v>
      </c>
      <c r="F862" s="5" t="s">
        <v>15</v>
      </c>
      <c r="G862" s="5" t="s">
        <v>6</v>
      </c>
      <c r="H862" s="7">
        <v>18480.830000000002</v>
      </c>
      <c r="I862" s="7">
        <v>21970.12</v>
      </c>
      <c r="J862" s="7">
        <v>3489.2899999999972</v>
      </c>
      <c r="K862" s="8">
        <v>0.18880591402009525</v>
      </c>
    </row>
    <row r="863" spans="1:11" x14ac:dyDescent="0.3">
      <c r="A863" s="5" t="s">
        <v>44</v>
      </c>
      <c r="B863" s="6">
        <v>40265</v>
      </c>
      <c r="C863" s="5">
        <v>14</v>
      </c>
      <c r="D863" s="5">
        <v>3</v>
      </c>
      <c r="E863" s="5">
        <v>2010</v>
      </c>
      <c r="F863" s="5" t="s">
        <v>16</v>
      </c>
      <c r="G863" s="5" t="s">
        <v>6</v>
      </c>
      <c r="H863" s="7">
        <v>26017.360000000001</v>
      </c>
      <c r="I863" s="7">
        <v>29763.360000000001</v>
      </c>
      <c r="J863" s="7">
        <v>3746</v>
      </c>
      <c r="K863" s="8">
        <v>0.14398078821217833</v>
      </c>
    </row>
    <row r="864" spans="1:11" x14ac:dyDescent="0.3">
      <c r="A864" s="5" t="s">
        <v>44</v>
      </c>
      <c r="B864" s="6">
        <v>40265</v>
      </c>
      <c r="C864" s="5">
        <v>14</v>
      </c>
      <c r="D864" s="5">
        <v>3</v>
      </c>
      <c r="E864" s="5">
        <v>2010</v>
      </c>
      <c r="F864" s="5" t="s">
        <v>18</v>
      </c>
      <c r="G864" s="5" t="s">
        <v>6</v>
      </c>
      <c r="H864" s="7">
        <v>568</v>
      </c>
      <c r="I864" s="7">
        <v>603.87</v>
      </c>
      <c r="J864" s="7">
        <v>35.870000000000005</v>
      </c>
      <c r="K864" s="8">
        <v>6.315140845070423E-2</v>
      </c>
    </row>
    <row r="865" spans="1:11" x14ac:dyDescent="0.3">
      <c r="A865" s="5" t="s">
        <v>44</v>
      </c>
      <c r="B865" s="6">
        <v>40265</v>
      </c>
      <c r="C865" s="5">
        <v>14</v>
      </c>
      <c r="D865" s="5">
        <v>3</v>
      </c>
      <c r="E865" s="5">
        <v>2010</v>
      </c>
      <c r="F865" s="5" t="s">
        <v>19</v>
      </c>
      <c r="G865" s="5" t="s">
        <v>5</v>
      </c>
      <c r="H865" s="7">
        <v>33522.160000000003</v>
      </c>
      <c r="I865" s="7">
        <v>37978.04</v>
      </c>
      <c r="J865" s="7">
        <v>4455.8799999999974</v>
      </c>
      <c r="K865" s="8">
        <v>0.1329234154362367</v>
      </c>
    </row>
    <row r="866" spans="1:11" x14ac:dyDescent="0.3">
      <c r="A866" s="5" t="s">
        <v>44</v>
      </c>
      <c r="B866" s="6">
        <v>40265</v>
      </c>
      <c r="C866" s="5">
        <v>14</v>
      </c>
      <c r="D866" s="5">
        <v>3</v>
      </c>
      <c r="E866" s="5">
        <v>2010</v>
      </c>
      <c r="F866" s="5" t="s">
        <v>5</v>
      </c>
      <c r="G866" s="5" t="s">
        <v>5</v>
      </c>
      <c r="H866" s="7">
        <v>164910.19</v>
      </c>
      <c r="I866" s="7">
        <v>173386.14</v>
      </c>
      <c r="J866" s="7">
        <v>8475.9500000000116</v>
      </c>
      <c r="K866" s="8">
        <v>5.139736968346232E-2</v>
      </c>
    </row>
    <row r="867" spans="1:11" x14ac:dyDescent="0.3">
      <c r="A867" s="5" t="s">
        <v>44</v>
      </c>
      <c r="B867" s="6">
        <v>40265</v>
      </c>
      <c r="C867" s="5">
        <v>14</v>
      </c>
      <c r="D867" s="5">
        <v>3</v>
      </c>
      <c r="E867" s="5">
        <v>2010</v>
      </c>
      <c r="F867" s="5" t="s">
        <v>20</v>
      </c>
      <c r="G867" s="5" t="s">
        <v>5</v>
      </c>
      <c r="H867" s="7">
        <v>31164.74</v>
      </c>
      <c r="I867" s="7">
        <v>34042.269999999997</v>
      </c>
      <c r="J867" s="7">
        <v>2877.5299999999952</v>
      </c>
      <c r="K867" s="8">
        <v>9.2332873625770501E-2</v>
      </c>
    </row>
    <row r="868" spans="1:11" x14ac:dyDescent="0.3">
      <c r="A868" s="5" t="s">
        <v>44</v>
      </c>
      <c r="B868" s="6">
        <v>40265</v>
      </c>
      <c r="C868" s="5">
        <v>14</v>
      </c>
      <c r="D868" s="5">
        <v>3</v>
      </c>
      <c r="E868" s="5">
        <v>2010</v>
      </c>
      <c r="F868" s="5" t="s">
        <v>21</v>
      </c>
      <c r="G868" s="5" t="s">
        <v>5</v>
      </c>
      <c r="H868" s="7">
        <v>45307.62</v>
      </c>
      <c r="I868" s="7">
        <v>48469.919999999998</v>
      </c>
      <c r="J868" s="7">
        <v>3162.2999999999956</v>
      </c>
      <c r="K868" s="8">
        <v>6.9796206465932126E-2</v>
      </c>
    </row>
    <row r="869" spans="1:11" x14ac:dyDescent="0.3">
      <c r="A869" s="5" t="s">
        <v>44</v>
      </c>
      <c r="B869" s="6">
        <v>40265</v>
      </c>
      <c r="C869" s="5">
        <v>14</v>
      </c>
      <c r="D869" s="5">
        <v>3</v>
      </c>
      <c r="E869" s="5">
        <v>2010</v>
      </c>
      <c r="F869" s="5" t="s">
        <v>22</v>
      </c>
      <c r="G869" s="5" t="s">
        <v>8</v>
      </c>
      <c r="H869" s="7">
        <v>63222.01</v>
      </c>
      <c r="I869" s="7">
        <v>68875.81</v>
      </c>
      <c r="J869" s="7">
        <v>5653.7999999999956</v>
      </c>
      <c r="K869" s="8">
        <v>8.942771670815268E-2</v>
      </c>
    </row>
    <row r="870" spans="1:11" x14ac:dyDescent="0.3">
      <c r="A870" s="5" t="s">
        <v>44</v>
      </c>
      <c r="B870" s="6">
        <v>40265</v>
      </c>
      <c r="C870" s="5">
        <v>14</v>
      </c>
      <c r="D870" s="5">
        <v>3</v>
      </c>
      <c r="E870" s="5">
        <v>2010</v>
      </c>
      <c r="F870" s="5" t="s">
        <v>23</v>
      </c>
      <c r="G870" s="5" t="s">
        <v>8</v>
      </c>
      <c r="H870" s="7">
        <v>18442.91</v>
      </c>
      <c r="I870" s="7">
        <v>19697.75</v>
      </c>
      <c r="J870" s="7">
        <v>1254.8400000000001</v>
      </c>
      <c r="K870" s="8">
        <v>6.8039154341695537E-2</v>
      </c>
    </row>
    <row r="871" spans="1:11" x14ac:dyDescent="0.3">
      <c r="A871" s="5" t="s">
        <v>44</v>
      </c>
      <c r="B871" s="6">
        <v>40265</v>
      </c>
      <c r="C871" s="5">
        <v>14</v>
      </c>
      <c r="D871" s="5">
        <v>3</v>
      </c>
      <c r="E871" s="5">
        <v>2010</v>
      </c>
      <c r="F871" s="5" t="s">
        <v>24</v>
      </c>
      <c r="G871" s="5" t="s">
        <v>8</v>
      </c>
      <c r="H871" s="7">
        <v>39214.5</v>
      </c>
      <c r="I871" s="7">
        <v>40934.019999999997</v>
      </c>
      <c r="J871" s="7">
        <v>1719.5199999999968</v>
      </c>
      <c r="K871" s="8">
        <v>4.384908643486457E-2</v>
      </c>
    </row>
    <row r="872" spans="1:11" x14ac:dyDescent="0.3">
      <c r="A872" s="5" t="s">
        <v>44</v>
      </c>
      <c r="B872" s="6">
        <v>40265</v>
      </c>
      <c r="C872" s="5">
        <v>14</v>
      </c>
      <c r="D872" s="5">
        <v>3</v>
      </c>
      <c r="E872" s="5">
        <v>2010</v>
      </c>
      <c r="F872" s="5" t="s">
        <v>27</v>
      </c>
      <c r="G872" s="5" t="s">
        <v>10</v>
      </c>
      <c r="H872" s="7">
        <v>2137.3200000000002</v>
      </c>
      <c r="I872" s="7">
        <v>2458.08</v>
      </c>
      <c r="J872" s="7">
        <v>320.75999999999976</v>
      </c>
      <c r="K872" s="8">
        <v>0.15007579585649305</v>
      </c>
    </row>
    <row r="873" spans="1:11" x14ac:dyDescent="0.3">
      <c r="A873" s="5" t="s">
        <v>44</v>
      </c>
      <c r="B873" s="6">
        <v>40265</v>
      </c>
      <c r="C873" s="5">
        <v>14</v>
      </c>
      <c r="D873" s="5">
        <v>3</v>
      </c>
      <c r="E873" s="5">
        <v>2010</v>
      </c>
      <c r="F873" s="5" t="s">
        <v>29</v>
      </c>
      <c r="G873" s="5" t="s">
        <v>10</v>
      </c>
      <c r="H873" s="7">
        <v>40432.339999999997</v>
      </c>
      <c r="I873" s="7">
        <v>45725.29</v>
      </c>
      <c r="J873" s="7">
        <v>5292.9500000000044</v>
      </c>
      <c r="K873" s="8">
        <v>0.13090882199744078</v>
      </c>
    </row>
    <row r="874" spans="1:11" x14ac:dyDescent="0.3">
      <c r="A874" s="5" t="s">
        <v>44</v>
      </c>
      <c r="B874" s="6">
        <v>40265</v>
      </c>
      <c r="C874" s="5">
        <v>14</v>
      </c>
      <c r="D874" s="5">
        <v>3</v>
      </c>
      <c r="E874" s="5">
        <v>2010</v>
      </c>
      <c r="F874" s="5" t="s">
        <v>30</v>
      </c>
      <c r="G874" s="5" t="s">
        <v>10</v>
      </c>
      <c r="H874" s="7">
        <v>2093.86</v>
      </c>
      <c r="I874" s="7">
        <v>2430.5</v>
      </c>
      <c r="J874" s="7">
        <v>336.63999999999987</v>
      </c>
      <c r="K874" s="8">
        <v>0.16077483690409095</v>
      </c>
    </row>
    <row r="875" spans="1:11" x14ac:dyDescent="0.3">
      <c r="A875" s="5" t="s">
        <v>44</v>
      </c>
      <c r="B875" s="6">
        <v>40265</v>
      </c>
      <c r="C875" s="5">
        <v>14</v>
      </c>
      <c r="D875" s="5">
        <v>3</v>
      </c>
      <c r="E875" s="5">
        <v>2010</v>
      </c>
      <c r="F875" s="5" t="s">
        <v>9</v>
      </c>
      <c r="G875" s="5" t="s">
        <v>9</v>
      </c>
      <c r="H875" s="7">
        <v>14719.33</v>
      </c>
      <c r="I875" s="7">
        <v>16970.689999999999</v>
      </c>
      <c r="J875" s="7">
        <v>2251.3599999999988</v>
      </c>
      <c r="K875" s="8">
        <v>0.15295261401164312</v>
      </c>
    </row>
    <row r="876" spans="1:11" x14ac:dyDescent="0.3">
      <c r="A876" s="5" t="s">
        <v>44</v>
      </c>
      <c r="B876" s="6">
        <v>40265</v>
      </c>
      <c r="C876" s="5">
        <v>14</v>
      </c>
      <c r="D876" s="5">
        <v>3</v>
      </c>
      <c r="E876" s="5">
        <v>2010</v>
      </c>
      <c r="F876" s="5" t="s">
        <v>33</v>
      </c>
      <c r="G876" s="5" t="s">
        <v>7</v>
      </c>
      <c r="H876" s="7">
        <v>8166.32</v>
      </c>
      <c r="I876" s="7">
        <v>10242.209999999999</v>
      </c>
      <c r="J876" s="7">
        <v>2075.8899999999994</v>
      </c>
      <c r="K876" s="8">
        <v>0.25420140283505904</v>
      </c>
    </row>
    <row r="877" spans="1:11" x14ac:dyDescent="0.3">
      <c r="A877" s="5" t="s">
        <v>44</v>
      </c>
      <c r="B877" s="6">
        <v>40265</v>
      </c>
      <c r="C877" s="5">
        <v>14</v>
      </c>
      <c r="D877" s="5">
        <v>3</v>
      </c>
      <c r="E877" s="5">
        <v>2010</v>
      </c>
      <c r="F877" s="5" t="s">
        <v>35</v>
      </c>
      <c r="G877" s="5" t="s">
        <v>11</v>
      </c>
      <c r="H877" s="7">
        <v>5309</v>
      </c>
      <c r="I877" s="7">
        <v>5922.06</v>
      </c>
      <c r="J877" s="7">
        <v>613.0600000000004</v>
      </c>
      <c r="K877" s="8">
        <v>0.1154756074590319</v>
      </c>
    </row>
    <row r="878" spans="1:11" x14ac:dyDescent="0.3">
      <c r="A878" s="5" t="s">
        <v>44</v>
      </c>
      <c r="B878" s="6">
        <v>40265</v>
      </c>
      <c r="C878" s="5">
        <v>14</v>
      </c>
      <c r="D878" s="5">
        <v>3</v>
      </c>
      <c r="E878" s="5">
        <v>2010</v>
      </c>
      <c r="F878" s="5" t="s">
        <v>36</v>
      </c>
      <c r="G878" s="5" t="s">
        <v>11</v>
      </c>
      <c r="H878" s="7">
        <v>21912.62</v>
      </c>
      <c r="I878" s="7">
        <v>24390.1</v>
      </c>
      <c r="J878" s="7">
        <v>2477.4799999999996</v>
      </c>
      <c r="K878" s="8">
        <v>0.11306178813852473</v>
      </c>
    </row>
    <row r="879" spans="1:11" x14ac:dyDescent="0.3">
      <c r="A879" s="5" t="s">
        <v>44</v>
      </c>
      <c r="B879" s="6">
        <v>40265</v>
      </c>
      <c r="C879" s="5">
        <v>14</v>
      </c>
      <c r="D879" s="5">
        <v>3</v>
      </c>
      <c r="E879" s="5">
        <v>2010</v>
      </c>
      <c r="F879" s="5" t="s">
        <v>37</v>
      </c>
      <c r="G879" s="5" t="s">
        <v>11</v>
      </c>
      <c r="H879" s="7">
        <v>37637.79</v>
      </c>
      <c r="I879" s="7">
        <v>41268.49</v>
      </c>
      <c r="J879" s="7">
        <v>3630.6999999999971</v>
      </c>
      <c r="K879" s="8">
        <v>9.6464218542055655E-2</v>
      </c>
    </row>
    <row r="880" spans="1:11" x14ac:dyDescent="0.3">
      <c r="A880" s="5" t="s">
        <v>44</v>
      </c>
      <c r="B880" s="6">
        <v>40265</v>
      </c>
      <c r="C880" s="5">
        <v>14</v>
      </c>
      <c r="D880" s="5">
        <v>3</v>
      </c>
      <c r="E880" s="5">
        <v>2010</v>
      </c>
      <c r="F880" s="5" t="s">
        <v>38</v>
      </c>
      <c r="G880" s="5" t="s">
        <v>11</v>
      </c>
      <c r="H880" s="7">
        <v>56972.03</v>
      </c>
      <c r="I880" s="7">
        <v>58202.83</v>
      </c>
      <c r="J880" s="7">
        <v>1230.8000000000029</v>
      </c>
      <c r="K880" s="8">
        <v>2.1603583372402264E-2</v>
      </c>
    </row>
    <row r="881" spans="1:11" x14ac:dyDescent="0.3">
      <c r="A881" s="5" t="s">
        <v>44</v>
      </c>
      <c r="B881" s="6">
        <v>40266</v>
      </c>
      <c r="C881" s="5">
        <v>14</v>
      </c>
      <c r="D881" s="5">
        <v>3</v>
      </c>
      <c r="E881" s="5">
        <v>2010</v>
      </c>
      <c r="F881" s="5" t="s">
        <v>14</v>
      </c>
      <c r="G881" s="5" t="s">
        <v>6</v>
      </c>
      <c r="H881" s="7">
        <v>416</v>
      </c>
      <c r="I881" s="7">
        <v>519.96</v>
      </c>
      <c r="J881" s="7">
        <v>103.96000000000004</v>
      </c>
      <c r="K881" s="8">
        <v>0.24990384615384625</v>
      </c>
    </row>
    <row r="882" spans="1:11" x14ac:dyDescent="0.3">
      <c r="A882" s="5" t="s">
        <v>44</v>
      </c>
      <c r="B882" s="6">
        <v>40266</v>
      </c>
      <c r="C882" s="5">
        <v>14</v>
      </c>
      <c r="D882" s="5">
        <v>3</v>
      </c>
      <c r="E882" s="5">
        <v>2010</v>
      </c>
      <c r="F882" s="5" t="s">
        <v>15</v>
      </c>
      <c r="G882" s="5" t="s">
        <v>6</v>
      </c>
      <c r="H882" s="7">
        <v>16261.05</v>
      </c>
      <c r="I882" s="7">
        <v>18635.87</v>
      </c>
      <c r="J882" s="7">
        <v>2374.8199999999997</v>
      </c>
      <c r="K882" s="8">
        <v>0.14604345967818805</v>
      </c>
    </row>
    <row r="883" spans="1:11" x14ac:dyDescent="0.3">
      <c r="A883" s="5" t="s">
        <v>44</v>
      </c>
      <c r="B883" s="6">
        <v>40266</v>
      </c>
      <c r="C883" s="5">
        <v>14</v>
      </c>
      <c r="D883" s="5">
        <v>3</v>
      </c>
      <c r="E883" s="5">
        <v>2010</v>
      </c>
      <c r="F883" s="5" t="s">
        <v>16</v>
      </c>
      <c r="G883" s="5" t="s">
        <v>6</v>
      </c>
      <c r="H883" s="7">
        <v>15203.81</v>
      </c>
      <c r="I883" s="7">
        <v>17396.310000000001</v>
      </c>
      <c r="J883" s="7">
        <v>2192.5000000000018</v>
      </c>
      <c r="K883" s="8">
        <v>0.14420727436083469</v>
      </c>
    </row>
    <row r="884" spans="1:11" x14ac:dyDescent="0.3">
      <c r="A884" s="5" t="s">
        <v>44</v>
      </c>
      <c r="B884" s="6">
        <v>40266</v>
      </c>
      <c r="C884" s="5">
        <v>14</v>
      </c>
      <c r="D884" s="5">
        <v>3</v>
      </c>
      <c r="E884" s="5">
        <v>2010</v>
      </c>
      <c r="F884" s="5" t="s">
        <v>18</v>
      </c>
      <c r="G884" s="5" t="s">
        <v>6</v>
      </c>
      <c r="H884" s="7">
        <v>1705.12</v>
      </c>
      <c r="I884" s="7">
        <v>1949</v>
      </c>
      <c r="J884" s="7">
        <v>243.88000000000011</v>
      </c>
      <c r="K884" s="8">
        <v>0.14302805667636304</v>
      </c>
    </row>
    <row r="885" spans="1:11" x14ac:dyDescent="0.3">
      <c r="A885" s="5" t="s">
        <v>44</v>
      </c>
      <c r="B885" s="6">
        <v>40266</v>
      </c>
      <c r="C885" s="5">
        <v>14</v>
      </c>
      <c r="D885" s="5">
        <v>3</v>
      </c>
      <c r="E885" s="5">
        <v>2010</v>
      </c>
      <c r="F885" s="5" t="s">
        <v>19</v>
      </c>
      <c r="G885" s="5" t="s">
        <v>5</v>
      </c>
      <c r="H885" s="7">
        <v>25549.3</v>
      </c>
      <c r="I885" s="7">
        <v>28099.119999999999</v>
      </c>
      <c r="J885" s="7">
        <v>2549.8199999999997</v>
      </c>
      <c r="K885" s="8">
        <v>9.9799994520397811E-2</v>
      </c>
    </row>
    <row r="886" spans="1:11" x14ac:dyDescent="0.3">
      <c r="A886" s="5" t="s">
        <v>44</v>
      </c>
      <c r="B886" s="6">
        <v>40266</v>
      </c>
      <c r="C886" s="5">
        <v>14</v>
      </c>
      <c r="D886" s="5">
        <v>3</v>
      </c>
      <c r="E886" s="5">
        <v>2010</v>
      </c>
      <c r="F886" s="5" t="s">
        <v>5</v>
      </c>
      <c r="G886" s="5" t="s">
        <v>5</v>
      </c>
      <c r="H886" s="7">
        <v>138308.01</v>
      </c>
      <c r="I886" s="7">
        <v>142604.79999999999</v>
      </c>
      <c r="J886" s="7">
        <v>4296.789999999979</v>
      </c>
      <c r="K886" s="8">
        <v>3.1066819629607705E-2</v>
      </c>
    </row>
    <row r="887" spans="1:11" x14ac:dyDescent="0.3">
      <c r="A887" s="5" t="s">
        <v>44</v>
      </c>
      <c r="B887" s="6">
        <v>40266</v>
      </c>
      <c r="C887" s="5">
        <v>14</v>
      </c>
      <c r="D887" s="5">
        <v>3</v>
      </c>
      <c r="E887" s="5">
        <v>2010</v>
      </c>
      <c r="F887" s="5" t="s">
        <v>20</v>
      </c>
      <c r="G887" s="5" t="s">
        <v>5</v>
      </c>
      <c r="H887" s="7">
        <v>17303.22</v>
      </c>
      <c r="I887" s="7">
        <v>18774.189999999999</v>
      </c>
      <c r="J887" s="7">
        <v>1470.9699999999975</v>
      </c>
      <c r="K887" s="8">
        <v>8.5011344709250494E-2</v>
      </c>
    </row>
    <row r="888" spans="1:11" x14ac:dyDescent="0.3">
      <c r="A888" s="5" t="s">
        <v>44</v>
      </c>
      <c r="B888" s="6">
        <v>40266</v>
      </c>
      <c r="C888" s="5">
        <v>14</v>
      </c>
      <c r="D888" s="5">
        <v>3</v>
      </c>
      <c r="E888" s="5">
        <v>2010</v>
      </c>
      <c r="F888" s="5" t="s">
        <v>21</v>
      </c>
      <c r="G888" s="5" t="s">
        <v>5</v>
      </c>
      <c r="H888" s="7">
        <v>30357.29</v>
      </c>
      <c r="I888" s="7">
        <v>31699.62</v>
      </c>
      <c r="J888" s="7">
        <v>1342.3299999999981</v>
      </c>
      <c r="K888" s="8">
        <v>4.4217715085898578E-2</v>
      </c>
    </row>
    <row r="889" spans="1:11" x14ac:dyDescent="0.3">
      <c r="A889" s="5" t="s">
        <v>44</v>
      </c>
      <c r="B889" s="6">
        <v>40266</v>
      </c>
      <c r="C889" s="5">
        <v>14</v>
      </c>
      <c r="D889" s="5">
        <v>3</v>
      </c>
      <c r="E889" s="5">
        <v>2010</v>
      </c>
      <c r="F889" s="5" t="s">
        <v>22</v>
      </c>
      <c r="G889" s="5" t="s">
        <v>8</v>
      </c>
      <c r="H889" s="7">
        <v>46440</v>
      </c>
      <c r="I889" s="7">
        <v>49543.65</v>
      </c>
      <c r="J889" s="7">
        <v>3103.6500000000015</v>
      </c>
      <c r="K889" s="8">
        <v>6.6831395348837239E-2</v>
      </c>
    </row>
    <row r="890" spans="1:11" x14ac:dyDescent="0.3">
      <c r="A890" s="5" t="s">
        <v>44</v>
      </c>
      <c r="B890" s="6">
        <v>40266</v>
      </c>
      <c r="C890" s="5">
        <v>14</v>
      </c>
      <c r="D890" s="5">
        <v>3</v>
      </c>
      <c r="E890" s="5">
        <v>2010</v>
      </c>
      <c r="F890" s="5" t="s">
        <v>23</v>
      </c>
      <c r="G890" s="5" t="s">
        <v>8</v>
      </c>
      <c r="H890" s="7">
        <v>43674.2</v>
      </c>
      <c r="I890" s="7">
        <v>47302.9</v>
      </c>
      <c r="J890" s="7">
        <v>3628.7000000000044</v>
      </c>
      <c r="K890" s="8">
        <v>8.308566613698716E-2</v>
      </c>
    </row>
    <row r="891" spans="1:11" x14ac:dyDescent="0.3">
      <c r="A891" s="5" t="s">
        <v>44</v>
      </c>
      <c r="B891" s="6">
        <v>40266</v>
      </c>
      <c r="C891" s="5">
        <v>14</v>
      </c>
      <c r="D891" s="5">
        <v>3</v>
      </c>
      <c r="E891" s="5">
        <v>2010</v>
      </c>
      <c r="F891" s="5" t="s">
        <v>24</v>
      </c>
      <c r="G891" s="5" t="s">
        <v>8</v>
      </c>
      <c r="H891" s="7">
        <v>14023.5</v>
      </c>
      <c r="I891" s="7">
        <v>14992.57</v>
      </c>
      <c r="J891" s="7">
        <v>969.06999999999971</v>
      </c>
      <c r="K891" s="8">
        <v>6.9103290904553055E-2</v>
      </c>
    </row>
    <row r="892" spans="1:11" x14ac:dyDescent="0.3">
      <c r="A892" s="5" t="s">
        <v>44</v>
      </c>
      <c r="B892" s="6">
        <v>40266</v>
      </c>
      <c r="C892" s="5">
        <v>14</v>
      </c>
      <c r="D892" s="5">
        <v>3</v>
      </c>
      <c r="E892" s="5">
        <v>2010</v>
      </c>
      <c r="F892" s="5" t="s">
        <v>27</v>
      </c>
      <c r="G892" s="5" t="s">
        <v>10</v>
      </c>
      <c r="H892" s="7">
        <v>989.7</v>
      </c>
      <c r="I892" s="7">
        <v>1137.8800000000001</v>
      </c>
      <c r="J892" s="7">
        <v>148.18000000000006</v>
      </c>
      <c r="K892" s="8">
        <v>0.14972213802162276</v>
      </c>
    </row>
    <row r="893" spans="1:11" x14ac:dyDescent="0.3">
      <c r="A893" s="5" t="s">
        <v>44</v>
      </c>
      <c r="B893" s="6">
        <v>40266</v>
      </c>
      <c r="C893" s="5">
        <v>14</v>
      </c>
      <c r="D893" s="5">
        <v>3</v>
      </c>
      <c r="E893" s="5">
        <v>2010</v>
      </c>
      <c r="F893" s="5" t="s">
        <v>29</v>
      </c>
      <c r="G893" s="5" t="s">
        <v>10</v>
      </c>
      <c r="H893" s="7">
        <v>36573.040000000001</v>
      </c>
      <c r="I893" s="7">
        <v>40093.480000000003</v>
      </c>
      <c r="J893" s="7">
        <v>3520.4400000000023</v>
      </c>
      <c r="K893" s="8">
        <v>9.6257789891132983E-2</v>
      </c>
    </row>
    <row r="894" spans="1:11" x14ac:dyDescent="0.3">
      <c r="A894" s="5" t="s">
        <v>44</v>
      </c>
      <c r="B894" s="6">
        <v>40266</v>
      </c>
      <c r="C894" s="5">
        <v>14</v>
      </c>
      <c r="D894" s="5">
        <v>3</v>
      </c>
      <c r="E894" s="5">
        <v>2010</v>
      </c>
      <c r="F894" s="5" t="s">
        <v>30</v>
      </c>
      <c r="G894" s="5" t="s">
        <v>10</v>
      </c>
      <c r="H894" s="7">
        <v>434.4</v>
      </c>
      <c r="I894" s="7">
        <v>499.39</v>
      </c>
      <c r="J894" s="7">
        <v>64.990000000000009</v>
      </c>
      <c r="K894" s="8">
        <v>0.14960865561694295</v>
      </c>
    </row>
    <row r="895" spans="1:11" x14ac:dyDescent="0.3">
      <c r="A895" s="5" t="s">
        <v>44</v>
      </c>
      <c r="B895" s="6">
        <v>40266</v>
      </c>
      <c r="C895" s="5">
        <v>14</v>
      </c>
      <c r="D895" s="5">
        <v>3</v>
      </c>
      <c r="E895" s="5">
        <v>2010</v>
      </c>
      <c r="F895" s="5" t="s">
        <v>9</v>
      </c>
      <c r="G895" s="5" t="s">
        <v>9</v>
      </c>
      <c r="H895" s="7">
        <v>16530.32</v>
      </c>
      <c r="I895" s="7">
        <v>19032.97</v>
      </c>
      <c r="J895" s="7">
        <v>2502.6500000000015</v>
      </c>
      <c r="K895" s="8">
        <v>0.15139755310242037</v>
      </c>
    </row>
    <row r="896" spans="1:11" x14ac:dyDescent="0.3">
      <c r="A896" s="5" t="s">
        <v>44</v>
      </c>
      <c r="B896" s="6">
        <v>40266</v>
      </c>
      <c r="C896" s="5">
        <v>14</v>
      </c>
      <c r="D896" s="5">
        <v>3</v>
      </c>
      <c r="E896" s="5">
        <v>2010</v>
      </c>
      <c r="F896" s="5" t="s">
        <v>33</v>
      </c>
      <c r="G896" s="5" t="s">
        <v>7</v>
      </c>
      <c r="H896" s="7">
        <v>3769.57</v>
      </c>
      <c r="I896" s="7">
        <v>5138.1400000000003</v>
      </c>
      <c r="J896" s="7">
        <v>1368.5700000000002</v>
      </c>
      <c r="K896" s="8">
        <v>0.36305732484076436</v>
      </c>
    </row>
    <row r="897" spans="1:11" x14ac:dyDescent="0.3">
      <c r="A897" s="5" t="s">
        <v>44</v>
      </c>
      <c r="B897" s="6">
        <v>40266</v>
      </c>
      <c r="C897" s="5">
        <v>14</v>
      </c>
      <c r="D897" s="5">
        <v>3</v>
      </c>
      <c r="E897" s="5">
        <v>2010</v>
      </c>
      <c r="F897" s="5" t="s">
        <v>35</v>
      </c>
      <c r="G897" s="5" t="s">
        <v>11</v>
      </c>
      <c r="H897" s="7">
        <v>432</v>
      </c>
      <c r="I897" s="7">
        <v>483.98</v>
      </c>
      <c r="J897" s="7">
        <v>51.980000000000018</v>
      </c>
      <c r="K897" s="8">
        <v>0.12032407407407411</v>
      </c>
    </row>
    <row r="898" spans="1:11" x14ac:dyDescent="0.3">
      <c r="A898" s="5" t="s">
        <v>44</v>
      </c>
      <c r="B898" s="6">
        <v>40266</v>
      </c>
      <c r="C898" s="5">
        <v>14</v>
      </c>
      <c r="D898" s="5">
        <v>3</v>
      </c>
      <c r="E898" s="5">
        <v>2010</v>
      </c>
      <c r="F898" s="5" t="s">
        <v>36</v>
      </c>
      <c r="G898" s="5" t="s">
        <v>11</v>
      </c>
      <c r="H898" s="7">
        <v>13421.04</v>
      </c>
      <c r="I898" s="7">
        <v>14967.2</v>
      </c>
      <c r="J898" s="7">
        <v>1546.1599999999999</v>
      </c>
      <c r="K898" s="8">
        <v>0.11520418685884251</v>
      </c>
    </row>
    <row r="899" spans="1:11" x14ac:dyDescent="0.3">
      <c r="A899" s="5" t="s">
        <v>44</v>
      </c>
      <c r="B899" s="6">
        <v>40266</v>
      </c>
      <c r="C899" s="5">
        <v>14</v>
      </c>
      <c r="D899" s="5">
        <v>3</v>
      </c>
      <c r="E899" s="5">
        <v>2010</v>
      </c>
      <c r="F899" s="5" t="s">
        <v>37</v>
      </c>
      <c r="G899" s="5" t="s">
        <v>11</v>
      </c>
      <c r="H899" s="7">
        <v>18797.900000000001</v>
      </c>
      <c r="I899" s="7">
        <v>20497.45</v>
      </c>
      <c r="J899" s="7">
        <v>1699.5499999999993</v>
      </c>
      <c r="K899" s="8">
        <v>9.0411694923369049E-2</v>
      </c>
    </row>
    <row r="900" spans="1:11" x14ac:dyDescent="0.3">
      <c r="A900" s="5" t="s">
        <v>44</v>
      </c>
      <c r="B900" s="6">
        <v>40266</v>
      </c>
      <c r="C900" s="5">
        <v>14</v>
      </c>
      <c r="D900" s="5">
        <v>3</v>
      </c>
      <c r="E900" s="5">
        <v>2010</v>
      </c>
      <c r="F900" s="5" t="s">
        <v>38</v>
      </c>
      <c r="G900" s="5" t="s">
        <v>11</v>
      </c>
      <c r="H900" s="7">
        <v>40366.19</v>
      </c>
      <c r="I900" s="7">
        <v>41156.53</v>
      </c>
      <c r="J900" s="7">
        <v>790.33999999999651</v>
      </c>
      <c r="K900" s="8">
        <v>1.9579256798820905E-2</v>
      </c>
    </row>
    <row r="901" spans="1:11" x14ac:dyDescent="0.3">
      <c r="A901" s="5" t="s">
        <v>44</v>
      </c>
      <c r="B901" s="6">
        <v>40267</v>
      </c>
      <c r="C901" s="5">
        <v>14</v>
      </c>
      <c r="D901" s="5">
        <v>3</v>
      </c>
      <c r="E901" s="5">
        <v>2010</v>
      </c>
      <c r="F901" s="5" t="s">
        <v>14</v>
      </c>
      <c r="G901" s="5" t="s">
        <v>6</v>
      </c>
      <c r="H901" s="7">
        <v>260</v>
      </c>
      <c r="I901" s="7">
        <v>324.98</v>
      </c>
      <c r="J901" s="7">
        <v>64.980000000000018</v>
      </c>
      <c r="K901" s="8">
        <v>0.249923076923077</v>
      </c>
    </row>
    <row r="902" spans="1:11" x14ac:dyDescent="0.3">
      <c r="A902" s="5" t="s">
        <v>44</v>
      </c>
      <c r="B902" s="6">
        <v>40267</v>
      </c>
      <c r="C902" s="5">
        <v>14</v>
      </c>
      <c r="D902" s="5">
        <v>3</v>
      </c>
      <c r="E902" s="5">
        <v>2010</v>
      </c>
      <c r="F902" s="5" t="s">
        <v>15</v>
      </c>
      <c r="G902" s="5" t="s">
        <v>6</v>
      </c>
      <c r="H902" s="7">
        <v>16679.43</v>
      </c>
      <c r="I902" s="7">
        <v>19092.169999999998</v>
      </c>
      <c r="J902" s="7">
        <v>2412.739999999998</v>
      </c>
      <c r="K902" s="8">
        <v>0.14465362425454575</v>
      </c>
    </row>
    <row r="903" spans="1:11" x14ac:dyDescent="0.3">
      <c r="A903" s="5" t="s">
        <v>44</v>
      </c>
      <c r="B903" s="6">
        <v>40267</v>
      </c>
      <c r="C903" s="5">
        <v>14</v>
      </c>
      <c r="D903" s="5">
        <v>3</v>
      </c>
      <c r="E903" s="5">
        <v>2010</v>
      </c>
      <c r="F903" s="5" t="s">
        <v>16</v>
      </c>
      <c r="G903" s="5" t="s">
        <v>6</v>
      </c>
      <c r="H903" s="7">
        <v>15421.75</v>
      </c>
      <c r="I903" s="7">
        <v>17752.849999999999</v>
      </c>
      <c r="J903" s="7">
        <v>2331.0999999999985</v>
      </c>
      <c r="K903" s="8">
        <v>0.1511566456465705</v>
      </c>
    </row>
    <row r="904" spans="1:11" x14ac:dyDescent="0.3">
      <c r="A904" s="5" t="s">
        <v>44</v>
      </c>
      <c r="B904" s="6">
        <v>40267</v>
      </c>
      <c r="C904" s="5">
        <v>14</v>
      </c>
      <c r="D904" s="5">
        <v>3</v>
      </c>
      <c r="E904" s="5">
        <v>2010</v>
      </c>
      <c r="F904" s="5" t="s">
        <v>18</v>
      </c>
      <c r="G904" s="5" t="s">
        <v>6</v>
      </c>
      <c r="H904" s="7">
        <v>1879.3</v>
      </c>
      <c r="I904" s="7">
        <v>2148.33</v>
      </c>
      <c r="J904" s="7">
        <v>269.02999999999997</v>
      </c>
      <c r="K904" s="8">
        <v>0.14315436598733569</v>
      </c>
    </row>
    <row r="905" spans="1:11" x14ac:dyDescent="0.3">
      <c r="A905" s="5" t="s">
        <v>44</v>
      </c>
      <c r="B905" s="6">
        <v>40267</v>
      </c>
      <c r="C905" s="5">
        <v>14</v>
      </c>
      <c r="D905" s="5">
        <v>3</v>
      </c>
      <c r="E905" s="5">
        <v>2010</v>
      </c>
      <c r="F905" s="5" t="s">
        <v>19</v>
      </c>
      <c r="G905" s="5" t="s">
        <v>5</v>
      </c>
      <c r="H905" s="7">
        <v>13143.87</v>
      </c>
      <c r="I905" s="7">
        <v>14877.43</v>
      </c>
      <c r="J905" s="7">
        <v>1733.5599999999995</v>
      </c>
      <c r="K905" s="8">
        <v>0.13189114012844005</v>
      </c>
    </row>
    <row r="906" spans="1:11" x14ac:dyDescent="0.3">
      <c r="A906" s="5" t="s">
        <v>44</v>
      </c>
      <c r="B906" s="6">
        <v>40267</v>
      </c>
      <c r="C906" s="5">
        <v>14</v>
      </c>
      <c r="D906" s="5">
        <v>3</v>
      </c>
      <c r="E906" s="5">
        <v>2010</v>
      </c>
      <c r="F906" s="5" t="s">
        <v>5</v>
      </c>
      <c r="G906" s="5" t="s">
        <v>5</v>
      </c>
      <c r="H906" s="7">
        <v>95329.91</v>
      </c>
      <c r="I906" s="7">
        <v>100458.45</v>
      </c>
      <c r="J906" s="7">
        <v>5128.5399999999936</v>
      </c>
      <c r="K906" s="8">
        <v>5.3797805956178849E-2</v>
      </c>
    </row>
    <row r="907" spans="1:11" x14ac:dyDescent="0.3">
      <c r="A907" s="5" t="s">
        <v>44</v>
      </c>
      <c r="B907" s="6">
        <v>40267</v>
      </c>
      <c r="C907" s="5">
        <v>14</v>
      </c>
      <c r="D907" s="5">
        <v>3</v>
      </c>
      <c r="E907" s="5">
        <v>2010</v>
      </c>
      <c r="F907" s="5" t="s">
        <v>20</v>
      </c>
      <c r="G907" s="5" t="s">
        <v>5</v>
      </c>
      <c r="H907" s="7">
        <v>16108.9</v>
      </c>
      <c r="I907" s="7">
        <v>18063.310000000001</v>
      </c>
      <c r="J907" s="7">
        <v>1954.4100000000017</v>
      </c>
      <c r="K907" s="8">
        <v>0.12132485768736548</v>
      </c>
    </row>
    <row r="908" spans="1:11" x14ac:dyDescent="0.3">
      <c r="A908" s="5" t="s">
        <v>44</v>
      </c>
      <c r="B908" s="6">
        <v>40267</v>
      </c>
      <c r="C908" s="5">
        <v>14</v>
      </c>
      <c r="D908" s="5">
        <v>3</v>
      </c>
      <c r="E908" s="5">
        <v>2010</v>
      </c>
      <c r="F908" s="5" t="s">
        <v>21</v>
      </c>
      <c r="G908" s="5" t="s">
        <v>5</v>
      </c>
      <c r="H908" s="7">
        <v>33105.51</v>
      </c>
      <c r="I908" s="7">
        <v>35189.4</v>
      </c>
      <c r="J908" s="7">
        <v>2083.8899999999994</v>
      </c>
      <c r="K908" s="8">
        <v>6.2946923336930902E-2</v>
      </c>
    </row>
    <row r="909" spans="1:11" x14ac:dyDescent="0.3">
      <c r="A909" s="5" t="s">
        <v>44</v>
      </c>
      <c r="B909" s="6">
        <v>40267</v>
      </c>
      <c r="C909" s="5">
        <v>14</v>
      </c>
      <c r="D909" s="5">
        <v>3</v>
      </c>
      <c r="E909" s="5">
        <v>2010</v>
      </c>
      <c r="F909" s="5" t="s">
        <v>22</v>
      </c>
      <c r="G909" s="5" t="s">
        <v>8</v>
      </c>
      <c r="H909" s="7">
        <v>21303</v>
      </c>
      <c r="I909" s="7">
        <v>23958.43</v>
      </c>
      <c r="J909" s="7">
        <v>2655.4300000000003</v>
      </c>
      <c r="K909" s="8">
        <v>0.12465051870628552</v>
      </c>
    </row>
    <row r="910" spans="1:11" x14ac:dyDescent="0.3">
      <c r="A910" s="5" t="s">
        <v>44</v>
      </c>
      <c r="B910" s="6">
        <v>40267</v>
      </c>
      <c r="C910" s="5">
        <v>14</v>
      </c>
      <c r="D910" s="5">
        <v>3</v>
      </c>
      <c r="E910" s="5">
        <v>2010</v>
      </c>
      <c r="F910" s="5" t="s">
        <v>23</v>
      </c>
      <c r="G910" s="5" t="s">
        <v>8</v>
      </c>
      <c r="H910" s="7">
        <v>20083.5</v>
      </c>
      <c r="I910" s="7">
        <v>21736.97</v>
      </c>
      <c r="J910" s="7">
        <v>1653.4700000000012</v>
      </c>
      <c r="K910" s="8">
        <v>8.2329773196902989E-2</v>
      </c>
    </row>
    <row r="911" spans="1:11" x14ac:dyDescent="0.3">
      <c r="A911" s="5" t="s">
        <v>44</v>
      </c>
      <c r="B911" s="6">
        <v>40267</v>
      </c>
      <c r="C911" s="5">
        <v>14</v>
      </c>
      <c r="D911" s="5">
        <v>3</v>
      </c>
      <c r="E911" s="5">
        <v>2010</v>
      </c>
      <c r="F911" s="5" t="s">
        <v>24</v>
      </c>
      <c r="G911" s="5" t="s">
        <v>8</v>
      </c>
      <c r="H911" s="7">
        <v>13643</v>
      </c>
      <c r="I911" s="7">
        <v>14701.75</v>
      </c>
      <c r="J911" s="7">
        <v>1058.75</v>
      </c>
      <c r="K911" s="8">
        <v>7.7603899435607998E-2</v>
      </c>
    </row>
    <row r="912" spans="1:11" x14ac:dyDescent="0.3">
      <c r="A912" s="5" t="s">
        <v>44</v>
      </c>
      <c r="B912" s="6">
        <v>40267</v>
      </c>
      <c r="C912" s="5">
        <v>14</v>
      </c>
      <c r="D912" s="5">
        <v>3</v>
      </c>
      <c r="E912" s="5">
        <v>2010</v>
      </c>
      <c r="F912" s="5" t="s">
        <v>27</v>
      </c>
      <c r="G912" s="5" t="s">
        <v>10</v>
      </c>
      <c r="H912" s="7">
        <v>1378.62</v>
      </c>
      <c r="I912" s="7">
        <v>1584.83</v>
      </c>
      <c r="J912" s="7">
        <v>206.21000000000004</v>
      </c>
      <c r="K912" s="8">
        <v>0.14957711334522933</v>
      </c>
    </row>
    <row r="913" spans="1:11" x14ac:dyDescent="0.3">
      <c r="A913" s="5" t="s">
        <v>44</v>
      </c>
      <c r="B913" s="6">
        <v>40267</v>
      </c>
      <c r="C913" s="5">
        <v>14</v>
      </c>
      <c r="D913" s="5">
        <v>3</v>
      </c>
      <c r="E913" s="5">
        <v>2010</v>
      </c>
      <c r="F913" s="5" t="s">
        <v>29</v>
      </c>
      <c r="G913" s="5" t="s">
        <v>10</v>
      </c>
      <c r="H913" s="7">
        <v>31063.03</v>
      </c>
      <c r="I913" s="7">
        <v>35626.959999999999</v>
      </c>
      <c r="J913" s="7">
        <v>4563.93</v>
      </c>
      <c r="K913" s="8">
        <v>0.14692481705744739</v>
      </c>
    </row>
    <row r="914" spans="1:11" x14ac:dyDescent="0.3">
      <c r="A914" s="5" t="s">
        <v>44</v>
      </c>
      <c r="B914" s="6">
        <v>40267</v>
      </c>
      <c r="C914" s="5">
        <v>14</v>
      </c>
      <c r="D914" s="5">
        <v>3</v>
      </c>
      <c r="E914" s="5">
        <v>2010</v>
      </c>
      <c r="F914" s="5" t="s">
        <v>30</v>
      </c>
      <c r="G914" s="5" t="s">
        <v>10</v>
      </c>
      <c r="H914" s="7">
        <v>1890.6</v>
      </c>
      <c r="I914" s="7">
        <v>2211.71</v>
      </c>
      <c r="J914" s="7">
        <v>321.11000000000013</v>
      </c>
      <c r="K914" s="8">
        <v>0.16984555167671647</v>
      </c>
    </row>
    <row r="915" spans="1:11" x14ac:dyDescent="0.3">
      <c r="A915" s="5" t="s">
        <v>44</v>
      </c>
      <c r="B915" s="6">
        <v>40267</v>
      </c>
      <c r="C915" s="5">
        <v>14</v>
      </c>
      <c r="D915" s="5">
        <v>3</v>
      </c>
      <c r="E915" s="5">
        <v>2010</v>
      </c>
      <c r="F915" s="5" t="s">
        <v>9</v>
      </c>
      <c r="G915" s="5" t="s">
        <v>9</v>
      </c>
      <c r="H915" s="7">
        <v>27369.73</v>
      </c>
      <c r="I915" s="7">
        <v>31066.22</v>
      </c>
      <c r="J915" s="7">
        <v>3696.4900000000016</v>
      </c>
      <c r="K915" s="8">
        <v>0.13505759830294276</v>
      </c>
    </row>
    <row r="916" spans="1:11" x14ac:dyDescent="0.3">
      <c r="A916" s="5" t="s">
        <v>44</v>
      </c>
      <c r="B916" s="6">
        <v>40267</v>
      </c>
      <c r="C916" s="5">
        <v>14</v>
      </c>
      <c r="D916" s="5">
        <v>3</v>
      </c>
      <c r="E916" s="5">
        <v>2010</v>
      </c>
      <c r="F916" s="5" t="s">
        <v>33</v>
      </c>
      <c r="G916" s="5" t="s">
        <v>7</v>
      </c>
      <c r="H916" s="7">
        <v>4628.57</v>
      </c>
      <c r="I916" s="7">
        <v>6438.63</v>
      </c>
      <c r="J916" s="7">
        <v>1810.0600000000004</v>
      </c>
      <c r="K916" s="8">
        <v>0.39106246637730457</v>
      </c>
    </row>
    <row r="917" spans="1:11" x14ac:dyDescent="0.3">
      <c r="A917" s="5" t="s">
        <v>44</v>
      </c>
      <c r="B917" s="6">
        <v>40267</v>
      </c>
      <c r="C917" s="5">
        <v>14</v>
      </c>
      <c r="D917" s="5">
        <v>3</v>
      </c>
      <c r="E917" s="5">
        <v>2010</v>
      </c>
      <c r="F917" s="5" t="s">
        <v>36</v>
      </c>
      <c r="G917" s="5" t="s">
        <v>11</v>
      </c>
      <c r="H917" s="7">
        <v>11623.4</v>
      </c>
      <c r="I917" s="7">
        <v>12877.62</v>
      </c>
      <c r="J917" s="7">
        <v>1254.2200000000012</v>
      </c>
      <c r="K917" s="8">
        <v>0.1079047438787275</v>
      </c>
    </row>
    <row r="918" spans="1:11" x14ac:dyDescent="0.3">
      <c r="A918" s="5" t="s">
        <v>44</v>
      </c>
      <c r="B918" s="6">
        <v>40267</v>
      </c>
      <c r="C918" s="5">
        <v>14</v>
      </c>
      <c r="D918" s="5">
        <v>3</v>
      </c>
      <c r="E918" s="5">
        <v>2010</v>
      </c>
      <c r="F918" s="5" t="s">
        <v>37</v>
      </c>
      <c r="G918" s="5" t="s">
        <v>11</v>
      </c>
      <c r="H918" s="7">
        <v>31796.1</v>
      </c>
      <c r="I918" s="7">
        <v>34565.99</v>
      </c>
      <c r="J918" s="7">
        <v>2769.8899999999994</v>
      </c>
      <c r="K918" s="8">
        <v>8.7114142929478763E-2</v>
      </c>
    </row>
    <row r="919" spans="1:11" x14ac:dyDescent="0.3">
      <c r="A919" s="5" t="s">
        <v>44</v>
      </c>
      <c r="B919" s="6">
        <v>40267</v>
      </c>
      <c r="C919" s="5">
        <v>14</v>
      </c>
      <c r="D919" s="5">
        <v>3</v>
      </c>
      <c r="E919" s="5">
        <v>2010</v>
      </c>
      <c r="F919" s="5" t="s">
        <v>38</v>
      </c>
      <c r="G919" s="5" t="s">
        <v>11</v>
      </c>
      <c r="H919" s="7">
        <v>51422.25</v>
      </c>
      <c r="I919" s="7">
        <v>52891.83</v>
      </c>
      <c r="J919" s="7">
        <v>1469.5800000000017</v>
      </c>
      <c r="K919" s="8">
        <v>2.8578679462683988E-2</v>
      </c>
    </row>
    <row r="920" spans="1:11" x14ac:dyDescent="0.3">
      <c r="A920" s="5" t="s">
        <v>44</v>
      </c>
      <c r="B920" s="6">
        <v>40268</v>
      </c>
      <c r="C920" s="5">
        <v>14</v>
      </c>
      <c r="D920" s="5">
        <v>3</v>
      </c>
      <c r="E920" s="5">
        <v>2010</v>
      </c>
      <c r="F920" s="5" t="s">
        <v>14</v>
      </c>
      <c r="G920" s="5" t="s">
        <v>6</v>
      </c>
      <c r="H920" s="7">
        <v>520</v>
      </c>
      <c r="I920" s="7">
        <v>649.83000000000004</v>
      </c>
      <c r="J920" s="7">
        <v>129.83000000000004</v>
      </c>
      <c r="K920" s="8">
        <v>0.249673076923077</v>
      </c>
    </row>
    <row r="921" spans="1:11" x14ac:dyDescent="0.3">
      <c r="A921" s="5" t="s">
        <v>44</v>
      </c>
      <c r="B921" s="6">
        <v>40268</v>
      </c>
      <c r="C921" s="5">
        <v>14</v>
      </c>
      <c r="D921" s="5">
        <v>3</v>
      </c>
      <c r="E921" s="5">
        <v>2010</v>
      </c>
      <c r="F921" s="5" t="s">
        <v>15</v>
      </c>
      <c r="G921" s="5" t="s">
        <v>6</v>
      </c>
      <c r="H921" s="7">
        <v>19925.849999999999</v>
      </c>
      <c r="I921" s="7">
        <v>22885.32</v>
      </c>
      <c r="J921" s="7">
        <v>2959.4700000000012</v>
      </c>
      <c r="K921" s="8">
        <v>0.14852415329835372</v>
      </c>
    </row>
    <row r="922" spans="1:11" x14ac:dyDescent="0.3">
      <c r="A922" s="5" t="s">
        <v>44</v>
      </c>
      <c r="B922" s="6">
        <v>40268</v>
      </c>
      <c r="C922" s="5">
        <v>14</v>
      </c>
      <c r="D922" s="5">
        <v>3</v>
      </c>
      <c r="E922" s="5">
        <v>2010</v>
      </c>
      <c r="F922" s="5" t="s">
        <v>16</v>
      </c>
      <c r="G922" s="5" t="s">
        <v>6</v>
      </c>
      <c r="H922" s="7">
        <v>22948.1</v>
      </c>
      <c r="I922" s="7">
        <v>25758.36</v>
      </c>
      <c r="J922" s="7">
        <v>2810.260000000002</v>
      </c>
      <c r="K922" s="8">
        <v>0.12246155455135729</v>
      </c>
    </row>
    <row r="923" spans="1:11" x14ac:dyDescent="0.3">
      <c r="A923" s="5" t="s">
        <v>44</v>
      </c>
      <c r="B923" s="6">
        <v>40268</v>
      </c>
      <c r="C923" s="5">
        <v>14</v>
      </c>
      <c r="D923" s="5">
        <v>3</v>
      </c>
      <c r="E923" s="5">
        <v>2010</v>
      </c>
      <c r="F923" s="5" t="s">
        <v>18</v>
      </c>
      <c r="G923" s="5" t="s">
        <v>6</v>
      </c>
      <c r="H923" s="7">
        <v>2221.15</v>
      </c>
      <c r="I923" s="7">
        <v>2525.48</v>
      </c>
      <c r="J923" s="7">
        <v>304.32999999999993</v>
      </c>
      <c r="K923" s="8">
        <v>0.13701460954910741</v>
      </c>
    </row>
    <row r="924" spans="1:11" x14ac:dyDescent="0.3">
      <c r="A924" s="5" t="s">
        <v>44</v>
      </c>
      <c r="B924" s="6">
        <v>40268</v>
      </c>
      <c r="C924" s="5">
        <v>14</v>
      </c>
      <c r="D924" s="5">
        <v>3</v>
      </c>
      <c r="E924" s="5">
        <v>2010</v>
      </c>
      <c r="F924" s="5" t="s">
        <v>19</v>
      </c>
      <c r="G924" s="5" t="s">
        <v>5</v>
      </c>
      <c r="H924" s="7">
        <v>22473.94</v>
      </c>
      <c r="I924" s="7">
        <v>25629.07</v>
      </c>
      <c r="J924" s="7">
        <v>3155.130000000001</v>
      </c>
      <c r="K924" s="8">
        <v>0.1403906035167844</v>
      </c>
    </row>
    <row r="925" spans="1:11" x14ac:dyDescent="0.3">
      <c r="A925" s="5" t="s">
        <v>44</v>
      </c>
      <c r="B925" s="6">
        <v>40268</v>
      </c>
      <c r="C925" s="5">
        <v>14</v>
      </c>
      <c r="D925" s="5">
        <v>3</v>
      </c>
      <c r="E925" s="5">
        <v>2010</v>
      </c>
      <c r="F925" s="5" t="s">
        <v>5</v>
      </c>
      <c r="G925" s="5" t="s">
        <v>5</v>
      </c>
      <c r="H925" s="7">
        <v>120436.54</v>
      </c>
      <c r="I925" s="7">
        <v>126836.6</v>
      </c>
      <c r="J925" s="7">
        <v>6400.0600000000122</v>
      </c>
      <c r="K925" s="8">
        <v>5.3140516989279268E-2</v>
      </c>
    </row>
    <row r="926" spans="1:11" x14ac:dyDescent="0.3">
      <c r="A926" s="5" t="s">
        <v>44</v>
      </c>
      <c r="B926" s="6">
        <v>40268</v>
      </c>
      <c r="C926" s="5">
        <v>14</v>
      </c>
      <c r="D926" s="5">
        <v>3</v>
      </c>
      <c r="E926" s="5">
        <v>2010</v>
      </c>
      <c r="F926" s="5" t="s">
        <v>20</v>
      </c>
      <c r="G926" s="5" t="s">
        <v>5</v>
      </c>
      <c r="H926" s="7">
        <v>24066.06</v>
      </c>
      <c r="I926" s="7">
        <v>26388.98</v>
      </c>
      <c r="J926" s="7">
        <v>2322.9199999999983</v>
      </c>
      <c r="K926" s="8">
        <v>9.6522654726199392E-2</v>
      </c>
    </row>
    <row r="927" spans="1:11" x14ac:dyDescent="0.3">
      <c r="A927" s="5" t="s">
        <v>44</v>
      </c>
      <c r="B927" s="6">
        <v>40268</v>
      </c>
      <c r="C927" s="5">
        <v>14</v>
      </c>
      <c r="D927" s="5">
        <v>3</v>
      </c>
      <c r="E927" s="5">
        <v>2010</v>
      </c>
      <c r="F927" s="5" t="s">
        <v>21</v>
      </c>
      <c r="G927" s="5" t="s">
        <v>5</v>
      </c>
      <c r="H927" s="7">
        <v>37291.47</v>
      </c>
      <c r="I927" s="7">
        <v>39727.019999999997</v>
      </c>
      <c r="J927" s="7">
        <v>2435.5499999999956</v>
      </c>
      <c r="K927" s="8">
        <v>6.5311182423218914E-2</v>
      </c>
    </row>
    <row r="928" spans="1:11" x14ac:dyDescent="0.3">
      <c r="A928" s="5" t="s">
        <v>44</v>
      </c>
      <c r="B928" s="6">
        <v>40268</v>
      </c>
      <c r="C928" s="5">
        <v>14</v>
      </c>
      <c r="D928" s="5">
        <v>3</v>
      </c>
      <c r="E928" s="5">
        <v>2010</v>
      </c>
      <c r="F928" s="5" t="s">
        <v>22</v>
      </c>
      <c r="G928" s="5" t="s">
        <v>8</v>
      </c>
      <c r="H928" s="7">
        <v>42815</v>
      </c>
      <c r="I928" s="7">
        <v>47875.39</v>
      </c>
      <c r="J928" s="7">
        <v>5060.3899999999994</v>
      </c>
      <c r="K928" s="8">
        <v>0.11819198878897581</v>
      </c>
    </row>
    <row r="929" spans="1:11" x14ac:dyDescent="0.3">
      <c r="A929" s="5" t="s">
        <v>44</v>
      </c>
      <c r="B929" s="6">
        <v>40268</v>
      </c>
      <c r="C929" s="5">
        <v>14</v>
      </c>
      <c r="D929" s="5">
        <v>3</v>
      </c>
      <c r="E929" s="5">
        <v>2010</v>
      </c>
      <c r="F929" s="5" t="s">
        <v>23</v>
      </c>
      <c r="G929" s="5" t="s">
        <v>8</v>
      </c>
      <c r="H929" s="7">
        <v>17377.61</v>
      </c>
      <c r="I929" s="7">
        <v>18874.509999999998</v>
      </c>
      <c r="J929" s="7">
        <v>1496.8999999999978</v>
      </c>
      <c r="K929" s="8">
        <v>8.6139578457566826E-2</v>
      </c>
    </row>
    <row r="930" spans="1:11" x14ac:dyDescent="0.3">
      <c r="A930" s="5" t="s">
        <v>44</v>
      </c>
      <c r="B930" s="6">
        <v>40268</v>
      </c>
      <c r="C930" s="5">
        <v>14</v>
      </c>
      <c r="D930" s="5">
        <v>3</v>
      </c>
      <c r="E930" s="5">
        <v>2010</v>
      </c>
      <c r="F930" s="5" t="s">
        <v>24</v>
      </c>
      <c r="G930" s="5" t="s">
        <v>8</v>
      </c>
      <c r="H930" s="7">
        <v>20593.5</v>
      </c>
      <c r="I930" s="7">
        <v>21381.13</v>
      </c>
      <c r="J930" s="7">
        <v>787.63000000000102</v>
      </c>
      <c r="K930" s="8">
        <v>3.8246534100565763E-2</v>
      </c>
    </row>
    <row r="931" spans="1:11" x14ac:dyDescent="0.3">
      <c r="A931" s="5" t="s">
        <v>44</v>
      </c>
      <c r="B931" s="6">
        <v>40268</v>
      </c>
      <c r="C931" s="5">
        <v>14</v>
      </c>
      <c r="D931" s="5">
        <v>3</v>
      </c>
      <c r="E931" s="5">
        <v>2010</v>
      </c>
      <c r="F931" s="5" t="s">
        <v>27</v>
      </c>
      <c r="G931" s="5" t="s">
        <v>10</v>
      </c>
      <c r="H931" s="7">
        <v>7186.36</v>
      </c>
      <c r="I931" s="7">
        <v>8263.2000000000007</v>
      </c>
      <c r="J931" s="7">
        <v>1076.8400000000011</v>
      </c>
      <c r="K931" s="8">
        <v>0.14984498410878402</v>
      </c>
    </row>
    <row r="932" spans="1:11" x14ac:dyDescent="0.3">
      <c r="A932" s="5" t="s">
        <v>44</v>
      </c>
      <c r="B932" s="6">
        <v>40268</v>
      </c>
      <c r="C932" s="5">
        <v>14</v>
      </c>
      <c r="D932" s="5">
        <v>3</v>
      </c>
      <c r="E932" s="5">
        <v>2010</v>
      </c>
      <c r="F932" s="5" t="s">
        <v>29</v>
      </c>
      <c r="G932" s="5" t="s">
        <v>10</v>
      </c>
      <c r="H932" s="7">
        <v>30031.19</v>
      </c>
      <c r="I932" s="7">
        <v>34242.400000000001</v>
      </c>
      <c r="J932" s="7">
        <v>4211.2100000000028</v>
      </c>
      <c r="K932" s="8">
        <v>0.1402278764178177</v>
      </c>
    </row>
    <row r="933" spans="1:11" x14ac:dyDescent="0.3">
      <c r="A933" s="5" t="s">
        <v>44</v>
      </c>
      <c r="B933" s="6">
        <v>40268</v>
      </c>
      <c r="C933" s="5">
        <v>14</v>
      </c>
      <c r="D933" s="5">
        <v>3</v>
      </c>
      <c r="E933" s="5">
        <v>2010</v>
      </c>
      <c r="F933" s="5" t="s">
        <v>30</v>
      </c>
      <c r="G933" s="5" t="s">
        <v>10</v>
      </c>
      <c r="H933" s="7">
        <v>2711.28</v>
      </c>
      <c r="I933" s="7">
        <v>3185.35</v>
      </c>
      <c r="J933" s="7">
        <v>474.06999999999971</v>
      </c>
      <c r="K933" s="8">
        <v>0.17485099288896747</v>
      </c>
    </row>
    <row r="934" spans="1:11" x14ac:dyDescent="0.3">
      <c r="A934" s="5" t="s">
        <v>44</v>
      </c>
      <c r="B934" s="6">
        <v>40268</v>
      </c>
      <c r="C934" s="5">
        <v>14</v>
      </c>
      <c r="D934" s="5">
        <v>3</v>
      </c>
      <c r="E934" s="5">
        <v>2010</v>
      </c>
      <c r="F934" s="5" t="s">
        <v>9</v>
      </c>
      <c r="G934" s="5" t="s">
        <v>9</v>
      </c>
      <c r="H934" s="7">
        <v>25869.06</v>
      </c>
      <c r="I934" s="7">
        <v>29175</v>
      </c>
      <c r="J934" s="7">
        <v>3305.9399999999987</v>
      </c>
      <c r="K934" s="8">
        <v>0.12779513441926374</v>
      </c>
    </row>
    <row r="935" spans="1:11" x14ac:dyDescent="0.3">
      <c r="A935" s="5" t="s">
        <v>44</v>
      </c>
      <c r="B935" s="6">
        <v>40268</v>
      </c>
      <c r="C935" s="5">
        <v>14</v>
      </c>
      <c r="D935" s="5">
        <v>3</v>
      </c>
      <c r="E935" s="5">
        <v>2010</v>
      </c>
      <c r="F935" s="5" t="s">
        <v>33</v>
      </c>
      <c r="G935" s="5" t="s">
        <v>7</v>
      </c>
      <c r="H935" s="7">
        <v>2078.5</v>
      </c>
      <c r="I935" s="7">
        <v>3739.98</v>
      </c>
      <c r="J935" s="7">
        <v>1661.48</v>
      </c>
      <c r="K935" s="8">
        <v>0.79936492662978109</v>
      </c>
    </row>
    <row r="936" spans="1:11" x14ac:dyDescent="0.3">
      <c r="A936" s="5" t="s">
        <v>44</v>
      </c>
      <c r="B936" s="6">
        <v>40268</v>
      </c>
      <c r="C936" s="5">
        <v>14</v>
      </c>
      <c r="D936" s="5">
        <v>3</v>
      </c>
      <c r="E936" s="5">
        <v>2010</v>
      </c>
      <c r="F936" s="5" t="s">
        <v>35</v>
      </c>
      <c r="G936" s="5" t="s">
        <v>11</v>
      </c>
      <c r="H936" s="7">
        <v>2048</v>
      </c>
      <c r="I936" s="7">
        <v>2293.91</v>
      </c>
      <c r="J936" s="7">
        <v>245.90999999999985</v>
      </c>
      <c r="K936" s="8">
        <v>0.12007324218749993</v>
      </c>
    </row>
    <row r="937" spans="1:11" x14ac:dyDescent="0.3">
      <c r="A937" s="5" t="s">
        <v>44</v>
      </c>
      <c r="B937" s="6">
        <v>40268</v>
      </c>
      <c r="C937" s="5">
        <v>14</v>
      </c>
      <c r="D937" s="5">
        <v>3</v>
      </c>
      <c r="E937" s="5">
        <v>2010</v>
      </c>
      <c r="F937" s="5" t="s">
        <v>36</v>
      </c>
      <c r="G937" s="5" t="s">
        <v>11</v>
      </c>
      <c r="H937" s="7">
        <v>22005.11</v>
      </c>
      <c r="I937" s="7">
        <v>24663.119999999999</v>
      </c>
      <c r="J937" s="7">
        <v>2658.0099999999984</v>
      </c>
      <c r="K937" s="8">
        <v>0.12079058000618939</v>
      </c>
    </row>
    <row r="938" spans="1:11" x14ac:dyDescent="0.3">
      <c r="A938" s="5" t="s">
        <v>44</v>
      </c>
      <c r="B938" s="6">
        <v>40268</v>
      </c>
      <c r="C938" s="5">
        <v>14</v>
      </c>
      <c r="D938" s="5">
        <v>3</v>
      </c>
      <c r="E938" s="5">
        <v>2010</v>
      </c>
      <c r="F938" s="5" t="s">
        <v>37</v>
      </c>
      <c r="G938" s="5" t="s">
        <v>11</v>
      </c>
      <c r="H938" s="7">
        <v>34413.089999999997</v>
      </c>
      <c r="I938" s="7">
        <v>37026.74</v>
      </c>
      <c r="J938" s="7">
        <v>2613.6500000000015</v>
      </c>
      <c r="K938" s="8">
        <v>7.5949297200571114E-2</v>
      </c>
    </row>
    <row r="939" spans="1:11" x14ac:dyDescent="0.3">
      <c r="A939" s="5" t="s">
        <v>44</v>
      </c>
      <c r="B939" s="6">
        <v>40268</v>
      </c>
      <c r="C939" s="5">
        <v>14</v>
      </c>
      <c r="D939" s="5">
        <v>3</v>
      </c>
      <c r="E939" s="5">
        <v>2010</v>
      </c>
      <c r="F939" s="5" t="s">
        <v>38</v>
      </c>
      <c r="G939" s="5" t="s">
        <v>11</v>
      </c>
      <c r="H939" s="7">
        <v>59991.19</v>
      </c>
      <c r="I939" s="7">
        <v>60878.03</v>
      </c>
      <c r="J939" s="7">
        <v>886.83999999999651</v>
      </c>
      <c r="K939" s="8">
        <v>1.4782837279940546E-2</v>
      </c>
    </row>
    <row r="940" spans="1:11" x14ac:dyDescent="0.3">
      <c r="A940" s="5" t="s">
        <v>44</v>
      </c>
      <c r="B940" s="6">
        <v>40269</v>
      </c>
      <c r="C940" s="5">
        <v>14</v>
      </c>
      <c r="D940" s="5">
        <v>4</v>
      </c>
      <c r="E940" s="5">
        <v>2010</v>
      </c>
      <c r="F940" s="5" t="s">
        <v>14</v>
      </c>
      <c r="G940" s="5" t="s">
        <v>6</v>
      </c>
      <c r="H940" s="7">
        <v>364</v>
      </c>
      <c r="I940" s="7">
        <v>454.71</v>
      </c>
      <c r="J940" s="7">
        <v>90.70999999999998</v>
      </c>
      <c r="K940" s="8">
        <v>0.24920329670329663</v>
      </c>
    </row>
    <row r="941" spans="1:11" x14ac:dyDescent="0.3">
      <c r="A941" s="5" t="s">
        <v>44</v>
      </c>
      <c r="B941" s="6">
        <v>40269</v>
      </c>
      <c r="C941" s="5">
        <v>14</v>
      </c>
      <c r="D941" s="5">
        <v>4</v>
      </c>
      <c r="E941" s="5">
        <v>2010</v>
      </c>
      <c r="F941" s="5" t="s">
        <v>15</v>
      </c>
      <c r="G941" s="5" t="s">
        <v>6</v>
      </c>
      <c r="H941" s="7">
        <v>21712.11</v>
      </c>
      <c r="I941" s="7">
        <v>24599.919999999998</v>
      </c>
      <c r="J941" s="7">
        <v>2887.8099999999977</v>
      </c>
      <c r="K941" s="8">
        <v>0.13300457670857405</v>
      </c>
    </row>
    <row r="942" spans="1:11" x14ac:dyDescent="0.3">
      <c r="A942" s="5" t="s">
        <v>44</v>
      </c>
      <c r="B942" s="6">
        <v>40269</v>
      </c>
      <c r="C942" s="5">
        <v>14</v>
      </c>
      <c r="D942" s="5">
        <v>4</v>
      </c>
      <c r="E942" s="5">
        <v>2010</v>
      </c>
      <c r="F942" s="5" t="s">
        <v>16</v>
      </c>
      <c r="G942" s="5" t="s">
        <v>6</v>
      </c>
      <c r="H942" s="7">
        <v>20885.07</v>
      </c>
      <c r="I942" s="7">
        <v>23137.52</v>
      </c>
      <c r="J942" s="7">
        <v>2252.4500000000007</v>
      </c>
      <c r="K942" s="8">
        <v>0.10784977019468936</v>
      </c>
    </row>
    <row r="943" spans="1:11" x14ac:dyDescent="0.3">
      <c r="A943" s="5" t="s">
        <v>44</v>
      </c>
      <c r="B943" s="6">
        <v>40269</v>
      </c>
      <c r="C943" s="5">
        <v>14</v>
      </c>
      <c r="D943" s="5">
        <v>4</v>
      </c>
      <c r="E943" s="5">
        <v>2010</v>
      </c>
      <c r="F943" s="5" t="s">
        <v>18</v>
      </c>
      <c r="G943" s="5" t="s">
        <v>6</v>
      </c>
      <c r="H943" s="7">
        <v>1010.65</v>
      </c>
      <c r="I943" s="7">
        <v>1149.9000000000001</v>
      </c>
      <c r="J943" s="7">
        <v>139.25000000000011</v>
      </c>
      <c r="K943" s="8">
        <v>0.13778261514866683</v>
      </c>
    </row>
    <row r="944" spans="1:11" x14ac:dyDescent="0.3">
      <c r="A944" s="5" t="s">
        <v>44</v>
      </c>
      <c r="B944" s="6">
        <v>40269</v>
      </c>
      <c r="C944" s="5">
        <v>14</v>
      </c>
      <c r="D944" s="5">
        <v>4</v>
      </c>
      <c r="E944" s="5">
        <v>2010</v>
      </c>
      <c r="F944" s="5" t="s">
        <v>19</v>
      </c>
      <c r="G944" s="5" t="s">
        <v>5</v>
      </c>
      <c r="H944" s="7">
        <v>15385.3</v>
      </c>
      <c r="I944" s="7">
        <v>17574.8</v>
      </c>
      <c r="J944" s="7">
        <v>2189.5</v>
      </c>
      <c r="K944" s="8">
        <v>0.14231116715306169</v>
      </c>
    </row>
    <row r="945" spans="1:11" x14ac:dyDescent="0.3">
      <c r="A945" s="5" t="s">
        <v>44</v>
      </c>
      <c r="B945" s="6">
        <v>40269</v>
      </c>
      <c r="C945" s="5">
        <v>14</v>
      </c>
      <c r="D945" s="5">
        <v>4</v>
      </c>
      <c r="E945" s="5">
        <v>2010</v>
      </c>
      <c r="F945" s="5" t="s">
        <v>5</v>
      </c>
      <c r="G945" s="5" t="s">
        <v>5</v>
      </c>
      <c r="H945" s="7">
        <v>133728.49</v>
      </c>
      <c r="I945" s="7">
        <v>140114.68</v>
      </c>
      <c r="J945" s="7">
        <v>6386.1900000000023</v>
      </c>
      <c r="K945" s="8">
        <v>4.7754895011526736E-2</v>
      </c>
    </row>
    <row r="946" spans="1:11" x14ac:dyDescent="0.3">
      <c r="A946" s="5" t="s">
        <v>44</v>
      </c>
      <c r="B946" s="6">
        <v>40269</v>
      </c>
      <c r="C946" s="5">
        <v>14</v>
      </c>
      <c r="D946" s="5">
        <v>4</v>
      </c>
      <c r="E946" s="5">
        <v>2010</v>
      </c>
      <c r="F946" s="5" t="s">
        <v>20</v>
      </c>
      <c r="G946" s="5" t="s">
        <v>5</v>
      </c>
      <c r="H946" s="7">
        <v>19155.650000000001</v>
      </c>
      <c r="I946" s="7">
        <v>21165.23</v>
      </c>
      <c r="J946" s="7">
        <v>2009.5799999999981</v>
      </c>
      <c r="K946" s="8">
        <v>0.10490795143991449</v>
      </c>
    </row>
    <row r="947" spans="1:11" x14ac:dyDescent="0.3">
      <c r="A947" s="5" t="s">
        <v>44</v>
      </c>
      <c r="B947" s="6">
        <v>40269</v>
      </c>
      <c r="C947" s="5">
        <v>14</v>
      </c>
      <c r="D947" s="5">
        <v>4</v>
      </c>
      <c r="E947" s="5">
        <v>2010</v>
      </c>
      <c r="F947" s="5" t="s">
        <v>21</v>
      </c>
      <c r="G947" s="5" t="s">
        <v>5</v>
      </c>
      <c r="H947" s="7">
        <v>50390.07</v>
      </c>
      <c r="I947" s="7">
        <v>52530.43</v>
      </c>
      <c r="J947" s="7">
        <v>2140.3600000000006</v>
      </c>
      <c r="K947" s="8">
        <v>4.2475829067115813E-2</v>
      </c>
    </row>
    <row r="948" spans="1:11" x14ac:dyDescent="0.3">
      <c r="A948" s="5" t="s">
        <v>44</v>
      </c>
      <c r="B948" s="6">
        <v>40269</v>
      </c>
      <c r="C948" s="5">
        <v>14</v>
      </c>
      <c r="D948" s="5">
        <v>4</v>
      </c>
      <c r="E948" s="5">
        <v>2010</v>
      </c>
      <c r="F948" s="5" t="s">
        <v>22</v>
      </c>
      <c r="G948" s="5" t="s">
        <v>8</v>
      </c>
      <c r="H948" s="7">
        <v>37327.03</v>
      </c>
      <c r="I948" s="7">
        <v>41971.01</v>
      </c>
      <c r="J948" s="7">
        <v>4643.9800000000032</v>
      </c>
      <c r="K948" s="8">
        <v>0.12441332728588381</v>
      </c>
    </row>
    <row r="949" spans="1:11" x14ac:dyDescent="0.3">
      <c r="A949" s="5" t="s">
        <v>44</v>
      </c>
      <c r="B949" s="6">
        <v>40269</v>
      </c>
      <c r="C949" s="5">
        <v>14</v>
      </c>
      <c r="D949" s="5">
        <v>4</v>
      </c>
      <c r="E949" s="5">
        <v>2010</v>
      </c>
      <c r="F949" s="5" t="s">
        <v>23</v>
      </c>
      <c r="G949" s="5" t="s">
        <v>8</v>
      </c>
      <c r="H949" s="7">
        <v>36279.410000000003</v>
      </c>
      <c r="I949" s="7">
        <v>37822.35</v>
      </c>
      <c r="J949" s="7">
        <v>1542.9399999999951</v>
      </c>
      <c r="K949" s="8">
        <v>4.252935756121709E-2</v>
      </c>
    </row>
    <row r="950" spans="1:11" x14ac:dyDescent="0.3">
      <c r="A950" s="5" t="s">
        <v>44</v>
      </c>
      <c r="B950" s="6">
        <v>40269</v>
      </c>
      <c r="C950" s="5">
        <v>14</v>
      </c>
      <c r="D950" s="5">
        <v>4</v>
      </c>
      <c r="E950" s="5">
        <v>2010</v>
      </c>
      <c r="F950" s="5" t="s">
        <v>24</v>
      </c>
      <c r="G950" s="5" t="s">
        <v>8</v>
      </c>
      <c r="H950" s="7">
        <v>20854</v>
      </c>
      <c r="I950" s="7">
        <v>22207.97</v>
      </c>
      <c r="J950" s="7">
        <v>1353.9700000000012</v>
      </c>
      <c r="K950" s="8">
        <v>6.4926153255970134E-2</v>
      </c>
    </row>
    <row r="951" spans="1:11" x14ac:dyDescent="0.3">
      <c r="A951" s="5" t="s">
        <v>44</v>
      </c>
      <c r="B951" s="6">
        <v>40269</v>
      </c>
      <c r="C951" s="5">
        <v>14</v>
      </c>
      <c r="D951" s="5">
        <v>4</v>
      </c>
      <c r="E951" s="5">
        <v>2010</v>
      </c>
      <c r="F951" s="5" t="s">
        <v>27</v>
      </c>
      <c r="G951" s="5" t="s">
        <v>10</v>
      </c>
      <c r="H951" s="7">
        <v>1993.78</v>
      </c>
      <c r="I951" s="7">
        <v>2292.37</v>
      </c>
      <c r="J951" s="7">
        <v>298.58999999999992</v>
      </c>
      <c r="K951" s="8">
        <v>0.1497607559510076</v>
      </c>
    </row>
    <row r="952" spans="1:11" x14ac:dyDescent="0.3">
      <c r="A952" s="5" t="s">
        <v>44</v>
      </c>
      <c r="B952" s="6">
        <v>40269</v>
      </c>
      <c r="C952" s="5">
        <v>14</v>
      </c>
      <c r="D952" s="5">
        <v>4</v>
      </c>
      <c r="E952" s="5">
        <v>2010</v>
      </c>
      <c r="F952" s="5" t="s">
        <v>29</v>
      </c>
      <c r="G952" s="5" t="s">
        <v>10</v>
      </c>
      <c r="H952" s="7">
        <v>35856.129999999997</v>
      </c>
      <c r="I952" s="7">
        <v>40616.379999999997</v>
      </c>
      <c r="J952" s="7">
        <v>4760.25</v>
      </c>
      <c r="K952" s="8">
        <v>0.1327597261611892</v>
      </c>
    </row>
    <row r="953" spans="1:11" x14ac:dyDescent="0.3">
      <c r="A953" s="5" t="s">
        <v>44</v>
      </c>
      <c r="B953" s="6">
        <v>40269</v>
      </c>
      <c r="C953" s="5">
        <v>14</v>
      </c>
      <c r="D953" s="5">
        <v>4</v>
      </c>
      <c r="E953" s="5">
        <v>2010</v>
      </c>
      <c r="F953" s="5" t="s">
        <v>30</v>
      </c>
      <c r="G953" s="5" t="s">
        <v>10</v>
      </c>
      <c r="H953" s="7">
        <v>451.4</v>
      </c>
      <c r="I953" s="7">
        <v>532.36</v>
      </c>
      <c r="J953" s="7">
        <v>80.960000000000036</v>
      </c>
      <c r="K953" s="8">
        <v>0.17935312361541877</v>
      </c>
    </row>
    <row r="954" spans="1:11" x14ac:dyDescent="0.3">
      <c r="A954" s="5" t="s">
        <v>44</v>
      </c>
      <c r="B954" s="6">
        <v>40269</v>
      </c>
      <c r="C954" s="5">
        <v>14</v>
      </c>
      <c r="D954" s="5">
        <v>4</v>
      </c>
      <c r="E954" s="5">
        <v>2010</v>
      </c>
      <c r="F954" s="5" t="s">
        <v>9</v>
      </c>
      <c r="G954" s="5" t="s">
        <v>9</v>
      </c>
      <c r="H954" s="7">
        <v>14920.91</v>
      </c>
      <c r="I954" s="7">
        <v>17241.12</v>
      </c>
      <c r="J954" s="7">
        <v>2320.2099999999991</v>
      </c>
      <c r="K954" s="8">
        <v>0.15550056933524825</v>
      </c>
    </row>
    <row r="955" spans="1:11" x14ac:dyDescent="0.3">
      <c r="A955" s="5" t="s">
        <v>44</v>
      </c>
      <c r="B955" s="6">
        <v>40269</v>
      </c>
      <c r="C955" s="5">
        <v>14</v>
      </c>
      <c r="D955" s="5">
        <v>4</v>
      </c>
      <c r="E955" s="5">
        <v>2010</v>
      </c>
      <c r="F955" s="5" t="s">
        <v>33</v>
      </c>
      <c r="G955" s="5" t="s">
        <v>7</v>
      </c>
      <c r="H955" s="7">
        <v>679.5</v>
      </c>
      <c r="I955" s="7">
        <v>1489.94</v>
      </c>
      <c r="J955" s="7">
        <v>810.44</v>
      </c>
      <c r="K955" s="8">
        <v>1.192700515084621</v>
      </c>
    </row>
    <row r="956" spans="1:11" x14ac:dyDescent="0.3">
      <c r="A956" s="5" t="s">
        <v>44</v>
      </c>
      <c r="B956" s="6">
        <v>40269</v>
      </c>
      <c r="C956" s="5">
        <v>14</v>
      </c>
      <c r="D956" s="5">
        <v>4</v>
      </c>
      <c r="E956" s="5">
        <v>2010</v>
      </c>
      <c r="F956" s="5" t="s">
        <v>35</v>
      </c>
      <c r="G956" s="5" t="s">
        <v>11</v>
      </c>
      <c r="H956" s="7">
        <v>2666</v>
      </c>
      <c r="I956" s="7">
        <v>2985.91</v>
      </c>
      <c r="J956" s="7">
        <v>319.90999999999985</v>
      </c>
      <c r="K956" s="8">
        <v>0.11999624906226551</v>
      </c>
    </row>
    <row r="957" spans="1:11" x14ac:dyDescent="0.3">
      <c r="A957" s="5" t="s">
        <v>44</v>
      </c>
      <c r="B957" s="6">
        <v>40269</v>
      </c>
      <c r="C957" s="5">
        <v>14</v>
      </c>
      <c r="D957" s="5">
        <v>4</v>
      </c>
      <c r="E957" s="5">
        <v>2010</v>
      </c>
      <c r="F957" s="5" t="s">
        <v>36</v>
      </c>
      <c r="G957" s="5" t="s">
        <v>11</v>
      </c>
      <c r="H957" s="7">
        <v>13651.08</v>
      </c>
      <c r="I957" s="7">
        <v>15083.65</v>
      </c>
      <c r="J957" s="7">
        <v>1432.5699999999997</v>
      </c>
      <c r="K957" s="8">
        <v>0.10494188005637647</v>
      </c>
    </row>
    <row r="958" spans="1:11" x14ac:dyDescent="0.3">
      <c r="A958" s="5" t="s">
        <v>44</v>
      </c>
      <c r="B958" s="6">
        <v>40269</v>
      </c>
      <c r="C958" s="5">
        <v>14</v>
      </c>
      <c r="D958" s="5">
        <v>4</v>
      </c>
      <c r="E958" s="5">
        <v>2010</v>
      </c>
      <c r="F958" s="5" t="s">
        <v>37</v>
      </c>
      <c r="G958" s="5" t="s">
        <v>11</v>
      </c>
      <c r="H958" s="7">
        <v>27586.22</v>
      </c>
      <c r="I958" s="7">
        <v>30118.720000000001</v>
      </c>
      <c r="J958" s="7">
        <v>2532.5</v>
      </c>
      <c r="K958" s="8">
        <v>9.1803081393536337E-2</v>
      </c>
    </row>
    <row r="959" spans="1:11" x14ac:dyDescent="0.3">
      <c r="A959" s="5" t="s">
        <v>44</v>
      </c>
      <c r="B959" s="6">
        <v>40269</v>
      </c>
      <c r="C959" s="5">
        <v>14</v>
      </c>
      <c r="D959" s="5">
        <v>4</v>
      </c>
      <c r="E959" s="5">
        <v>2010</v>
      </c>
      <c r="F959" s="5" t="s">
        <v>38</v>
      </c>
      <c r="G959" s="5" t="s">
        <v>11</v>
      </c>
      <c r="H959" s="7">
        <v>38145.29</v>
      </c>
      <c r="I959" s="7">
        <v>39402.720000000001</v>
      </c>
      <c r="J959" s="7">
        <v>1257.4300000000003</v>
      </c>
      <c r="K959" s="8">
        <v>3.2964227038252962E-2</v>
      </c>
    </row>
    <row r="960" spans="1:11" x14ac:dyDescent="0.3">
      <c r="A960" s="5" t="s">
        <v>44</v>
      </c>
      <c r="B960" s="6">
        <v>40270</v>
      </c>
      <c r="C960" s="5">
        <v>14</v>
      </c>
      <c r="D960" s="5">
        <v>4</v>
      </c>
      <c r="E960" s="5">
        <v>2010</v>
      </c>
      <c r="F960" s="5" t="s">
        <v>14</v>
      </c>
      <c r="G960" s="5" t="s">
        <v>6</v>
      </c>
      <c r="H960" s="7">
        <v>572</v>
      </c>
      <c r="I960" s="7">
        <v>714.9</v>
      </c>
      <c r="J960" s="7">
        <v>142.89999999999998</v>
      </c>
      <c r="K960" s="8">
        <v>0.24982517482517477</v>
      </c>
    </row>
    <row r="961" spans="1:11" x14ac:dyDescent="0.3">
      <c r="A961" s="5" t="s">
        <v>44</v>
      </c>
      <c r="B961" s="6">
        <v>40270</v>
      </c>
      <c r="C961" s="5">
        <v>14</v>
      </c>
      <c r="D961" s="5">
        <v>4</v>
      </c>
      <c r="E961" s="5">
        <v>2010</v>
      </c>
      <c r="F961" s="5" t="s">
        <v>15</v>
      </c>
      <c r="G961" s="5" t="s">
        <v>6</v>
      </c>
      <c r="H961" s="7">
        <v>14802.14</v>
      </c>
      <c r="I961" s="7">
        <v>17382.830000000002</v>
      </c>
      <c r="J961" s="7">
        <v>2580.6900000000023</v>
      </c>
      <c r="K961" s="8">
        <v>0.17434573649485835</v>
      </c>
    </row>
    <row r="962" spans="1:11" x14ac:dyDescent="0.3">
      <c r="A962" s="5" t="s">
        <v>44</v>
      </c>
      <c r="B962" s="6">
        <v>40270</v>
      </c>
      <c r="C962" s="5">
        <v>14</v>
      </c>
      <c r="D962" s="5">
        <v>4</v>
      </c>
      <c r="E962" s="5">
        <v>2010</v>
      </c>
      <c r="F962" s="5" t="s">
        <v>16</v>
      </c>
      <c r="G962" s="5" t="s">
        <v>6</v>
      </c>
      <c r="H962" s="7">
        <v>16488.78</v>
      </c>
      <c r="I962" s="7">
        <v>18991.71</v>
      </c>
      <c r="J962" s="7">
        <v>2502.9300000000003</v>
      </c>
      <c r="K962" s="8">
        <v>0.15179594851771935</v>
      </c>
    </row>
    <row r="963" spans="1:11" x14ac:dyDescent="0.3">
      <c r="A963" s="5" t="s">
        <v>44</v>
      </c>
      <c r="B963" s="6">
        <v>40270</v>
      </c>
      <c r="C963" s="5">
        <v>14</v>
      </c>
      <c r="D963" s="5">
        <v>4</v>
      </c>
      <c r="E963" s="5">
        <v>2010</v>
      </c>
      <c r="F963" s="5" t="s">
        <v>18</v>
      </c>
      <c r="G963" s="5" t="s">
        <v>6</v>
      </c>
      <c r="H963" s="7">
        <v>2908.52</v>
      </c>
      <c r="I963" s="7">
        <v>3204.63</v>
      </c>
      <c r="J963" s="7">
        <v>296.11000000000013</v>
      </c>
      <c r="K963" s="8">
        <v>0.10180779227923484</v>
      </c>
    </row>
    <row r="964" spans="1:11" x14ac:dyDescent="0.3">
      <c r="A964" s="5" t="s">
        <v>44</v>
      </c>
      <c r="B964" s="6">
        <v>40270</v>
      </c>
      <c r="C964" s="5">
        <v>14</v>
      </c>
      <c r="D964" s="5">
        <v>4</v>
      </c>
      <c r="E964" s="5">
        <v>2010</v>
      </c>
      <c r="F964" s="5" t="s">
        <v>19</v>
      </c>
      <c r="G964" s="5" t="s">
        <v>5</v>
      </c>
      <c r="H964" s="7">
        <v>25784.77</v>
      </c>
      <c r="I964" s="7">
        <v>29746.02</v>
      </c>
      <c r="J964" s="7">
        <v>3961.25</v>
      </c>
      <c r="K964" s="8">
        <v>0.1536275095725112</v>
      </c>
    </row>
    <row r="965" spans="1:11" x14ac:dyDescent="0.3">
      <c r="A965" s="5" t="s">
        <v>44</v>
      </c>
      <c r="B965" s="6">
        <v>40270</v>
      </c>
      <c r="C965" s="5">
        <v>14</v>
      </c>
      <c r="D965" s="5">
        <v>4</v>
      </c>
      <c r="E965" s="5">
        <v>2010</v>
      </c>
      <c r="F965" s="5" t="s">
        <v>5</v>
      </c>
      <c r="G965" s="5" t="s">
        <v>5</v>
      </c>
      <c r="H965" s="7">
        <v>125863.76</v>
      </c>
      <c r="I965" s="7">
        <v>133658.99</v>
      </c>
      <c r="J965" s="7">
        <v>7795.2299999999959</v>
      </c>
      <c r="K965" s="8">
        <v>6.1933871989840412E-2</v>
      </c>
    </row>
    <row r="966" spans="1:11" x14ac:dyDescent="0.3">
      <c r="A966" s="5" t="s">
        <v>44</v>
      </c>
      <c r="B966" s="6">
        <v>40270</v>
      </c>
      <c r="C966" s="5">
        <v>14</v>
      </c>
      <c r="D966" s="5">
        <v>4</v>
      </c>
      <c r="E966" s="5">
        <v>2010</v>
      </c>
      <c r="F966" s="5" t="s">
        <v>20</v>
      </c>
      <c r="G966" s="5" t="s">
        <v>5</v>
      </c>
      <c r="H966" s="7">
        <v>22349.86</v>
      </c>
      <c r="I966" s="7">
        <v>25362.06</v>
      </c>
      <c r="J966" s="7">
        <v>3012.2000000000007</v>
      </c>
      <c r="K966" s="8">
        <v>0.13477489344452273</v>
      </c>
    </row>
    <row r="967" spans="1:11" x14ac:dyDescent="0.3">
      <c r="A967" s="5" t="s">
        <v>44</v>
      </c>
      <c r="B967" s="6">
        <v>40270</v>
      </c>
      <c r="C967" s="5">
        <v>14</v>
      </c>
      <c r="D967" s="5">
        <v>4</v>
      </c>
      <c r="E967" s="5">
        <v>2010</v>
      </c>
      <c r="F967" s="5" t="s">
        <v>21</v>
      </c>
      <c r="G967" s="5" t="s">
        <v>5</v>
      </c>
      <c r="H967" s="7">
        <v>47273.01</v>
      </c>
      <c r="I967" s="7">
        <v>50217.48</v>
      </c>
      <c r="J967" s="7">
        <v>2944.4700000000012</v>
      </c>
      <c r="K967" s="8">
        <v>6.2286492863475394E-2</v>
      </c>
    </row>
    <row r="968" spans="1:11" x14ac:dyDescent="0.3">
      <c r="A968" s="5" t="s">
        <v>44</v>
      </c>
      <c r="B968" s="6">
        <v>40270</v>
      </c>
      <c r="C968" s="5">
        <v>14</v>
      </c>
      <c r="D968" s="5">
        <v>4</v>
      </c>
      <c r="E968" s="5">
        <v>2010</v>
      </c>
      <c r="F968" s="5" t="s">
        <v>22</v>
      </c>
      <c r="G968" s="5" t="s">
        <v>8</v>
      </c>
      <c r="H968" s="7">
        <v>74628.02</v>
      </c>
      <c r="I968" s="7">
        <v>80600.94</v>
      </c>
      <c r="J968" s="7">
        <v>5972.9199999999983</v>
      </c>
      <c r="K968" s="8">
        <v>8.003589000485338E-2</v>
      </c>
    </row>
    <row r="969" spans="1:11" x14ac:dyDescent="0.3">
      <c r="A969" s="5" t="s">
        <v>44</v>
      </c>
      <c r="B969" s="6">
        <v>40270</v>
      </c>
      <c r="C969" s="5">
        <v>14</v>
      </c>
      <c r="D969" s="5">
        <v>4</v>
      </c>
      <c r="E969" s="5">
        <v>2010</v>
      </c>
      <c r="F969" s="5" t="s">
        <v>23</v>
      </c>
      <c r="G969" s="5" t="s">
        <v>8</v>
      </c>
      <c r="H969" s="7">
        <v>36235.11</v>
      </c>
      <c r="I969" s="7">
        <v>38576.39</v>
      </c>
      <c r="J969" s="7">
        <v>2341.2799999999988</v>
      </c>
      <c r="K969" s="8">
        <v>6.4613575065730414E-2</v>
      </c>
    </row>
    <row r="970" spans="1:11" x14ac:dyDescent="0.3">
      <c r="A970" s="5" t="s">
        <v>44</v>
      </c>
      <c r="B970" s="6">
        <v>40270</v>
      </c>
      <c r="C970" s="5">
        <v>14</v>
      </c>
      <c r="D970" s="5">
        <v>4</v>
      </c>
      <c r="E970" s="5">
        <v>2010</v>
      </c>
      <c r="F970" s="5" t="s">
        <v>24</v>
      </c>
      <c r="G970" s="5" t="s">
        <v>8</v>
      </c>
      <c r="H970" s="7">
        <v>37273.5</v>
      </c>
      <c r="I970" s="7">
        <v>39973.22</v>
      </c>
      <c r="J970" s="7">
        <v>2699.7200000000012</v>
      </c>
      <c r="K970" s="8">
        <v>7.2430010597341304E-2</v>
      </c>
    </row>
    <row r="971" spans="1:11" x14ac:dyDescent="0.3">
      <c r="A971" s="5" t="s">
        <v>44</v>
      </c>
      <c r="B971" s="6">
        <v>40270</v>
      </c>
      <c r="C971" s="5">
        <v>14</v>
      </c>
      <c r="D971" s="5">
        <v>4</v>
      </c>
      <c r="E971" s="5">
        <v>2010</v>
      </c>
      <c r="F971" s="5" t="s">
        <v>27</v>
      </c>
      <c r="G971" s="5" t="s">
        <v>10</v>
      </c>
      <c r="H971" s="7">
        <v>7210.3</v>
      </c>
      <c r="I971" s="7">
        <v>8290.51</v>
      </c>
      <c r="J971" s="7">
        <v>1080.21</v>
      </c>
      <c r="K971" s="8">
        <v>0.14981484820326477</v>
      </c>
    </row>
    <row r="972" spans="1:11" x14ac:dyDescent="0.3">
      <c r="A972" s="5" t="s">
        <v>44</v>
      </c>
      <c r="B972" s="6">
        <v>40270</v>
      </c>
      <c r="C972" s="5">
        <v>14</v>
      </c>
      <c r="D972" s="5">
        <v>4</v>
      </c>
      <c r="E972" s="5">
        <v>2010</v>
      </c>
      <c r="F972" s="5" t="s">
        <v>29</v>
      </c>
      <c r="G972" s="5" t="s">
        <v>10</v>
      </c>
      <c r="H972" s="7">
        <v>47437.98</v>
      </c>
      <c r="I972" s="7">
        <v>52052.79</v>
      </c>
      <c r="J972" s="7">
        <v>4614.8099999999977</v>
      </c>
      <c r="K972" s="8">
        <v>9.7280912888786528E-2</v>
      </c>
    </row>
    <row r="973" spans="1:11" x14ac:dyDescent="0.3">
      <c r="A973" s="5" t="s">
        <v>44</v>
      </c>
      <c r="B973" s="6">
        <v>40270</v>
      </c>
      <c r="C973" s="5">
        <v>14</v>
      </c>
      <c r="D973" s="5">
        <v>4</v>
      </c>
      <c r="E973" s="5">
        <v>2010</v>
      </c>
      <c r="F973" s="5" t="s">
        <v>30</v>
      </c>
      <c r="G973" s="5" t="s">
        <v>10</v>
      </c>
      <c r="H973" s="7">
        <v>1400.56</v>
      </c>
      <c r="I973" s="7">
        <v>1651.89</v>
      </c>
      <c r="J973" s="7">
        <v>251.33000000000015</v>
      </c>
      <c r="K973" s="8">
        <v>0.17944964871194391</v>
      </c>
    </row>
    <row r="974" spans="1:11" x14ac:dyDescent="0.3">
      <c r="A974" s="5" t="s">
        <v>44</v>
      </c>
      <c r="B974" s="6">
        <v>40270</v>
      </c>
      <c r="C974" s="5">
        <v>14</v>
      </c>
      <c r="D974" s="5">
        <v>4</v>
      </c>
      <c r="E974" s="5">
        <v>2010</v>
      </c>
      <c r="F974" s="5" t="s">
        <v>9</v>
      </c>
      <c r="G974" s="5" t="s">
        <v>9</v>
      </c>
      <c r="H974" s="7">
        <v>31566.23</v>
      </c>
      <c r="I974" s="7">
        <v>36269.75</v>
      </c>
      <c r="J974" s="7">
        <v>4703.5200000000004</v>
      </c>
      <c r="K974" s="8">
        <v>0.14900480671907923</v>
      </c>
    </row>
    <row r="975" spans="1:11" x14ac:dyDescent="0.3">
      <c r="A975" s="5" t="s">
        <v>44</v>
      </c>
      <c r="B975" s="6">
        <v>40270</v>
      </c>
      <c r="C975" s="5">
        <v>14</v>
      </c>
      <c r="D975" s="5">
        <v>4</v>
      </c>
      <c r="E975" s="5">
        <v>2010</v>
      </c>
      <c r="F975" s="5" t="s">
        <v>33</v>
      </c>
      <c r="G975" s="5" t="s">
        <v>7</v>
      </c>
      <c r="H975" s="7">
        <v>5869.62</v>
      </c>
      <c r="I975" s="7">
        <v>8525.33</v>
      </c>
      <c r="J975" s="7">
        <v>2655.71</v>
      </c>
      <c r="K975" s="8">
        <v>0.45245007342894433</v>
      </c>
    </row>
    <row r="976" spans="1:11" x14ac:dyDescent="0.3">
      <c r="A976" s="5" t="s">
        <v>44</v>
      </c>
      <c r="B976" s="6">
        <v>40270</v>
      </c>
      <c r="C976" s="5">
        <v>14</v>
      </c>
      <c r="D976" s="5">
        <v>4</v>
      </c>
      <c r="E976" s="5">
        <v>2010</v>
      </c>
      <c r="F976" s="5" t="s">
        <v>35</v>
      </c>
      <c r="G976" s="5" t="s">
        <v>11</v>
      </c>
      <c r="H976" s="7">
        <v>2215</v>
      </c>
      <c r="I976" s="7">
        <v>2454.16</v>
      </c>
      <c r="J976" s="7">
        <v>239.15999999999985</v>
      </c>
      <c r="K976" s="8">
        <v>0.10797291196388255</v>
      </c>
    </row>
    <row r="977" spans="1:11" x14ac:dyDescent="0.3">
      <c r="A977" s="5" t="s">
        <v>44</v>
      </c>
      <c r="B977" s="6">
        <v>40270</v>
      </c>
      <c r="C977" s="5">
        <v>14</v>
      </c>
      <c r="D977" s="5">
        <v>4</v>
      </c>
      <c r="E977" s="5">
        <v>2010</v>
      </c>
      <c r="F977" s="5" t="s">
        <v>36</v>
      </c>
      <c r="G977" s="5" t="s">
        <v>11</v>
      </c>
      <c r="H977" s="7">
        <v>19965.64</v>
      </c>
      <c r="I977" s="7">
        <v>22165.57</v>
      </c>
      <c r="J977" s="7">
        <v>2199.9300000000003</v>
      </c>
      <c r="K977" s="8">
        <v>0.11018579920303083</v>
      </c>
    </row>
    <row r="978" spans="1:11" x14ac:dyDescent="0.3">
      <c r="A978" s="5" t="s">
        <v>44</v>
      </c>
      <c r="B978" s="6">
        <v>40270</v>
      </c>
      <c r="C978" s="5">
        <v>14</v>
      </c>
      <c r="D978" s="5">
        <v>4</v>
      </c>
      <c r="E978" s="5">
        <v>2010</v>
      </c>
      <c r="F978" s="5" t="s">
        <v>37</v>
      </c>
      <c r="G978" s="5" t="s">
        <v>11</v>
      </c>
      <c r="H978" s="7">
        <v>38969.919999999998</v>
      </c>
      <c r="I978" s="7">
        <v>42128.160000000003</v>
      </c>
      <c r="J978" s="7">
        <v>3158.2400000000052</v>
      </c>
      <c r="K978" s="8">
        <v>8.1043019847102729E-2</v>
      </c>
    </row>
    <row r="979" spans="1:11" x14ac:dyDescent="0.3">
      <c r="A979" s="5" t="s">
        <v>44</v>
      </c>
      <c r="B979" s="6">
        <v>40270</v>
      </c>
      <c r="C979" s="5">
        <v>14</v>
      </c>
      <c r="D979" s="5">
        <v>4</v>
      </c>
      <c r="E979" s="5">
        <v>2010</v>
      </c>
      <c r="F979" s="5" t="s">
        <v>38</v>
      </c>
      <c r="G979" s="5" t="s">
        <v>11</v>
      </c>
      <c r="H979" s="7">
        <v>36666.839999999997</v>
      </c>
      <c r="I979" s="7">
        <v>37983.599999999999</v>
      </c>
      <c r="J979" s="7">
        <v>1316.760000000002</v>
      </c>
      <c r="K979" s="8">
        <v>3.5911466600339767E-2</v>
      </c>
    </row>
    <row r="980" spans="1:11" x14ac:dyDescent="0.3">
      <c r="A980" s="5" t="s">
        <v>44</v>
      </c>
      <c r="B980" s="6">
        <v>40271</v>
      </c>
      <c r="C980" s="5">
        <v>14</v>
      </c>
      <c r="D980" s="5">
        <v>4</v>
      </c>
      <c r="E980" s="5">
        <v>2010</v>
      </c>
      <c r="F980" s="5" t="s">
        <v>14</v>
      </c>
      <c r="G980" s="5" t="s">
        <v>6</v>
      </c>
      <c r="H980" s="7">
        <v>780</v>
      </c>
      <c r="I980" s="7">
        <v>974.96</v>
      </c>
      <c r="J980" s="7">
        <v>194.96000000000004</v>
      </c>
      <c r="K980" s="8">
        <v>0.24994871794871801</v>
      </c>
    </row>
    <row r="981" spans="1:11" x14ac:dyDescent="0.3">
      <c r="A981" s="5" t="s">
        <v>44</v>
      </c>
      <c r="B981" s="6">
        <v>40271</v>
      </c>
      <c r="C981" s="5">
        <v>14</v>
      </c>
      <c r="D981" s="5">
        <v>4</v>
      </c>
      <c r="E981" s="5">
        <v>2010</v>
      </c>
      <c r="F981" s="5" t="s">
        <v>15</v>
      </c>
      <c r="G981" s="5" t="s">
        <v>6</v>
      </c>
      <c r="H981" s="7">
        <v>27012.31</v>
      </c>
      <c r="I981" s="7">
        <v>31876.17</v>
      </c>
      <c r="J981" s="7">
        <v>4863.8599999999969</v>
      </c>
      <c r="K981" s="8">
        <v>0.18006086854474854</v>
      </c>
    </row>
    <row r="982" spans="1:11" x14ac:dyDescent="0.3">
      <c r="A982" s="5" t="s">
        <v>44</v>
      </c>
      <c r="B982" s="6">
        <v>40271</v>
      </c>
      <c r="C982" s="5">
        <v>14</v>
      </c>
      <c r="D982" s="5">
        <v>4</v>
      </c>
      <c r="E982" s="5">
        <v>2010</v>
      </c>
      <c r="F982" s="5" t="s">
        <v>16</v>
      </c>
      <c r="G982" s="5" t="s">
        <v>6</v>
      </c>
      <c r="H982" s="7">
        <v>22601.599999999999</v>
      </c>
      <c r="I982" s="7">
        <v>25868.63</v>
      </c>
      <c r="J982" s="7">
        <v>3267.0300000000025</v>
      </c>
      <c r="K982" s="8">
        <v>0.14454861602718402</v>
      </c>
    </row>
    <row r="983" spans="1:11" x14ac:dyDescent="0.3">
      <c r="A983" s="5" t="s">
        <v>44</v>
      </c>
      <c r="B983" s="6">
        <v>40271</v>
      </c>
      <c r="C983" s="5">
        <v>14</v>
      </c>
      <c r="D983" s="5">
        <v>4</v>
      </c>
      <c r="E983" s="5">
        <v>2010</v>
      </c>
      <c r="F983" s="5" t="s">
        <v>18</v>
      </c>
      <c r="G983" s="5" t="s">
        <v>6</v>
      </c>
      <c r="H983" s="7">
        <v>2775.56</v>
      </c>
      <c r="I983" s="7">
        <v>3051.66</v>
      </c>
      <c r="J983" s="7">
        <v>276.09999999999991</v>
      </c>
      <c r="K983" s="8">
        <v>9.9475421176267106E-2</v>
      </c>
    </row>
    <row r="984" spans="1:11" x14ac:dyDescent="0.3">
      <c r="A984" s="5" t="s">
        <v>44</v>
      </c>
      <c r="B984" s="6">
        <v>40271</v>
      </c>
      <c r="C984" s="5">
        <v>14</v>
      </c>
      <c r="D984" s="5">
        <v>4</v>
      </c>
      <c r="E984" s="5">
        <v>2010</v>
      </c>
      <c r="F984" s="5" t="s">
        <v>19</v>
      </c>
      <c r="G984" s="5" t="s">
        <v>5</v>
      </c>
      <c r="H984" s="7">
        <v>28759.919999999998</v>
      </c>
      <c r="I984" s="7">
        <v>32992.089999999997</v>
      </c>
      <c r="J984" s="7">
        <v>4232.1699999999983</v>
      </c>
      <c r="K984" s="8">
        <v>0.14715513812277636</v>
      </c>
    </row>
    <row r="985" spans="1:11" x14ac:dyDescent="0.3">
      <c r="A985" s="5" t="s">
        <v>44</v>
      </c>
      <c r="B985" s="6">
        <v>40271</v>
      </c>
      <c r="C985" s="5">
        <v>14</v>
      </c>
      <c r="D985" s="5">
        <v>4</v>
      </c>
      <c r="E985" s="5">
        <v>2010</v>
      </c>
      <c r="F985" s="5" t="s">
        <v>5</v>
      </c>
      <c r="G985" s="5" t="s">
        <v>5</v>
      </c>
      <c r="H985" s="7">
        <v>167230.15</v>
      </c>
      <c r="I985" s="7">
        <v>174740.38</v>
      </c>
      <c r="J985" s="7">
        <v>7510.2300000000105</v>
      </c>
      <c r="K985" s="8">
        <v>4.490954531823365E-2</v>
      </c>
    </row>
    <row r="986" spans="1:11" x14ac:dyDescent="0.3">
      <c r="A986" s="5" t="s">
        <v>44</v>
      </c>
      <c r="B986" s="6">
        <v>40271</v>
      </c>
      <c r="C986" s="5">
        <v>14</v>
      </c>
      <c r="D986" s="5">
        <v>4</v>
      </c>
      <c r="E986" s="5">
        <v>2010</v>
      </c>
      <c r="F986" s="5" t="s">
        <v>20</v>
      </c>
      <c r="G986" s="5" t="s">
        <v>5</v>
      </c>
      <c r="H986" s="7">
        <v>28306.1</v>
      </c>
      <c r="I986" s="7">
        <v>31766.68</v>
      </c>
      <c r="J986" s="7">
        <v>3460.5800000000017</v>
      </c>
      <c r="K986" s="8">
        <v>0.12225562687901201</v>
      </c>
    </row>
    <row r="987" spans="1:11" x14ac:dyDescent="0.3">
      <c r="A987" s="5" t="s">
        <v>44</v>
      </c>
      <c r="B987" s="6">
        <v>40271</v>
      </c>
      <c r="C987" s="5">
        <v>14</v>
      </c>
      <c r="D987" s="5">
        <v>4</v>
      </c>
      <c r="E987" s="5">
        <v>2010</v>
      </c>
      <c r="F987" s="5" t="s">
        <v>21</v>
      </c>
      <c r="G987" s="5" t="s">
        <v>5</v>
      </c>
      <c r="H987" s="7">
        <v>49333.59</v>
      </c>
      <c r="I987" s="7">
        <v>52862.85</v>
      </c>
      <c r="J987" s="7">
        <v>3529.260000000002</v>
      </c>
      <c r="K987" s="8">
        <v>7.1538681859560638E-2</v>
      </c>
    </row>
    <row r="988" spans="1:11" x14ac:dyDescent="0.3">
      <c r="A988" s="5" t="s">
        <v>44</v>
      </c>
      <c r="B988" s="6">
        <v>40271</v>
      </c>
      <c r="C988" s="5">
        <v>14</v>
      </c>
      <c r="D988" s="5">
        <v>4</v>
      </c>
      <c r="E988" s="5">
        <v>2010</v>
      </c>
      <c r="F988" s="5" t="s">
        <v>22</v>
      </c>
      <c r="G988" s="5" t="s">
        <v>8</v>
      </c>
      <c r="H988" s="7">
        <v>132417.94</v>
      </c>
      <c r="I988" s="7">
        <v>144324.32999999999</v>
      </c>
      <c r="J988" s="7">
        <v>11906.389999999985</v>
      </c>
      <c r="K988" s="8">
        <v>8.9915233540107817E-2</v>
      </c>
    </row>
    <row r="989" spans="1:11" x14ac:dyDescent="0.3">
      <c r="A989" s="5" t="s">
        <v>44</v>
      </c>
      <c r="B989" s="6">
        <v>40271</v>
      </c>
      <c r="C989" s="5">
        <v>14</v>
      </c>
      <c r="D989" s="5">
        <v>4</v>
      </c>
      <c r="E989" s="5">
        <v>2010</v>
      </c>
      <c r="F989" s="5" t="s">
        <v>23</v>
      </c>
      <c r="G989" s="5" t="s">
        <v>8</v>
      </c>
      <c r="H989" s="7">
        <v>44732.61</v>
      </c>
      <c r="I989" s="7">
        <v>48304.11</v>
      </c>
      <c r="J989" s="7">
        <v>3571.5</v>
      </c>
      <c r="K989" s="8">
        <v>7.9841082378157679E-2</v>
      </c>
    </row>
    <row r="990" spans="1:11" x14ac:dyDescent="0.3">
      <c r="A990" s="5" t="s">
        <v>44</v>
      </c>
      <c r="B990" s="6">
        <v>40271</v>
      </c>
      <c r="C990" s="5">
        <v>14</v>
      </c>
      <c r="D990" s="5">
        <v>4</v>
      </c>
      <c r="E990" s="5">
        <v>2010</v>
      </c>
      <c r="F990" s="5" t="s">
        <v>24</v>
      </c>
      <c r="G990" s="5" t="s">
        <v>8</v>
      </c>
      <c r="H990" s="7">
        <v>45661</v>
      </c>
      <c r="I990" s="7">
        <v>49197.49</v>
      </c>
      <c r="J990" s="7">
        <v>3536.489999999998</v>
      </c>
      <c r="K990" s="8">
        <v>7.7450997569041363E-2</v>
      </c>
    </row>
    <row r="991" spans="1:11" x14ac:dyDescent="0.3">
      <c r="A991" s="5" t="s">
        <v>44</v>
      </c>
      <c r="B991" s="6">
        <v>40271</v>
      </c>
      <c r="C991" s="5">
        <v>14</v>
      </c>
      <c r="D991" s="5">
        <v>4</v>
      </c>
      <c r="E991" s="5">
        <v>2010</v>
      </c>
      <c r="F991" s="5" t="s">
        <v>27</v>
      </c>
      <c r="G991" s="5" t="s">
        <v>10</v>
      </c>
      <c r="H991" s="7">
        <v>4991.12</v>
      </c>
      <c r="I991" s="7">
        <v>5739.48</v>
      </c>
      <c r="J991" s="7">
        <v>748.35999999999967</v>
      </c>
      <c r="K991" s="8">
        <v>0.149938290403757</v>
      </c>
    </row>
    <row r="992" spans="1:11" x14ac:dyDescent="0.3">
      <c r="A992" s="5" t="s">
        <v>44</v>
      </c>
      <c r="B992" s="6">
        <v>40271</v>
      </c>
      <c r="C992" s="5">
        <v>14</v>
      </c>
      <c r="D992" s="5">
        <v>4</v>
      </c>
      <c r="E992" s="5">
        <v>2010</v>
      </c>
      <c r="F992" s="5" t="s">
        <v>29</v>
      </c>
      <c r="G992" s="5" t="s">
        <v>10</v>
      </c>
      <c r="H992" s="7">
        <v>59960.77</v>
      </c>
      <c r="I992" s="7">
        <v>66024.740000000005</v>
      </c>
      <c r="J992" s="7">
        <v>6063.9700000000084</v>
      </c>
      <c r="K992" s="8">
        <v>0.10113229032916037</v>
      </c>
    </row>
    <row r="993" spans="1:11" x14ac:dyDescent="0.3">
      <c r="A993" s="5" t="s">
        <v>44</v>
      </c>
      <c r="B993" s="6">
        <v>40271</v>
      </c>
      <c r="C993" s="5">
        <v>14</v>
      </c>
      <c r="D993" s="5">
        <v>4</v>
      </c>
      <c r="E993" s="5">
        <v>2010</v>
      </c>
      <c r="F993" s="5" t="s">
        <v>30</v>
      </c>
      <c r="G993" s="5" t="s">
        <v>10</v>
      </c>
      <c r="H993" s="7">
        <v>3341.2</v>
      </c>
      <c r="I993" s="7">
        <v>3911.53</v>
      </c>
      <c r="J993" s="7">
        <v>570.33000000000038</v>
      </c>
      <c r="K993" s="8">
        <v>0.17069615706931654</v>
      </c>
    </row>
    <row r="994" spans="1:11" x14ac:dyDescent="0.3">
      <c r="A994" s="5" t="s">
        <v>44</v>
      </c>
      <c r="B994" s="6">
        <v>40271</v>
      </c>
      <c r="C994" s="5">
        <v>14</v>
      </c>
      <c r="D994" s="5">
        <v>4</v>
      </c>
      <c r="E994" s="5">
        <v>2010</v>
      </c>
      <c r="F994" s="5" t="s">
        <v>9</v>
      </c>
      <c r="G994" s="5" t="s">
        <v>9</v>
      </c>
      <c r="H994" s="7">
        <v>35267.5</v>
      </c>
      <c r="I994" s="7">
        <v>40635.919999999998</v>
      </c>
      <c r="J994" s="7">
        <v>5368.4199999999983</v>
      </c>
      <c r="K994" s="8">
        <v>0.1522200326079251</v>
      </c>
    </row>
    <row r="995" spans="1:11" x14ac:dyDescent="0.3">
      <c r="A995" s="5" t="s">
        <v>44</v>
      </c>
      <c r="B995" s="6">
        <v>40271</v>
      </c>
      <c r="C995" s="5">
        <v>14</v>
      </c>
      <c r="D995" s="5">
        <v>4</v>
      </c>
      <c r="E995" s="5">
        <v>2010</v>
      </c>
      <c r="F995" s="5" t="s">
        <v>33</v>
      </c>
      <c r="G995" s="5" t="s">
        <v>7</v>
      </c>
      <c r="H995" s="7">
        <v>6266.64</v>
      </c>
      <c r="I995" s="7">
        <v>7306.08</v>
      </c>
      <c r="J995" s="7">
        <v>1039.4399999999996</v>
      </c>
      <c r="K995" s="8">
        <v>0.16586879093102516</v>
      </c>
    </row>
    <row r="996" spans="1:11" x14ac:dyDescent="0.3">
      <c r="A996" s="5" t="s">
        <v>44</v>
      </c>
      <c r="B996" s="6">
        <v>40271</v>
      </c>
      <c r="C996" s="5">
        <v>14</v>
      </c>
      <c r="D996" s="5">
        <v>4</v>
      </c>
      <c r="E996" s="5">
        <v>2010</v>
      </c>
      <c r="F996" s="5" t="s">
        <v>35</v>
      </c>
      <c r="G996" s="5" t="s">
        <v>11</v>
      </c>
      <c r="H996" s="7">
        <v>566</v>
      </c>
      <c r="I996" s="7">
        <v>633.99</v>
      </c>
      <c r="J996" s="7">
        <v>67.990000000000009</v>
      </c>
      <c r="K996" s="8">
        <v>0.12012367491166079</v>
      </c>
    </row>
    <row r="997" spans="1:11" x14ac:dyDescent="0.3">
      <c r="A997" s="5" t="s">
        <v>44</v>
      </c>
      <c r="B997" s="6">
        <v>40271</v>
      </c>
      <c r="C997" s="5">
        <v>14</v>
      </c>
      <c r="D997" s="5">
        <v>4</v>
      </c>
      <c r="E997" s="5">
        <v>2010</v>
      </c>
      <c r="F997" s="5" t="s">
        <v>36</v>
      </c>
      <c r="G997" s="5" t="s">
        <v>11</v>
      </c>
      <c r="H997" s="7">
        <v>22018.2</v>
      </c>
      <c r="I997" s="7">
        <v>24632.15</v>
      </c>
      <c r="J997" s="7">
        <v>2613.9500000000007</v>
      </c>
      <c r="K997" s="8">
        <v>0.11871769717778931</v>
      </c>
    </row>
    <row r="998" spans="1:11" x14ac:dyDescent="0.3">
      <c r="A998" s="5" t="s">
        <v>44</v>
      </c>
      <c r="B998" s="6">
        <v>40271</v>
      </c>
      <c r="C998" s="5">
        <v>14</v>
      </c>
      <c r="D998" s="5">
        <v>4</v>
      </c>
      <c r="E998" s="5">
        <v>2010</v>
      </c>
      <c r="F998" s="5" t="s">
        <v>37</v>
      </c>
      <c r="G998" s="5" t="s">
        <v>11</v>
      </c>
      <c r="H998" s="7">
        <v>45685.05</v>
      </c>
      <c r="I998" s="7">
        <v>49784.639999999999</v>
      </c>
      <c r="J998" s="7">
        <v>4099.5899999999965</v>
      </c>
      <c r="K998" s="8">
        <v>8.9735920175199463E-2</v>
      </c>
    </row>
    <row r="999" spans="1:11" x14ac:dyDescent="0.3">
      <c r="A999" s="5" t="s">
        <v>44</v>
      </c>
      <c r="B999" s="6">
        <v>40271</v>
      </c>
      <c r="C999" s="5">
        <v>14</v>
      </c>
      <c r="D999" s="5">
        <v>4</v>
      </c>
      <c r="E999" s="5">
        <v>2010</v>
      </c>
      <c r="F999" s="5" t="s">
        <v>38</v>
      </c>
      <c r="G999" s="5" t="s">
        <v>11</v>
      </c>
      <c r="H999" s="7">
        <v>52760.24</v>
      </c>
      <c r="I999" s="7">
        <v>55058</v>
      </c>
      <c r="J999" s="7">
        <v>2297.760000000002</v>
      </c>
      <c r="K999" s="8">
        <v>4.3550977023607211E-2</v>
      </c>
    </row>
    <row r="1000" spans="1:11" x14ac:dyDescent="0.3">
      <c r="A1000" s="5" t="s">
        <v>44</v>
      </c>
      <c r="B1000" s="6">
        <v>40272</v>
      </c>
      <c r="C1000" s="5">
        <v>15</v>
      </c>
      <c r="D1000" s="5">
        <v>4</v>
      </c>
      <c r="E1000" s="5">
        <v>2010</v>
      </c>
      <c r="F1000" s="5" t="s">
        <v>14</v>
      </c>
      <c r="G1000" s="5" t="s">
        <v>6</v>
      </c>
      <c r="H1000" s="7">
        <v>468</v>
      </c>
      <c r="I1000" s="7">
        <v>584.97</v>
      </c>
      <c r="J1000" s="7">
        <v>116.97000000000003</v>
      </c>
      <c r="K1000" s="8">
        <v>0.2499358974358975</v>
      </c>
    </row>
    <row r="1001" spans="1:11" x14ac:dyDescent="0.3">
      <c r="A1001" s="5" t="s">
        <v>44</v>
      </c>
      <c r="B1001" s="6">
        <v>40272</v>
      </c>
      <c r="C1001" s="5">
        <v>15</v>
      </c>
      <c r="D1001" s="5">
        <v>4</v>
      </c>
      <c r="E1001" s="5">
        <v>2010</v>
      </c>
      <c r="F1001" s="5" t="s">
        <v>15</v>
      </c>
      <c r="G1001" s="5" t="s">
        <v>6</v>
      </c>
      <c r="H1001" s="7">
        <v>18121.32</v>
      </c>
      <c r="I1001" s="7">
        <v>20986.76</v>
      </c>
      <c r="J1001" s="7">
        <v>2865.4399999999987</v>
      </c>
      <c r="K1001" s="8">
        <v>0.15812534627720271</v>
      </c>
    </row>
    <row r="1002" spans="1:11" x14ac:dyDescent="0.3">
      <c r="A1002" s="5" t="s">
        <v>44</v>
      </c>
      <c r="B1002" s="6">
        <v>40272</v>
      </c>
      <c r="C1002" s="5">
        <v>15</v>
      </c>
      <c r="D1002" s="5">
        <v>4</v>
      </c>
      <c r="E1002" s="5">
        <v>2010</v>
      </c>
      <c r="F1002" s="5" t="s">
        <v>16</v>
      </c>
      <c r="G1002" s="5" t="s">
        <v>6</v>
      </c>
      <c r="H1002" s="7">
        <v>13724.16</v>
      </c>
      <c r="I1002" s="7">
        <v>15668.64</v>
      </c>
      <c r="J1002" s="7">
        <v>1944.4799999999996</v>
      </c>
      <c r="K1002" s="8">
        <v>0.14168298824846107</v>
      </c>
    </row>
    <row r="1003" spans="1:11" x14ac:dyDescent="0.3">
      <c r="A1003" s="5" t="s">
        <v>44</v>
      </c>
      <c r="B1003" s="6">
        <v>40272</v>
      </c>
      <c r="C1003" s="5">
        <v>15</v>
      </c>
      <c r="D1003" s="5">
        <v>4</v>
      </c>
      <c r="E1003" s="5">
        <v>2010</v>
      </c>
      <c r="F1003" s="5" t="s">
        <v>17</v>
      </c>
      <c r="G1003" s="5" t="s">
        <v>6</v>
      </c>
      <c r="H1003" s="7">
        <v>1112.1500000000001</v>
      </c>
      <c r="I1003" s="7">
        <v>1173.97</v>
      </c>
      <c r="J1003" s="7">
        <v>61.819999999999936</v>
      </c>
      <c r="K1003" s="8">
        <v>5.5586027064694447E-2</v>
      </c>
    </row>
    <row r="1004" spans="1:11" x14ac:dyDescent="0.3">
      <c r="A1004" s="5" t="s">
        <v>44</v>
      </c>
      <c r="B1004" s="6">
        <v>40272</v>
      </c>
      <c r="C1004" s="5">
        <v>15</v>
      </c>
      <c r="D1004" s="5">
        <v>4</v>
      </c>
      <c r="E1004" s="5">
        <v>2010</v>
      </c>
      <c r="F1004" s="5" t="s">
        <v>19</v>
      </c>
      <c r="G1004" s="5" t="s">
        <v>5</v>
      </c>
      <c r="H1004" s="7">
        <v>14926.98</v>
      </c>
      <c r="I1004" s="7">
        <v>16642.52</v>
      </c>
      <c r="J1004" s="7">
        <v>1715.5400000000009</v>
      </c>
      <c r="K1004" s="8">
        <v>0.11492880676466379</v>
      </c>
    </row>
    <row r="1005" spans="1:11" x14ac:dyDescent="0.3">
      <c r="A1005" s="5" t="s">
        <v>44</v>
      </c>
      <c r="B1005" s="6">
        <v>40272</v>
      </c>
      <c r="C1005" s="5">
        <v>15</v>
      </c>
      <c r="D1005" s="5">
        <v>4</v>
      </c>
      <c r="E1005" s="5">
        <v>2010</v>
      </c>
      <c r="F1005" s="5" t="s">
        <v>5</v>
      </c>
      <c r="G1005" s="5" t="s">
        <v>5</v>
      </c>
      <c r="H1005" s="7">
        <v>87723.22</v>
      </c>
      <c r="I1005" s="7">
        <v>92592.37</v>
      </c>
      <c r="J1005" s="7">
        <v>4869.1499999999942</v>
      </c>
      <c r="K1005" s="8">
        <v>5.5505828445421797E-2</v>
      </c>
    </row>
    <row r="1006" spans="1:11" x14ac:dyDescent="0.3">
      <c r="A1006" s="5" t="s">
        <v>44</v>
      </c>
      <c r="B1006" s="6">
        <v>40272</v>
      </c>
      <c r="C1006" s="5">
        <v>15</v>
      </c>
      <c r="D1006" s="5">
        <v>4</v>
      </c>
      <c r="E1006" s="5">
        <v>2010</v>
      </c>
      <c r="F1006" s="5" t="s">
        <v>20</v>
      </c>
      <c r="G1006" s="5" t="s">
        <v>5</v>
      </c>
      <c r="H1006" s="7">
        <v>12862.13</v>
      </c>
      <c r="I1006" s="7">
        <v>14206.08</v>
      </c>
      <c r="J1006" s="7">
        <v>1343.9500000000007</v>
      </c>
      <c r="K1006" s="8">
        <v>0.10448891435555392</v>
      </c>
    </row>
    <row r="1007" spans="1:11" x14ac:dyDescent="0.3">
      <c r="A1007" s="5" t="s">
        <v>44</v>
      </c>
      <c r="B1007" s="6">
        <v>40272</v>
      </c>
      <c r="C1007" s="5">
        <v>15</v>
      </c>
      <c r="D1007" s="5">
        <v>4</v>
      </c>
      <c r="E1007" s="5">
        <v>2010</v>
      </c>
      <c r="F1007" s="5" t="s">
        <v>21</v>
      </c>
      <c r="G1007" s="5" t="s">
        <v>5</v>
      </c>
      <c r="H1007" s="7">
        <v>22727.98</v>
      </c>
      <c r="I1007" s="7">
        <v>24315.47</v>
      </c>
      <c r="J1007" s="7">
        <v>1587.4900000000016</v>
      </c>
      <c r="K1007" s="8">
        <v>6.9847386349336876E-2</v>
      </c>
    </row>
    <row r="1008" spans="1:11" x14ac:dyDescent="0.3">
      <c r="A1008" s="5" t="s">
        <v>44</v>
      </c>
      <c r="B1008" s="6">
        <v>40272</v>
      </c>
      <c r="C1008" s="5">
        <v>15</v>
      </c>
      <c r="D1008" s="5">
        <v>4</v>
      </c>
      <c r="E1008" s="5">
        <v>2010</v>
      </c>
      <c r="F1008" s="5" t="s">
        <v>22</v>
      </c>
      <c r="G1008" s="5" t="s">
        <v>8</v>
      </c>
      <c r="H1008" s="7">
        <v>90085.97</v>
      </c>
      <c r="I1008" s="7">
        <v>98297.31</v>
      </c>
      <c r="J1008" s="7">
        <v>8211.3399999999965</v>
      </c>
      <c r="K1008" s="8">
        <v>9.1150042564896575E-2</v>
      </c>
    </row>
    <row r="1009" spans="1:11" x14ac:dyDescent="0.3">
      <c r="A1009" s="5" t="s">
        <v>44</v>
      </c>
      <c r="B1009" s="6">
        <v>40272</v>
      </c>
      <c r="C1009" s="5">
        <v>15</v>
      </c>
      <c r="D1009" s="5">
        <v>4</v>
      </c>
      <c r="E1009" s="5">
        <v>2010</v>
      </c>
      <c r="F1009" s="5" t="s">
        <v>23</v>
      </c>
      <c r="G1009" s="5" t="s">
        <v>8</v>
      </c>
      <c r="H1009" s="7">
        <v>13145.51</v>
      </c>
      <c r="I1009" s="7">
        <v>14288.95</v>
      </c>
      <c r="J1009" s="7">
        <v>1143.4400000000005</v>
      </c>
      <c r="K1009" s="8">
        <v>8.6983312172749516E-2</v>
      </c>
    </row>
    <row r="1010" spans="1:11" x14ac:dyDescent="0.3">
      <c r="A1010" s="5" t="s">
        <v>44</v>
      </c>
      <c r="B1010" s="6">
        <v>40272</v>
      </c>
      <c r="C1010" s="5">
        <v>15</v>
      </c>
      <c r="D1010" s="5">
        <v>4</v>
      </c>
      <c r="E1010" s="5">
        <v>2010</v>
      </c>
      <c r="F1010" s="5" t="s">
        <v>24</v>
      </c>
      <c r="G1010" s="5" t="s">
        <v>8</v>
      </c>
      <c r="H1010" s="7">
        <v>20327</v>
      </c>
      <c r="I1010" s="7">
        <v>22082.61</v>
      </c>
      <c r="J1010" s="7">
        <v>1755.6100000000006</v>
      </c>
      <c r="K1010" s="8">
        <v>8.6368377035470095E-2</v>
      </c>
    </row>
    <row r="1011" spans="1:11" x14ac:dyDescent="0.3">
      <c r="A1011" s="5" t="s">
        <v>44</v>
      </c>
      <c r="B1011" s="6">
        <v>40272</v>
      </c>
      <c r="C1011" s="5">
        <v>15</v>
      </c>
      <c r="D1011" s="5">
        <v>4</v>
      </c>
      <c r="E1011" s="5">
        <v>2010</v>
      </c>
      <c r="F1011" s="5" t="s">
        <v>27</v>
      </c>
      <c r="G1011" s="5" t="s">
        <v>10</v>
      </c>
      <c r="H1011" s="7">
        <v>1021.34</v>
      </c>
      <c r="I1011" s="7">
        <v>1174.5899999999999</v>
      </c>
      <c r="J1011" s="7">
        <v>153.24999999999989</v>
      </c>
      <c r="K1011" s="8">
        <v>0.15004797618814486</v>
      </c>
    </row>
    <row r="1012" spans="1:11" x14ac:dyDescent="0.3">
      <c r="A1012" s="5" t="s">
        <v>44</v>
      </c>
      <c r="B1012" s="6">
        <v>40272</v>
      </c>
      <c r="C1012" s="5">
        <v>15</v>
      </c>
      <c r="D1012" s="5">
        <v>4</v>
      </c>
      <c r="E1012" s="5">
        <v>2010</v>
      </c>
      <c r="F1012" s="5" t="s">
        <v>29</v>
      </c>
      <c r="G1012" s="5" t="s">
        <v>10</v>
      </c>
      <c r="H1012" s="7">
        <v>30328.720000000001</v>
      </c>
      <c r="I1012" s="7">
        <v>33061.040000000001</v>
      </c>
      <c r="J1012" s="7">
        <v>2732.3199999999997</v>
      </c>
      <c r="K1012" s="8">
        <v>9.009018514464176E-2</v>
      </c>
    </row>
    <row r="1013" spans="1:11" x14ac:dyDescent="0.3">
      <c r="A1013" s="5" t="s">
        <v>44</v>
      </c>
      <c r="B1013" s="6">
        <v>40272</v>
      </c>
      <c r="C1013" s="5">
        <v>15</v>
      </c>
      <c r="D1013" s="5">
        <v>4</v>
      </c>
      <c r="E1013" s="5">
        <v>2010</v>
      </c>
      <c r="F1013" s="5" t="s">
        <v>30</v>
      </c>
      <c r="G1013" s="5" t="s">
        <v>10</v>
      </c>
      <c r="H1013" s="7">
        <v>1165.1199999999999</v>
      </c>
      <c r="I1013" s="7">
        <v>1354.34</v>
      </c>
      <c r="J1013" s="7">
        <v>189.22000000000003</v>
      </c>
      <c r="K1013" s="8">
        <v>0.16240387256248287</v>
      </c>
    </row>
    <row r="1014" spans="1:11" x14ac:dyDescent="0.3">
      <c r="A1014" s="5" t="s">
        <v>44</v>
      </c>
      <c r="B1014" s="6">
        <v>40272</v>
      </c>
      <c r="C1014" s="5">
        <v>15</v>
      </c>
      <c r="D1014" s="5">
        <v>4</v>
      </c>
      <c r="E1014" s="5">
        <v>2010</v>
      </c>
      <c r="F1014" s="5" t="s">
        <v>9</v>
      </c>
      <c r="G1014" s="5" t="s">
        <v>9</v>
      </c>
      <c r="H1014" s="7">
        <v>17088.04</v>
      </c>
      <c r="I1014" s="7">
        <v>19850.64</v>
      </c>
      <c r="J1014" s="7">
        <v>2762.5999999999985</v>
      </c>
      <c r="K1014" s="8">
        <v>0.16166862905283452</v>
      </c>
    </row>
    <row r="1015" spans="1:11" x14ac:dyDescent="0.3">
      <c r="A1015" s="5" t="s">
        <v>44</v>
      </c>
      <c r="B1015" s="6">
        <v>40272</v>
      </c>
      <c r="C1015" s="5">
        <v>15</v>
      </c>
      <c r="D1015" s="5">
        <v>4</v>
      </c>
      <c r="E1015" s="5">
        <v>2010</v>
      </c>
      <c r="F1015" s="5" t="s">
        <v>33</v>
      </c>
      <c r="G1015" s="5" t="s">
        <v>7</v>
      </c>
      <c r="H1015" s="7">
        <v>1679.5</v>
      </c>
      <c r="I1015" s="7">
        <v>3368.01</v>
      </c>
      <c r="J1015" s="7">
        <v>1688.5100000000002</v>
      </c>
      <c r="K1015" s="8">
        <v>1.0053646918725812</v>
      </c>
    </row>
    <row r="1016" spans="1:11" x14ac:dyDescent="0.3">
      <c r="A1016" s="5" t="s">
        <v>44</v>
      </c>
      <c r="B1016" s="6">
        <v>40272</v>
      </c>
      <c r="C1016" s="5">
        <v>15</v>
      </c>
      <c r="D1016" s="5">
        <v>4</v>
      </c>
      <c r="E1016" s="5">
        <v>2010</v>
      </c>
      <c r="F1016" s="5" t="s">
        <v>36</v>
      </c>
      <c r="G1016" s="5" t="s">
        <v>11</v>
      </c>
      <c r="H1016" s="7">
        <v>11329.74</v>
      </c>
      <c r="I1016" s="7">
        <v>12708.88</v>
      </c>
      <c r="J1016" s="7">
        <v>1379.1399999999994</v>
      </c>
      <c r="K1016" s="8">
        <v>0.1217274182814433</v>
      </c>
    </row>
    <row r="1017" spans="1:11" x14ac:dyDescent="0.3">
      <c r="A1017" s="5" t="s">
        <v>44</v>
      </c>
      <c r="B1017" s="6">
        <v>40272</v>
      </c>
      <c r="C1017" s="5">
        <v>15</v>
      </c>
      <c r="D1017" s="5">
        <v>4</v>
      </c>
      <c r="E1017" s="5">
        <v>2010</v>
      </c>
      <c r="F1017" s="5" t="s">
        <v>37</v>
      </c>
      <c r="G1017" s="5" t="s">
        <v>11</v>
      </c>
      <c r="H1017" s="7">
        <v>28669.86</v>
      </c>
      <c r="I1017" s="7">
        <v>30654.89</v>
      </c>
      <c r="J1017" s="7">
        <v>1985.0299999999988</v>
      </c>
      <c r="K1017" s="8">
        <v>6.923751982046647E-2</v>
      </c>
    </row>
    <row r="1018" spans="1:11" x14ac:dyDescent="0.3">
      <c r="A1018" s="5" t="s">
        <v>44</v>
      </c>
      <c r="B1018" s="6">
        <v>40272</v>
      </c>
      <c r="C1018" s="5">
        <v>15</v>
      </c>
      <c r="D1018" s="5">
        <v>4</v>
      </c>
      <c r="E1018" s="5">
        <v>2010</v>
      </c>
      <c r="F1018" s="5" t="s">
        <v>38</v>
      </c>
      <c r="G1018" s="5" t="s">
        <v>11</v>
      </c>
      <c r="H1018" s="7">
        <v>39014.42</v>
      </c>
      <c r="I1018" s="7">
        <v>40488.019999999997</v>
      </c>
      <c r="J1018" s="7">
        <v>1473.5999999999985</v>
      </c>
      <c r="K1018" s="8">
        <v>3.7770649928923677E-2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K1262"/>
  <sheetViews>
    <sheetView workbookViewId="0"/>
  </sheetViews>
  <sheetFormatPr defaultRowHeight="14.4" x14ac:dyDescent="0.3"/>
  <cols>
    <col min="1" max="1" width="9.6640625" bestFit="1" customWidth="1"/>
    <col min="2" max="2" width="10.109375" bestFit="1" customWidth="1"/>
    <col min="3" max="3" width="8.33203125" bestFit="1" customWidth="1"/>
    <col min="4" max="4" width="7.5546875" bestFit="1" customWidth="1"/>
    <col min="5" max="5" width="5" bestFit="1" customWidth="1"/>
    <col min="6" max="6" width="40.6640625" bestFit="1" customWidth="1"/>
    <col min="7" max="7" width="28" bestFit="1" customWidth="1"/>
    <col min="8" max="9" width="13.33203125" bestFit="1" customWidth="1"/>
    <col min="10" max="10" width="12.44140625" bestFit="1" customWidth="1"/>
    <col min="11" max="11" width="9.5546875" bestFit="1" customWidth="1"/>
  </cols>
  <sheetData>
    <row r="1" spans="1:11" ht="16.2" thickBot="1" x14ac:dyDescent="0.35">
      <c r="A1" s="1" t="s">
        <v>0</v>
      </c>
      <c r="B1" s="2" t="s">
        <v>4</v>
      </c>
      <c r="C1" s="1" t="s">
        <v>3</v>
      </c>
      <c r="D1" s="1" t="s">
        <v>2</v>
      </c>
      <c r="E1" s="1" t="s">
        <v>1</v>
      </c>
      <c r="F1" s="1" t="s">
        <v>12</v>
      </c>
      <c r="G1" s="1" t="s">
        <v>13</v>
      </c>
      <c r="H1" s="3" t="s">
        <v>39</v>
      </c>
      <c r="I1" s="3" t="s">
        <v>40</v>
      </c>
      <c r="J1" s="3" t="s">
        <v>41</v>
      </c>
      <c r="K1" s="4" t="s">
        <v>42</v>
      </c>
    </row>
    <row r="2" spans="1:11" x14ac:dyDescent="0.3">
      <c r="A2" s="5" t="s">
        <v>45</v>
      </c>
      <c r="B2" s="6">
        <v>40224</v>
      </c>
      <c r="C2" s="5">
        <v>8</v>
      </c>
      <c r="D2" s="5">
        <v>2</v>
      </c>
      <c r="E2" s="5">
        <v>2010</v>
      </c>
      <c r="F2" s="5" t="s">
        <v>14</v>
      </c>
      <c r="G2" s="5" t="s">
        <v>6</v>
      </c>
      <c r="H2" s="7">
        <v>11892</v>
      </c>
      <c r="I2" s="7">
        <v>14001.09</v>
      </c>
      <c r="J2" s="7">
        <v>2109.09</v>
      </c>
      <c r="K2" s="8">
        <v>0.17735368314833502</v>
      </c>
    </row>
    <row r="3" spans="1:11" x14ac:dyDescent="0.3">
      <c r="A3" s="5" t="s">
        <v>45</v>
      </c>
      <c r="B3" s="6">
        <v>40224</v>
      </c>
      <c r="C3" s="5">
        <v>8</v>
      </c>
      <c r="D3" s="5">
        <v>2</v>
      </c>
      <c r="E3" s="5">
        <v>2010</v>
      </c>
      <c r="F3" s="5" t="s">
        <v>15</v>
      </c>
      <c r="G3" s="5" t="s">
        <v>6</v>
      </c>
      <c r="H3" s="7">
        <v>247618.59</v>
      </c>
      <c r="I3" s="7">
        <v>318477.36</v>
      </c>
      <c r="J3" s="7">
        <v>70858.76999999999</v>
      </c>
      <c r="K3" s="8">
        <v>0.28616094615513316</v>
      </c>
    </row>
    <row r="4" spans="1:11" x14ac:dyDescent="0.3">
      <c r="A4" s="5" t="s">
        <v>45</v>
      </c>
      <c r="B4" s="6">
        <v>40224</v>
      </c>
      <c r="C4" s="5">
        <v>8</v>
      </c>
      <c r="D4" s="5">
        <v>2</v>
      </c>
      <c r="E4" s="5">
        <v>2010</v>
      </c>
      <c r="F4" s="5" t="s">
        <v>16</v>
      </c>
      <c r="G4" s="5" t="s">
        <v>6</v>
      </c>
      <c r="H4" s="7">
        <v>102169.72</v>
      </c>
      <c r="I4" s="7">
        <v>111849.47</v>
      </c>
      <c r="J4" s="7">
        <v>9679.75</v>
      </c>
      <c r="K4" s="8">
        <v>9.474186676835368E-2</v>
      </c>
    </row>
    <row r="5" spans="1:11" x14ac:dyDescent="0.3">
      <c r="A5" s="5" t="s">
        <v>45</v>
      </c>
      <c r="B5" s="6">
        <v>40224</v>
      </c>
      <c r="C5" s="5">
        <v>8</v>
      </c>
      <c r="D5" s="5">
        <v>2</v>
      </c>
      <c r="E5" s="5">
        <v>2010</v>
      </c>
      <c r="F5" s="5" t="s">
        <v>17</v>
      </c>
      <c r="G5" s="5" t="s">
        <v>6</v>
      </c>
      <c r="H5" s="7">
        <v>3142</v>
      </c>
      <c r="I5" s="7">
        <v>3205.42</v>
      </c>
      <c r="J5" s="7">
        <v>63.420000000000073</v>
      </c>
      <c r="K5" s="8">
        <v>2.0184595798854257E-2</v>
      </c>
    </row>
    <row r="6" spans="1:11" x14ac:dyDescent="0.3">
      <c r="A6" s="5" t="s">
        <v>45</v>
      </c>
      <c r="B6" s="6">
        <v>40224</v>
      </c>
      <c r="C6" s="5">
        <v>8</v>
      </c>
      <c r="D6" s="5">
        <v>2</v>
      </c>
      <c r="E6" s="5">
        <v>2010</v>
      </c>
      <c r="F6" s="5" t="s">
        <v>18</v>
      </c>
      <c r="G6" s="5" t="s">
        <v>6</v>
      </c>
      <c r="H6" s="7">
        <v>8925.64</v>
      </c>
      <c r="I6" s="7">
        <v>9420.83</v>
      </c>
      <c r="J6" s="7">
        <v>495.19000000000051</v>
      </c>
      <c r="K6" s="8">
        <v>5.5479495027807593E-2</v>
      </c>
    </row>
    <row r="7" spans="1:11" x14ac:dyDescent="0.3">
      <c r="A7" s="5" t="s">
        <v>45</v>
      </c>
      <c r="B7" s="6">
        <v>40224</v>
      </c>
      <c r="C7" s="5">
        <v>8</v>
      </c>
      <c r="D7" s="5">
        <v>2</v>
      </c>
      <c r="E7" s="5">
        <v>2010</v>
      </c>
      <c r="F7" s="5" t="s">
        <v>19</v>
      </c>
      <c r="G7" s="5" t="s">
        <v>5</v>
      </c>
      <c r="H7" s="7">
        <v>178547.47</v>
      </c>
      <c r="I7" s="7">
        <v>193956.24</v>
      </c>
      <c r="J7" s="7">
        <v>15408.76999999999</v>
      </c>
      <c r="K7" s="8">
        <v>8.6300690791082005E-2</v>
      </c>
    </row>
    <row r="8" spans="1:11" x14ac:dyDescent="0.3">
      <c r="A8" s="5" t="s">
        <v>45</v>
      </c>
      <c r="B8" s="6">
        <v>40224</v>
      </c>
      <c r="C8" s="5">
        <v>8</v>
      </c>
      <c r="D8" s="5">
        <v>2</v>
      </c>
      <c r="E8" s="5">
        <v>2010</v>
      </c>
      <c r="F8" s="5" t="s">
        <v>5</v>
      </c>
      <c r="G8" s="5" t="s">
        <v>5</v>
      </c>
      <c r="H8" s="7">
        <v>542280.32999999996</v>
      </c>
      <c r="I8" s="7">
        <v>573593.18000000005</v>
      </c>
      <c r="J8" s="7">
        <v>31312.850000000093</v>
      </c>
      <c r="K8" s="8">
        <v>5.7742920529682676E-2</v>
      </c>
    </row>
    <row r="9" spans="1:11" x14ac:dyDescent="0.3">
      <c r="A9" s="5" t="s">
        <v>45</v>
      </c>
      <c r="B9" s="6">
        <v>40224</v>
      </c>
      <c r="C9" s="5">
        <v>8</v>
      </c>
      <c r="D9" s="5">
        <v>2</v>
      </c>
      <c r="E9" s="5">
        <v>2010</v>
      </c>
      <c r="F9" s="5" t="s">
        <v>20</v>
      </c>
      <c r="G9" s="5" t="s">
        <v>5</v>
      </c>
      <c r="H9" s="7">
        <v>173640.95999999999</v>
      </c>
      <c r="I9" s="7">
        <v>191458.41</v>
      </c>
      <c r="J9" s="7">
        <v>17817.450000000012</v>
      </c>
      <c r="K9" s="8">
        <v>0.10261087015413882</v>
      </c>
    </row>
    <row r="10" spans="1:11" x14ac:dyDescent="0.3">
      <c r="A10" s="5" t="s">
        <v>45</v>
      </c>
      <c r="B10" s="6">
        <v>40224</v>
      </c>
      <c r="C10" s="5">
        <v>8</v>
      </c>
      <c r="D10" s="5">
        <v>2</v>
      </c>
      <c r="E10" s="5">
        <v>2010</v>
      </c>
      <c r="F10" s="5" t="s">
        <v>21</v>
      </c>
      <c r="G10" s="5" t="s">
        <v>5</v>
      </c>
      <c r="H10" s="7">
        <v>229364.07</v>
      </c>
      <c r="I10" s="7">
        <v>243034.46</v>
      </c>
      <c r="J10" s="7">
        <v>13670.389999999985</v>
      </c>
      <c r="K10" s="8">
        <v>5.960127059133536E-2</v>
      </c>
    </row>
    <row r="11" spans="1:11" x14ac:dyDescent="0.3">
      <c r="A11" s="5" t="s">
        <v>45</v>
      </c>
      <c r="B11" s="6">
        <v>40224</v>
      </c>
      <c r="C11" s="5">
        <v>8</v>
      </c>
      <c r="D11" s="5">
        <v>2</v>
      </c>
      <c r="E11" s="5">
        <v>2010</v>
      </c>
      <c r="F11" s="5" t="s">
        <v>22</v>
      </c>
      <c r="G11" s="5" t="s">
        <v>8</v>
      </c>
      <c r="H11" s="7">
        <v>418815.5</v>
      </c>
      <c r="I11" s="7">
        <v>453392.24</v>
      </c>
      <c r="J11" s="7">
        <v>34576.739999999991</v>
      </c>
      <c r="K11" s="8">
        <v>8.2558405789661532E-2</v>
      </c>
    </row>
    <row r="12" spans="1:11" x14ac:dyDescent="0.3">
      <c r="A12" s="5" t="s">
        <v>45</v>
      </c>
      <c r="B12" s="6">
        <v>40224</v>
      </c>
      <c r="C12" s="5">
        <v>8</v>
      </c>
      <c r="D12" s="5">
        <v>2</v>
      </c>
      <c r="E12" s="5">
        <v>2010</v>
      </c>
      <c r="F12" s="5" t="s">
        <v>23</v>
      </c>
      <c r="G12" s="5" t="s">
        <v>8</v>
      </c>
      <c r="H12" s="7">
        <v>150539.4</v>
      </c>
      <c r="I12" s="7">
        <v>156086</v>
      </c>
      <c r="J12" s="7">
        <v>5546.6000000000058</v>
      </c>
      <c r="K12" s="8">
        <v>3.6844839291242069E-2</v>
      </c>
    </row>
    <row r="13" spans="1:11" x14ac:dyDescent="0.3">
      <c r="A13" s="5" t="s">
        <v>45</v>
      </c>
      <c r="B13" s="6">
        <v>40224</v>
      </c>
      <c r="C13" s="5">
        <v>8</v>
      </c>
      <c r="D13" s="5">
        <v>2</v>
      </c>
      <c r="E13" s="5">
        <v>2010</v>
      </c>
      <c r="F13" s="5" t="s">
        <v>24</v>
      </c>
      <c r="G13" s="5" t="s">
        <v>8</v>
      </c>
      <c r="H13" s="7">
        <v>66334</v>
      </c>
      <c r="I13" s="7">
        <v>74559.56</v>
      </c>
      <c r="J13" s="7">
        <v>8225.5599999999977</v>
      </c>
      <c r="K13" s="8">
        <v>0.12400217083245391</v>
      </c>
    </row>
    <row r="14" spans="1:11" x14ac:dyDescent="0.3">
      <c r="A14" s="5" t="s">
        <v>45</v>
      </c>
      <c r="B14" s="6">
        <v>40224</v>
      </c>
      <c r="C14" s="5">
        <v>8</v>
      </c>
      <c r="D14" s="5">
        <v>2</v>
      </c>
      <c r="E14" s="5">
        <v>2010</v>
      </c>
      <c r="F14" s="5" t="s">
        <v>25</v>
      </c>
      <c r="G14" s="5" t="s">
        <v>8</v>
      </c>
      <c r="H14" s="7">
        <v>23515.4</v>
      </c>
      <c r="I14" s="7">
        <v>26142.03</v>
      </c>
      <c r="J14" s="7">
        <v>2626.6299999999974</v>
      </c>
      <c r="K14" s="8">
        <v>0.11169829133248838</v>
      </c>
    </row>
    <row r="15" spans="1:11" x14ac:dyDescent="0.3">
      <c r="A15" s="5" t="s">
        <v>45</v>
      </c>
      <c r="B15" s="6">
        <v>40224</v>
      </c>
      <c r="C15" s="5">
        <v>8</v>
      </c>
      <c r="D15" s="5">
        <v>2</v>
      </c>
      <c r="E15" s="5">
        <v>2010</v>
      </c>
      <c r="F15" s="5" t="s">
        <v>26</v>
      </c>
      <c r="G15" s="5" t="s">
        <v>10</v>
      </c>
      <c r="H15" s="7">
        <v>3945.72</v>
      </c>
      <c r="I15" s="7">
        <v>4421.96</v>
      </c>
      <c r="J15" s="7">
        <v>476.24000000000024</v>
      </c>
      <c r="K15" s="8">
        <v>0.12069787009721933</v>
      </c>
    </row>
    <row r="16" spans="1:11" x14ac:dyDescent="0.3">
      <c r="A16" s="5" t="s">
        <v>45</v>
      </c>
      <c r="B16" s="6">
        <v>40224</v>
      </c>
      <c r="C16" s="5">
        <v>8</v>
      </c>
      <c r="D16" s="5">
        <v>2</v>
      </c>
      <c r="E16" s="5">
        <v>2010</v>
      </c>
      <c r="F16" s="5" t="s">
        <v>27</v>
      </c>
      <c r="G16" s="5" t="s">
        <v>10</v>
      </c>
      <c r="H16" s="7">
        <v>108562.12</v>
      </c>
      <c r="I16" s="7">
        <v>122272.47</v>
      </c>
      <c r="J16" s="7">
        <v>13710.350000000006</v>
      </c>
      <c r="K16" s="8">
        <v>0.12629036721095724</v>
      </c>
    </row>
    <row r="17" spans="1:11" x14ac:dyDescent="0.3">
      <c r="A17" s="5" t="s">
        <v>45</v>
      </c>
      <c r="B17" s="6">
        <v>40224</v>
      </c>
      <c r="C17" s="5">
        <v>8</v>
      </c>
      <c r="D17" s="5">
        <v>2</v>
      </c>
      <c r="E17" s="5">
        <v>2010</v>
      </c>
      <c r="F17" s="5" t="s">
        <v>28</v>
      </c>
      <c r="G17" s="5" t="s">
        <v>10</v>
      </c>
      <c r="H17" s="7">
        <v>36251.06</v>
      </c>
      <c r="I17" s="7">
        <v>41823.85</v>
      </c>
      <c r="J17" s="7">
        <v>5572.7900000000009</v>
      </c>
      <c r="K17" s="8">
        <v>0.15372764272272318</v>
      </c>
    </row>
    <row r="18" spans="1:11" x14ac:dyDescent="0.3">
      <c r="A18" s="5" t="s">
        <v>45</v>
      </c>
      <c r="B18" s="6">
        <v>40224</v>
      </c>
      <c r="C18" s="5">
        <v>8</v>
      </c>
      <c r="D18" s="5">
        <v>2</v>
      </c>
      <c r="E18" s="5">
        <v>2010</v>
      </c>
      <c r="F18" s="5" t="s">
        <v>29</v>
      </c>
      <c r="G18" s="5" t="s">
        <v>10</v>
      </c>
      <c r="H18" s="7">
        <v>380078.83</v>
      </c>
      <c r="I18" s="7">
        <v>422035.86</v>
      </c>
      <c r="J18" s="7">
        <v>41957.02999999997</v>
      </c>
      <c r="K18" s="8">
        <v>0.11039033665726651</v>
      </c>
    </row>
    <row r="19" spans="1:11" x14ac:dyDescent="0.3">
      <c r="A19" s="5" t="s">
        <v>45</v>
      </c>
      <c r="B19" s="6">
        <v>40224</v>
      </c>
      <c r="C19" s="5">
        <v>8</v>
      </c>
      <c r="D19" s="5">
        <v>2</v>
      </c>
      <c r="E19" s="5">
        <v>2010</v>
      </c>
      <c r="F19" s="5" t="s">
        <v>30</v>
      </c>
      <c r="G19" s="5" t="s">
        <v>10</v>
      </c>
      <c r="H19" s="7">
        <v>62852.76</v>
      </c>
      <c r="I19" s="7">
        <v>71854.83</v>
      </c>
      <c r="J19" s="7">
        <v>9002.07</v>
      </c>
      <c r="K19" s="8">
        <v>0.1432247366702751</v>
      </c>
    </row>
    <row r="20" spans="1:11" x14ac:dyDescent="0.3">
      <c r="A20" s="5" t="s">
        <v>45</v>
      </c>
      <c r="B20" s="6">
        <v>40224</v>
      </c>
      <c r="C20" s="5">
        <v>8</v>
      </c>
      <c r="D20" s="5">
        <v>2</v>
      </c>
      <c r="E20" s="5">
        <v>2010</v>
      </c>
      <c r="F20" s="5" t="s">
        <v>31</v>
      </c>
      <c r="G20" s="5" t="s">
        <v>7</v>
      </c>
      <c r="H20" s="7">
        <v>17835.349999999999</v>
      </c>
      <c r="I20" s="7">
        <v>19658.439999999999</v>
      </c>
      <c r="J20" s="7">
        <v>1823.0900000000001</v>
      </c>
      <c r="K20" s="8">
        <v>0.10221778658675049</v>
      </c>
    </row>
    <row r="21" spans="1:11" x14ac:dyDescent="0.3">
      <c r="A21" s="5" t="s">
        <v>45</v>
      </c>
      <c r="B21" s="6">
        <v>40224</v>
      </c>
      <c r="C21" s="5">
        <v>8</v>
      </c>
      <c r="D21" s="5">
        <v>2</v>
      </c>
      <c r="E21" s="5">
        <v>2010</v>
      </c>
      <c r="F21" s="5" t="s">
        <v>32</v>
      </c>
      <c r="G21" s="5" t="s">
        <v>7</v>
      </c>
      <c r="H21" s="7">
        <v>27065.040000000001</v>
      </c>
      <c r="I21" s="7">
        <v>31118.15</v>
      </c>
      <c r="J21" s="7">
        <v>4053.1100000000006</v>
      </c>
      <c r="K21" s="8">
        <v>0.14975444337048829</v>
      </c>
    </row>
    <row r="22" spans="1:11" x14ac:dyDescent="0.3">
      <c r="A22" s="5" t="s">
        <v>45</v>
      </c>
      <c r="B22" s="6">
        <v>40224</v>
      </c>
      <c r="C22" s="5">
        <v>8</v>
      </c>
      <c r="D22" s="5">
        <v>2</v>
      </c>
      <c r="E22" s="5">
        <v>2010</v>
      </c>
      <c r="F22" s="5" t="s">
        <v>33</v>
      </c>
      <c r="G22" s="5" t="s">
        <v>7</v>
      </c>
      <c r="H22" s="7">
        <v>250788.01</v>
      </c>
      <c r="I22" s="7">
        <v>345297.36</v>
      </c>
      <c r="J22" s="7">
        <v>94509.349999999977</v>
      </c>
      <c r="K22" s="8">
        <v>0.37684955512825341</v>
      </c>
    </row>
    <row r="23" spans="1:11" x14ac:dyDescent="0.3">
      <c r="A23" s="5" t="s">
        <v>45</v>
      </c>
      <c r="B23" s="6">
        <v>40224</v>
      </c>
      <c r="C23" s="5">
        <v>8</v>
      </c>
      <c r="D23" s="5">
        <v>2</v>
      </c>
      <c r="E23" s="5">
        <v>2010</v>
      </c>
      <c r="F23" s="5" t="s">
        <v>34</v>
      </c>
      <c r="G23" s="5" t="s">
        <v>7</v>
      </c>
      <c r="H23" s="7">
        <v>892</v>
      </c>
      <c r="I23" s="7">
        <v>1038.23</v>
      </c>
      <c r="J23" s="7">
        <v>146.23000000000002</v>
      </c>
      <c r="K23" s="8">
        <v>0.16393497757847536</v>
      </c>
    </row>
    <row r="24" spans="1:11" x14ac:dyDescent="0.3">
      <c r="A24" s="5" t="s">
        <v>45</v>
      </c>
      <c r="B24" s="6">
        <v>40224</v>
      </c>
      <c r="C24" s="5">
        <v>8</v>
      </c>
      <c r="D24" s="5">
        <v>2</v>
      </c>
      <c r="E24" s="5">
        <v>2010</v>
      </c>
      <c r="F24" s="5" t="s">
        <v>35</v>
      </c>
      <c r="G24" s="5" t="s">
        <v>11</v>
      </c>
      <c r="H24" s="7">
        <v>2942.28</v>
      </c>
      <c r="I24" s="7">
        <v>3822.16</v>
      </c>
      <c r="J24" s="7">
        <v>879.87999999999965</v>
      </c>
      <c r="K24" s="8">
        <v>0.29904699756651293</v>
      </c>
    </row>
    <row r="25" spans="1:11" x14ac:dyDescent="0.3">
      <c r="A25" s="5" t="s">
        <v>45</v>
      </c>
      <c r="B25" s="6">
        <v>40224</v>
      </c>
      <c r="C25" s="5">
        <v>8</v>
      </c>
      <c r="D25" s="5">
        <v>2</v>
      </c>
      <c r="E25" s="5">
        <v>2010</v>
      </c>
      <c r="F25" s="5" t="s">
        <v>36</v>
      </c>
      <c r="G25" s="5" t="s">
        <v>11</v>
      </c>
      <c r="H25" s="7">
        <v>131536.6</v>
      </c>
      <c r="I25" s="7">
        <v>140282.56</v>
      </c>
      <c r="J25" s="7">
        <v>8745.9599999999919</v>
      </c>
      <c r="K25" s="8">
        <v>6.6490695365396341E-2</v>
      </c>
    </row>
    <row r="26" spans="1:11" x14ac:dyDescent="0.3">
      <c r="A26" s="5" t="s">
        <v>45</v>
      </c>
      <c r="B26" s="6">
        <v>40224</v>
      </c>
      <c r="C26" s="5">
        <v>8</v>
      </c>
      <c r="D26" s="5">
        <v>2</v>
      </c>
      <c r="E26" s="5">
        <v>2010</v>
      </c>
      <c r="F26" s="5" t="s">
        <v>37</v>
      </c>
      <c r="G26" s="5" t="s">
        <v>11</v>
      </c>
      <c r="H26" s="7">
        <v>319370.98</v>
      </c>
      <c r="I26" s="7">
        <v>325668.45</v>
      </c>
      <c r="J26" s="7">
        <v>6297.4700000000303</v>
      </c>
      <c r="K26" s="8">
        <v>1.9718353871726324E-2</v>
      </c>
    </row>
    <row r="27" spans="1:11" x14ac:dyDescent="0.3">
      <c r="A27" s="5" t="s">
        <v>45</v>
      </c>
      <c r="B27" s="6">
        <v>40224</v>
      </c>
      <c r="C27" s="5">
        <v>8</v>
      </c>
      <c r="D27" s="5">
        <v>2</v>
      </c>
      <c r="E27" s="5">
        <v>2010</v>
      </c>
      <c r="F27" s="5" t="s">
        <v>38</v>
      </c>
      <c r="G27" s="5" t="s">
        <v>11</v>
      </c>
      <c r="H27" s="7">
        <v>201596.47</v>
      </c>
      <c r="I27" s="7">
        <v>212685.58</v>
      </c>
      <c r="J27" s="7">
        <v>11089.109999999986</v>
      </c>
      <c r="K27" s="8">
        <v>5.5006469111289431E-2</v>
      </c>
    </row>
    <row r="28" spans="1:11" x14ac:dyDescent="0.3">
      <c r="A28" s="5" t="s">
        <v>45</v>
      </c>
      <c r="B28" s="6">
        <v>40225</v>
      </c>
      <c r="C28" s="5">
        <v>8</v>
      </c>
      <c r="D28" s="5">
        <v>2</v>
      </c>
      <c r="E28" s="5">
        <v>2010</v>
      </c>
      <c r="F28" s="5" t="s">
        <v>14</v>
      </c>
      <c r="G28" s="5" t="s">
        <v>6</v>
      </c>
      <c r="H28" s="7">
        <v>25924</v>
      </c>
      <c r="I28" s="7">
        <v>30686.27</v>
      </c>
      <c r="J28" s="7">
        <v>4762.2700000000004</v>
      </c>
      <c r="K28" s="8">
        <v>0.18370120351797564</v>
      </c>
    </row>
    <row r="29" spans="1:11" x14ac:dyDescent="0.3">
      <c r="A29" s="5" t="s">
        <v>45</v>
      </c>
      <c r="B29" s="6">
        <v>40225</v>
      </c>
      <c r="C29" s="5">
        <v>8</v>
      </c>
      <c r="D29" s="5">
        <v>2</v>
      </c>
      <c r="E29" s="5">
        <v>2010</v>
      </c>
      <c r="F29" s="5" t="s">
        <v>15</v>
      </c>
      <c r="G29" s="5" t="s">
        <v>6</v>
      </c>
      <c r="H29" s="7">
        <v>198417.13</v>
      </c>
      <c r="I29" s="7">
        <v>247993.03</v>
      </c>
      <c r="J29" s="7">
        <v>49575.899999999994</v>
      </c>
      <c r="K29" s="8">
        <v>0.24985695539492983</v>
      </c>
    </row>
    <row r="30" spans="1:11" x14ac:dyDescent="0.3">
      <c r="A30" s="5" t="s">
        <v>45</v>
      </c>
      <c r="B30" s="6">
        <v>40225</v>
      </c>
      <c r="C30" s="5">
        <v>8</v>
      </c>
      <c r="D30" s="5">
        <v>2</v>
      </c>
      <c r="E30" s="5">
        <v>2010</v>
      </c>
      <c r="F30" s="5" t="s">
        <v>16</v>
      </c>
      <c r="G30" s="5" t="s">
        <v>6</v>
      </c>
      <c r="H30" s="7">
        <v>69037.429999999993</v>
      </c>
      <c r="I30" s="7">
        <v>75680.83</v>
      </c>
      <c r="J30" s="7">
        <v>6643.4000000000087</v>
      </c>
      <c r="K30" s="8">
        <v>9.6228958696753478E-2</v>
      </c>
    </row>
    <row r="31" spans="1:11" x14ac:dyDescent="0.3">
      <c r="A31" s="5" t="s">
        <v>45</v>
      </c>
      <c r="B31" s="6">
        <v>40225</v>
      </c>
      <c r="C31" s="5">
        <v>8</v>
      </c>
      <c r="D31" s="5">
        <v>2</v>
      </c>
      <c r="E31" s="5">
        <v>2010</v>
      </c>
      <c r="F31" s="5" t="s">
        <v>17</v>
      </c>
      <c r="G31" s="5" t="s">
        <v>6</v>
      </c>
      <c r="H31" s="7">
        <v>3322</v>
      </c>
      <c r="I31" s="7">
        <v>3636.26</v>
      </c>
      <c r="J31" s="7">
        <v>314.26000000000022</v>
      </c>
      <c r="K31" s="8">
        <v>9.4599638771824271E-2</v>
      </c>
    </row>
    <row r="32" spans="1:11" x14ac:dyDescent="0.3">
      <c r="A32" s="5" t="s">
        <v>45</v>
      </c>
      <c r="B32" s="6">
        <v>40225</v>
      </c>
      <c r="C32" s="5">
        <v>8</v>
      </c>
      <c r="D32" s="5">
        <v>2</v>
      </c>
      <c r="E32" s="5">
        <v>2010</v>
      </c>
      <c r="F32" s="5" t="s">
        <v>18</v>
      </c>
      <c r="G32" s="5" t="s">
        <v>6</v>
      </c>
      <c r="H32" s="7">
        <v>11791.87</v>
      </c>
      <c r="I32" s="7">
        <v>13344.93</v>
      </c>
      <c r="J32" s="7">
        <v>1553.0599999999995</v>
      </c>
      <c r="K32" s="8">
        <v>0.13170599743721728</v>
      </c>
    </row>
    <row r="33" spans="1:11" x14ac:dyDescent="0.3">
      <c r="A33" s="5" t="s">
        <v>45</v>
      </c>
      <c r="B33" s="6">
        <v>40225</v>
      </c>
      <c r="C33" s="5">
        <v>8</v>
      </c>
      <c r="D33" s="5">
        <v>2</v>
      </c>
      <c r="E33" s="5">
        <v>2010</v>
      </c>
      <c r="F33" s="5" t="s">
        <v>19</v>
      </c>
      <c r="G33" s="5" t="s">
        <v>5</v>
      </c>
      <c r="H33" s="7">
        <v>151464.42000000001</v>
      </c>
      <c r="I33" s="7">
        <v>164213.51999999999</v>
      </c>
      <c r="J33" s="7">
        <v>12749.099999999977</v>
      </c>
      <c r="K33" s="8">
        <v>8.4172243223853999E-2</v>
      </c>
    </row>
    <row r="34" spans="1:11" x14ac:dyDescent="0.3">
      <c r="A34" s="5" t="s">
        <v>45</v>
      </c>
      <c r="B34" s="6">
        <v>40225</v>
      </c>
      <c r="C34" s="5">
        <v>8</v>
      </c>
      <c r="D34" s="5">
        <v>2</v>
      </c>
      <c r="E34" s="5">
        <v>2010</v>
      </c>
      <c r="F34" s="5" t="s">
        <v>5</v>
      </c>
      <c r="G34" s="5" t="s">
        <v>5</v>
      </c>
      <c r="H34" s="7">
        <v>626863.75</v>
      </c>
      <c r="I34" s="7">
        <v>659225.01</v>
      </c>
      <c r="J34" s="7">
        <v>32361.260000000009</v>
      </c>
      <c r="K34" s="8">
        <v>5.1624073014271459E-2</v>
      </c>
    </row>
    <row r="35" spans="1:11" x14ac:dyDescent="0.3">
      <c r="A35" s="5" t="s">
        <v>45</v>
      </c>
      <c r="B35" s="6">
        <v>40225</v>
      </c>
      <c r="C35" s="5">
        <v>8</v>
      </c>
      <c r="D35" s="5">
        <v>2</v>
      </c>
      <c r="E35" s="5">
        <v>2010</v>
      </c>
      <c r="F35" s="5" t="s">
        <v>20</v>
      </c>
      <c r="G35" s="5" t="s">
        <v>5</v>
      </c>
      <c r="H35" s="7">
        <v>134719.96</v>
      </c>
      <c r="I35" s="7">
        <v>149586.85999999999</v>
      </c>
      <c r="J35" s="7">
        <v>14866.899999999994</v>
      </c>
      <c r="K35" s="8">
        <v>0.11035410046143122</v>
      </c>
    </row>
    <row r="36" spans="1:11" x14ac:dyDescent="0.3">
      <c r="A36" s="5" t="s">
        <v>45</v>
      </c>
      <c r="B36" s="6">
        <v>40225</v>
      </c>
      <c r="C36" s="5">
        <v>8</v>
      </c>
      <c r="D36" s="5">
        <v>2</v>
      </c>
      <c r="E36" s="5">
        <v>2010</v>
      </c>
      <c r="F36" s="5" t="s">
        <v>21</v>
      </c>
      <c r="G36" s="5" t="s">
        <v>5</v>
      </c>
      <c r="H36" s="7">
        <v>187358.49</v>
      </c>
      <c r="I36" s="7">
        <v>198619.61</v>
      </c>
      <c r="J36" s="7">
        <v>11261.119999999995</v>
      </c>
      <c r="K36" s="8">
        <v>6.0104668862350441E-2</v>
      </c>
    </row>
    <row r="37" spans="1:11" x14ac:dyDescent="0.3">
      <c r="A37" s="5" t="s">
        <v>45</v>
      </c>
      <c r="B37" s="6">
        <v>40225</v>
      </c>
      <c r="C37" s="5">
        <v>8</v>
      </c>
      <c r="D37" s="5">
        <v>2</v>
      </c>
      <c r="E37" s="5">
        <v>2010</v>
      </c>
      <c r="F37" s="5" t="s">
        <v>22</v>
      </c>
      <c r="G37" s="5" t="s">
        <v>8</v>
      </c>
      <c r="H37" s="7">
        <v>257556.5</v>
      </c>
      <c r="I37" s="7">
        <v>278766.78999999998</v>
      </c>
      <c r="J37" s="7">
        <v>21210.289999999979</v>
      </c>
      <c r="K37" s="8">
        <v>8.2351988786926289E-2</v>
      </c>
    </row>
    <row r="38" spans="1:11" x14ac:dyDescent="0.3">
      <c r="A38" s="5" t="s">
        <v>45</v>
      </c>
      <c r="B38" s="6">
        <v>40225</v>
      </c>
      <c r="C38" s="5">
        <v>8</v>
      </c>
      <c r="D38" s="5">
        <v>2</v>
      </c>
      <c r="E38" s="5">
        <v>2010</v>
      </c>
      <c r="F38" s="5" t="s">
        <v>23</v>
      </c>
      <c r="G38" s="5" t="s">
        <v>8</v>
      </c>
      <c r="H38" s="7">
        <v>144916.20000000001</v>
      </c>
      <c r="I38" s="7">
        <v>152110.51999999999</v>
      </c>
      <c r="J38" s="7">
        <v>7194.3199999999779</v>
      </c>
      <c r="K38" s="8">
        <v>4.9644691207746117E-2</v>
      </c>
    </row>
    <row r="39" spans="1:11" x14ac:dyDescent="0.3">
      <c r="A39" s="5" t="s">
        <v>45</v>
      </c>
      <c r="B39" s="6">
        <v>40225</v>
      </c>
      <c r="C39" s="5">
        <v>8</v>
      </c>
      <c r="D39" s="5">
        <v>2</v>
      </c>
      <c r="E39" s="5">
        <v>2010</v>
      </c>
      <c r="F39" s="5" t="s">
        <v>24</v>
      </c>
      <c r="G39" s="5" t="s">
        <v>8</v>
      </c>
      <c r="H39" s="7">
        <v>78236</v>
      </c>
      <c r="I39" s="7">
        <v>85473.7</v>
      </c>
      <c r="J39" s="7">
        <v>7237.6999999999971</v>
      </c>
      <c r="K39" s="8">
        <v>9.2511120200419211E-2</v>
      </c>
    </row>
    <row r="40" spans="1:11" x14ac:dyDescent="0.3">
      <c r="A40" s="5" t="s">
        <v>45</v>
      </c>
      <c r="B40" s="6">
        <v>40225</v>
      </c>
      <c r="C40" s="5">
        <v>8</v>
      </c>
      <c r="D40" s="5">
        <v>2</v>
      </c>
      <c r="E40" s="5">
        <v>2010</v>
      </c>
      <c r="F40" s="5" t="s">
        <v>25</v>
      </c>
      <c r="G40" s="5" t="s">
        <v>8</v>
      </c>
      <c r="H40" s="7">
        <v>28127.65</v>
      </c>
      <c r="I40" s="7">
        <v>31126.89</v>
      </c>
      <c r="J40" s="7">
        <v>2999.239999999998</v>
      </c>
      <c r="K40" s="8">
        <v>0.10662959756680696</v>
      </c>
    </row>
    <row r="41" spans="1:11" x14ac:dyDescent="0.3">
      <c r="A41" s="5" t="s">
        <v>45</v>
      </c>
      <c r="B41" s="6">
        <v>40225</v>
      </c>
      <c r="C41" s="5">
        <v>8</v>
      </c>
      <c r="D41" s="5">
        <v>2</v>
      </c>
      <c r="E41" s="5">
        <v>2010</v>
      </c>
      <c r="F41" s="5" t="s">
        <v>26</v>
      </c>
      <c r="G41" s="5" t="s">
        <v>10</v>
      </c>
      <c r="H41" s="7">
        <v>8061.32</v>
      </c>
      <c r="I41" s="7">
        <v>9232.98</v>
      </c>
      <c r="J41" s="7">
        <v>1171.6599999999999</v>
      </c>
      <c r="K41" s="8">
        <v>0.1453434425131368</v>
      </c>
    </row>
    <row r="42" spans="1:11" x14ac:dyDescent="0.3">
      <c r="A42" s="5" t="s">
        <v>45</v>
      </c>
      <c r="B42" s="6">
        <v>40225</v>
      </c>
      <c r="C42" s="5">
        <v>8</v>
      </c>
      <c r="D42" s="5">
        <v>2</v>
      </c>
      <c r="E42" s="5">
        <v>2010</v>
      </c>
      <c r="F42" s="5" t="s">
        <v>27</v>
      </c>
      <c r="G42" s="5" t="s">
        <v>10</v>
      </c>
      <c r="H42" s="7">
        <v>158605.5</v>
      </c>
      <c r="I42" s="7">
        <v>176240</v>
      </c>
      <c r="J42" s="7">
        <v>17634.5</v>
      </c>
      <c r="K42" s="8">
        <v>0.11118466887970467</v>
      </c>
    </row>
    <row r="43" spans="1:11" x14ac:dyDescent="0.3">
      <c r="A43" s="5" t="s">
        <v>45</v>
      </c>
      <c r="B43" s="6">
        <v>40225</v>
      </c>
      <c r="C43" s="5">
        <v>8</v>
      </c>
      <c r="D43" s="5">
        <v>2</v>
      </c>
      <c r="E43" s="5">
        <v>2010</v>
      </c>
      <c r="F43" s="5" t="s">
        <v>28</v>
      </c>
      <c r="G43" s="5" t="s">
        <v>10</v>
      </c>
      <c r="H43" s="7">
        <v>110477.63</v>
      </c>
      <c r="I43" s="7">
        <v>124823.94</v>
      </c>
      <c r="J43" s="7">
        <v>14346.309999999998</v>
      </c>
      <c r="K43" s="8">
        <v>0.1298571484562078</v>
      </c>
    </row>
    <row r="44" spans="1:11" x14ac:dyDescent="0.3">
      <c r="A44" s="5" t="s">
        <v>45</v>
      </c>
      <c r="B44" s="6">
        <v>40225</v>
      </c>
      <c r="C44" s="5">
        <v>8</v>
      </c>
      <c r="D44" s="5">
        <v>2</v>
      </c>
      <c r="E44" s="5">
        <v>2010</v>
      </c>
      <c r="F44" s="5" t="s">
        <v>29</v>
      </c>
      <c r="G44" s="5" t="s">
        <v>10</v>
      </c>
      <c r="H44" s="7">
        <v>483576.33</v>
      </c>
      <c r="I44" s="7">
        <v>532681.81000000006</v>
      </c>
      <c r="J44" s="7">
        <v>49105.48000000004</v>
      </c>
      <c r="K44" s="8">
        <v>0.10154649215357592</v>
      </c>
    </row>
    <row r="45" spans="1:11" x14ac:dyDescent="0.3">
      <c r="A45" s="5" t="s">
        <v>45</v>
      </c>
      <c r="B45" s="6">
        <v>40225</v>
      </c>
      <c r="C45" s="5">
        <v>8</v>
      </c>
      <c r="D45" s="5">
        <v>2</v>
      </c>
      <c r="E45" s="5">
        <v>2010</v>
      </c>
      <c r="F45" s="5" t="s">
        <v>30</v>
      </c>
      <c r="G45" s="5" t="s">
        <v>10</v>
      </c>
      <c r="H45" s="7">
        <v>22091</v>
      </c>
      <c r="I45" s="7">
        <v>24883.97</v>
      </c>
      <c r="J45" s="7">
        <v>2792.9700000000012</v>
      </c>
      <c r="K45" s="8">
        <v>0.12643022045176774</v>
      </c>
    </row>
    <row r="46" spans="1:11" x14ac:dyDescent="0.3">
      <c r="A46" s="5" t="s">
        <v>45</v>
      </c>
      <c r="B46" s="6">
        <v>40225</v>
      </c>
      <c r="C46" s="5">
        <v>8</v>
      </c>
      <c r="D46" s="5">
        <v>2</v>
      </c>
      <c r="E46" s="5">
        <v>2010</v>
      </c>
      <c r="F46" s="5" t="s">
        <v>9</v>
      </c>
      <c r="G46" s="5" t="s">
        <v>9</v>
      </c>
      <c r="H46" s="7">
        <v>80</v>
      </c>
      <c r="I46" s="7">
        <v>102</v>
      </c>
      <c r="J46" s="7">
        <v>22</v>
      </c>
      <c r="K46" s="8">
        <v>0.27500000000000002</v>
      </c>
    </row>
    <row r="47" spans="1:11" x14ac:dyDescent="0.3">
      <c r="A47" s="5" t="s">
        <v>45</v>
      </c>
      <c r="B47" s="6">
        <v>40225</v>
      </c>
      <c r="C47" s="5">
        <v>8</v>
      </c>
      <c r="D47" s="5">
        <v>2</v>
      </c>
      <c r="E47" s="5">
        <v>2010</v>
      </c>
      <c r="F47" s="5" t="s">
        <v>31</v>
      </c>
      <c r="G47" s="5" t="s">
        <v>7</v>
      </c>
      <c r="H47" s="7">
        <v>15087.23</v>
      </c>
      <c r="I47" s="7">
        <v>16593.759999999998</v>
      </c>
      <c r="J47" s="7">
        <v>1506.5299999999988</v>
      </c>
      <c r="K47" s="8">
        <v>9.985464528611275E-2</v>
      </c>
    </row>
    <row r="48" spans="1:11" x14ac:dyDescent="0.3">
      <c r="A48" s="5" t="s">
        <v>45</v>
      </c>
      <c r="B48" s="6">
        <v>40225</v>
      </c>
      <c r="C48" s="5">
        <v>8</v>
      </c>
      <c r="D48" s="5">
        <v>2</v>
      </c>
      <c r="E48" s="5">
        <v>2010</v>
      </c>
      <c r="F48" s="5" t="s">
        <v>32</v>
      </c>
      <c r="G48" s="5" t="s">
        <v>7</v>
      </c>
      <c r="H48" s="7">
        <v>31279.51</v>
      </c>
      <c r="I48" s="7">
        <v>35966.29</v>
      </c>
      <c r="J48" s="7">
        <v>4686.7800000000025</v>
      </c>
      <c r="K48" s="8">
        <v>0.14983546737145187</v>
      </c>
    </row>
    <row r="49" spans="1:11" x14ac:dyDescent="0.3">
      <c r="A49" s="5" t="s">
        <v>45</v>
      </c>
      <c r="B49" s="6">
        <v>40225</v>
      </c>
      <c r="C49" s="5">
        <v>8</v>
      </c>
      <c r="D49" s="5">
        <v>2</v>
      </c>
      <c r="E49" s="5">
        <v>2010</v>
      </c>
      <c r="F49" s="5" t="s">
        <v>33</v>
      </c>
      <c r="G49" s="5" t="s">
        <v>7</v>
      </c>
      <c r="H49" s="7">
        <v>243890.44</v>
      </c>
      <c r="I49" s="7">
        <v>339896.01</v>
      </c>
      <c r="J49" s="7">
        <v>96005.57</v>
      </c>
      <c r="K49" s="8">
        <v>0.39364220262180022</v>
      </c>
    </row>
    <row r="50" spans="1:11" x14ac:dyDescent="0.3">
      <c r="A50" s="5" t="s">
        <v>45</v>
      </c>
      <c r="B50" s="6">
        <v>40225</v>
      </c>
      <c r="C50" s="5">
        <v>8</v>
      </c>
      <c r="D50" s="5">
        <v>2</v>
      </c>
      <c r="E50" s="5">
        <v>2010</v>
      </c>
      <c r="F50" s="5" t="s">
        <v>34</v>
      </c>
      <c r="G50" s="5" t="s">
        <v>7</v>
      </c>
      <c r="H50" s="7">
        <v>152</v>
      </c>
      <c r="I50" s="7">
        <v>189.98</v>
      </c>
      <c r="J50" s="7">
        <v>37.97999999999999</v>
      </c>
      <c r="K50" s="8">
        <v>0.24986842105263152</v>
      </c>
    </row>
    <row r="51" spans="1:11" x14ac:dyDescent="0.3">
      <c r="A51" s="5" t="s">
        <v>45</v>
      </c>
      <c r="B51" s="6">
        <v>40225</v>
      </c>
      <c r="C51" s="5">
        <v>8</v>
      </c>
      <c r="D51" s="5">
        <v>2</v>
      </c>
      <c r="E51" s="5">
        <v>2010</v>
      </c>
      <c r="F51" s="5" t="s">
        <v>35</v>
      </c>
      <c r="G51" s="5" t="s">
        <v>11</v>
      </c>
      <c r="H51" s="7">
        <v>2935.56</v>
      </c>
      <c r="I51" s="7">
        <v>3815.05</v>
      </c>
      <c r="J51" s="7">
        <v>879.49000000000024</v>
      </c>
      <c r="K51" s="8">
        <v>0.29959871370368862</v>
      </c>
    </row>
    <row r="52" spans="1:11" x14ac:dyDescent="0.3">
      <c r="A52" s="5" t="s">
        <v>45</v>
      </c>
      <c r="B52" s="6">
        <v>40225</v>
      </c>
      <c r="C52" s="5">
        <v>8</v>
      </c>
      <c r="D52" s="5">
        <v>2</v>
      </c>
      <c r="E52" s="5">
        <v>2010</v>
      </c>
      <c r="F52" s="5" t="s">
        <v>36</v>
      </c>
      <c r="G52" s="5" t="s">
        <v>11</v>
      </c>
      <c r="H52" s="7">
        <v>132689.14000000001</v>
      </c>
      <c r="I52" s="7">
        <v>145426.5</v>
      </c>
      <c r="J52" s="7">
        <v>12737.359999999986</v>
      </c>
      <c r="K52" s="8">
        <v>9.599399016377666E-2</v>
      </c>
    </row>
    <row r="53" spans="1:11" x14ac:dyDescent="0.3">
      <c r="A53" s="5" t="s">
        <v>45</v>
      </c>
      <c r="B53" s="6">
        <v>40225</v>
      </c>
      <c r="C53" s="5">
        <v>8</v>
      </c>
      <c r="D53" s="5">
        <v>2</v>
      </c>
      <c r="E53" s="5">
        <v>2010</v>
      </c>
      <c r="F53" s="5" t="s">
        <v>37</v>
      </c>
      <c r="G53" s="5" t="s">
        <v>11</v>
      </c>
      <c r="H53" s="7">
        <v>331624.52</v>
      </c>
      <c r="I53" s="7">
        <v>343679.56</v>
      </c>
      <c r="J53" s="7">
        <v>12055.039999999979</v>
      </c>
      <c r="K53" s="8">
        <v>3.6351473648570914E-2</v>
      </c>
    </row>
    <row r="54" spans="1:11" x14ac:dyDescent="0.3">
      <c r="A54" s="5" t="s">
        <v>45</v>
      </c>
      <c r="B54" s="6">
        <v>40225</v>
      </c>
      <c r="C54" s="5">
        <v>8</v>
      </c>
      <c r="D54" s="5">
        <v>2</v>
      </c>
      <c r="E54" s="5">
        <v>2010</v>
      </c>
      <c r="F54" s="5" t="s">
        <v>38</v>
      </c>
      <c r="G54" s="5" t="s">
        <v>11</v>
      </c>
      <c r="H54" s="7">
        <v>196987.15</v>
      </c>
      <c r="I54" s="7">
        <v>209935.51</v>
      </c>
      <c r="J54" s="7">
        <v>12948.360000000015</v>
      </c>
      <c r="K54" s="8">
        <v>6.5732003331181829E-2</v>
      </c>
    </row>
    <row r="55" spans="1:11" x14ac:dyDescent="0.3">
      <c r="A55" s="5" t="s">
        <v>45</v>
      </c>
      <c r="B55" s="6">
        <v>40226</v>
      </c>
      <c r="C55" s="5">
        <v>8</v>
      </c>
      <c r="D55" s="5">
        <v>2</v>
      </c>
      <c r="E55" s="5">
        <v>2010</v>
      </c>
      <c r="F55" s="5" t="s">
        <v>14</v>
      </c>
      <c r="G55" s="5" t="s">
        <v>6</v>
      </c>
      <c r="H55" s="7">
        <v>21459</v>
      </c>
      <c r="I55" s="7">
        <v>25038.84</v>
      </c>
      <c r="J55" s="7">
        <v>3579.84</v>
      </c>
      <c r="K55" s="8">
        <v>0.16682231231651057</v>
      </c>
    </row>
    <row r="56" spans="1:11" x14ac:dyDescent="0.3">
      <c r="A56" s="5" t="s">
        <v>45</v>
      </c>
      <c r="B56" s="6">
        <v>40226</v>
      </c>
      <c r="C56" s="5">
        <v>8</v>
      </c>
      <c r="D56" s="5">
        <v>2</v>
      </c>
      <c r="E56" s="5">
        <v>2010</v>
      </c>
      <c r="F56" s="5" t="s">
        <v>15</v>
      </c>
      <c r="G56" s="5" t="s">
        <v>6</v>
      </c>
      <c r="H56" s="7">
        <v>206057.19</v>
      </c>
      <c r="I56" s="7">
        <v>269311.09000000003</v>
      </c>
      <c r="J56" s="7">
        <v>63253.900000000023</v>
      </c>
      <c r="K56" s="8">
        <v>0.30697254485514447</v>
      </c>
    </row>
    <row r="57" spans="1:11" x14ac:dyDescent="0.3">
      <c r="A57" s="5" t="s">
        <v>45</v>
      </c>
      <c r="B57" s="6">
        <v>40226</v>
      </c>
      <c r="C57" s="5">
        <v>8</v>
      </c>
      <c r="D57" s="5">
        <v>2</v>
      </c>
      <c r="E57" s="5">
        <v>2010</v>
      </c>
      <c r="F57" s="5" t="s">
        <v>16</v>
      </c>
      <c r="G57" s="5" t="s">
        <v>6</v>
      </c>
      <c r="H57" s="7">
        <v>54515.93</v>
      </c>
      <c r="I57" s="7">
        <v>59240.69</v>
      </c>
      <c r="J57" s="7">
        <v>4724.760000000002</v>
      </c>
      <c r="K57" s="8">
        <v>8.6667511679613687E-2</v>
      </c>
    </row>
    <row r="58" spans="1:11" x14ac:dyDescent="0.3">
      <c r="A58" s="5" t="s">
        <v>45</v>
      </c>
      <c r="B58" s="6">
        <v>40226</v>
      </c>
      <c r="C58" s="5">
        <v>8</v>
      </c>
      <c r="D58" s="5">
        <v>2</v>
      </c>
      <c r="E58" s="5">
        <v>2010</v>
      </c>
      <c r="F58" s="5" t="s">
        <v>17</v>
      </c>
      <c r="G58" s="5" t="s">
        <v>6</v>
      </c>
      <c r="H58" s="7">
        <v>3050</v>
      </c>
      <c r="I58" s="7">
        <v>3391.71</v>
      </c>
      <c r="J58" s="7">
        <v>341.71000000000004</v>
      </c>
      <c r="K58" s="8">
        <v>0.11203606557377051</v>
      </c>
    </row>
    <row r="59" spans="1:11" x14ac:dyDescent="0.3">
      <c r="A59" s="5" t="s">
        <v>45</v>
      </c>
      <c r="B59" s="6">
        <v>40226</v>
      </c>
      <c r="C59" s="5">
        <v>8</v>
      </c>
      <c r="D59" s="5">
        <v>2</v>
      </c>
      <c r="E59" s="5">
        <v>2010</v>
      </c>
      <c r="F59" s="5" t="s">
        <v>18</v>
      </c>
      <c r="G59" s="5" t="s">
        <v>6</v>
      </c>
      <c r="H59" s="7">
        <v>11747.92</v>
      </c>
      <c r="I59" s="7">
        <v>13368.7</v>
      </c>
      <c r="J59" s="7">
        <v>1620.7800000000007</v>
      </c>
      <c r="K59" s="8">
        <v>0.13796314581645097</v>
      </c>
    </row>
    <row r="60" spans="1:11" x14ac:dyDescent="0.3">
      <c r="A60" s="5" t="s">
        <v>45</v>
      </c>
      <c r="B60" s="6">
        <v>40226</v>
      </c>
      <c r="C60" s="5">
        <v>8</v>
      </c>
      <c r="D60" s="5">
        <v>2</v>
      </c>
      <c r="E60" s="5">
        <v>2010</v>
      </c>
      <c r="F60" s="5" t="s">
        <v>19</v>
      </c>
      <c r="G60" s="5" t="s">
        <v>5</v>
      </c>
      <c r="H60" s="7">
        <v>246892.64</v>
      </c>
      <c r="I60" s="7">
        <v>249577.76</v>
      </c>
      <c r="J60" s="7">
        <v>2685.1199999999953</v>
      </c>
      <c r="K60" s="8">
        <v>1.0875658342832719E-2</v>
      </c>
    </row>
    <row r="61" spans="1:11" x14ac:dyDescent="0.3">
      <c r="A61" s="5" t="s">
        <v>45</v>
      </c>
      <c r="B61" s="6">
        <v>40226</v>
      </c>
      <c r="C61" s="5">
        <v>8</v>
      </c>
      <c r="D61" s="5">
        <v>2</v>
      </c>
      <c r="E61" s="5">
        <v>2010</v>
      </c>
      <c r="F61" s="5" t="s">
        <v>5</v>
      </c>
      <c r="G61" s="5" t="s">
        <v>5</v>
      </c>
      <c r="H61" s="7">
        <v>578337.67000000004</v>
      </c>
      <c r="I61" s="7">
        <v>610284.9</v>
      </c>
      <c r="J61" s="7">
        <v>31947.229999999981</v>
      </c>
      <c r="K61" s="8">
        <v>5.5239752928423251E-2</v>
      </c>
    </row>
    <row r="62" spans="1:11" x14ac:dyDescent="0.3">
      <c r="A62" s="5" t="s">
        <v>45</v>
      </c>
      <c r="B62" s="6">
        <v>40226</v>
      </c>
      <c r="C62" s="5">
        <v>8</v>
      </c>
      <c r="D62" s="5">
        <v>2</v>
      </c>
      <c r="E62" s="5">
        <v>2010</v>
      </c>
      <c r="F62" s="5" t="s">
        <v>20</v>
      </c>
      <c r="G62" s="5" t="s">
        <v>5</v>
      </c>
      <c r="H62" s="7">
        <v>142102.94</v>
      </c>
      <c r="I62" s="7">
        <v>156212.19</v>
      </c>
      <c r="J62" s="7">
        <v>14109.25</v>
      </c>
      <c r="K62" s="8">
        <v>9.9288938005082789E-2</v>
      </c>
    </row>
    <row r="63" spans="1:11" x14ac:dyDescent="0.3">
      <c r="A63" s="5" t="s">
        <v>45</v>
      </c>
      <c r="B63" s="6">
        <v>40226</v>
      </c>
      <c r="C63" s="5">
        <v>8</v>
      </c>
      <c r="D63" s="5">
        <v>2</v>
      </c>
      <c r="E63" s="5">
        <v>2010</v>
      </c>
      <c r="F63" s="5" t="s">
        <v>21</v>
      </c>
      <c r="G63" s="5" t="s">
        <v>5</v>
      </c>
      <c r="H63" s="7">
        <v>244903.41</v>
      </c>
      <c r="I63" s="7">
        <v>259051.94</v>
      </c>
      <c r="J63" s="7">
        <v>14148.529999999999</v>
      </c>
      <c r="K63" s="8">
        <v>5.7771878309085194E-2</v>
      </c>
    </row>
    <row r="64" spans="1:11" x14ac:dyDescent="0.3">
      <c r="A64" s="5" t="s">
        <v>45</v>
      </c>
      <c r="B64" s="6">
        <v>40226</v>
      </c>
      <c r="C64" s="5">
        <v>8</v>
      </c>
      <c r="D64" s="5">
        <v>2</v>
      </c>
      <c r="E64" s="5">
        <v>2010</v>
      </c>
      <c r="F64" s="5" t="s">
        <v>22</v>
      </c>
      <c r="G64" s="5" t="s">
        <v>8</v>
      </c>
      <c r="H64" s="7">
        <v>328219</v>
      </c>
      <c r="I64" s="7">
        <v>352546.04</v>
      </c>
      <c r="J64" s="7">
        <v>24327.039999999979</v>
      </c>
      <c r="K64" s="8">
        <v>7.4118317342993484E-2</v>
      </c>
    </row>
    <row r="65" spans="1:11" x14ac:dyDescent="0.3">
      <c r="A65" s="5" t="s">
        <v>45</v>
      </c>
      <c r="B65" s="6">
        <v>40226</v>
      </c>
      <c r="C65" s="5">
        <v>8</v>
      </c>
      <c r="D65" s="5">
        <v>2</v>
      </c>
      <c r="E65" s="5">
        <v>2010</v>
      </c>
      <c r="F65" s="5" t="s">
        <v>23</v>
      </c>
      <c r="G65" s="5" t="s">
        <v>8</v>
      </c>
      <c r="H65" s="7">
        <v>146231.79999999999</v>
      </c>
      <c r="I65" s="7">
        <v>153376.07999999999</v>
      </c>
      <c r="J65" s="7">
        <v>7144.2799999999988</v>
      </c>
      <c r="K65" s="8">
        <v>4.8855857617836881E-2</v>
      </c>
    </row>
    <row r="66" spans="1:11" x14ac:dyDescent="0.3">
      <c r="A66" s="5" t="s">
        <v>45</v>
      </c>
      <c r="B66" s="6">
        <v>40226</v>
      </c>
      <c r="C66" s="5">
        <v>8</v>
      </c>
      <c r="D66" s="5">
        <v>2</v>
      </c>
      <c r="E66" s="5">
        <v>2010</v>
      </c>
      <c r="F66" s="5" t="s">
        <v>24</v>
      </c>
      <c r="G66" s="5" t="s">
        <v>8</v>
      </c>
      <c r="H66" s="7">
        <v>85455</v>
      </c>
      <c r="I66" s="7">
        <v>91631.51</v>
      </c>
      <c r="J66" s="7">
        <v>6176.5099999999948</v>
      </c>
      <c r="K66" s="8">
        <v>7.2277924053595399E-2</v>
      </c>
    </row>
    <row r="67" spans="1:11" x14ac:dyDescent="0.3">
      <c r="A67" s="5" t="s">
        <v>45</v>
      </c>
      <c r="B67" s="6">
        <v>40226</v>
      </c>
      <c r="C67" s="5">
        <v>8</v>
      </c>
      <c r="D67" s="5">
        <v>2</v>
      </c>
      <c r="E67" s="5">
        <v>2010</v>
      </c>
      <c r="F67" s="5" t="s">
        <v>25</v>
      </c>
      <c r="G67" s="5" t="s">
        <v>8</v>
      </c>
      <c r="H67" s="7">
        <v>16737.900000000001</v>
      </c>
      <c r="I67" s="7">
        <v>19295.27</v>
      </c>
      <c r="J67" s="7">
        <v>2557.369999999999</v>
      </c>
      <c r="K67" s="8">
        <v>0.15278917904874559</v>
      </c>
    </row>
    <row r="68" spans="1:11" x14ac:dyDescent="0.3">
      <c r="A68" s="5" t="s">
        <v>45</v>
      </c>
      <c r="B68" s="6">
        <v>40226</v>
      </c>
      <c r="C68" s="5">
        <v>8</v>
      </c>
      <c r="D68" s="5">
        <v>2</v>
      </c>
      <c r="E68" s="5">
        <v>2010</v>
      </c>
      <c r="F68" s="5" t="s">
        <v>26</v>
      </c>
      <c r="G68" s="5" t="s">
        <v>10</v>
      </c>
      <c r="H68" s="7">
        <v>6810.66</v>
      </c>
      <c r="I68" s="7">
        <v>7824.72</v>
      </c>
      <c r="J68" s="7">
        <v>1014.0600000000004</v>
      </c>
      <c r="K68" s="8">
        <v>0.14889305882249304</v>
      </c>
    </row>
    <row r="69" spans="1:11" x14ac:dyDescent="0.3">
      <c r="A69" s="5" t="s">
        <v>45</v>
      </c>
      <c r="B69" s="6">
        <v>40226</v>
      </c>
      <c r="C69" s="5">
        <v>8</v>
      </c>
      <c r="D69" s="5">
        <v>2</v>
      </c>
      <c r="E69" s="5">
        <v>2010</v>
      </c>
      <c r="F69" s="5" t="s">
        <v>27</v>
      </c>
      <c r="G69" s="5" t="s">
        <v>10</v>
      </c>
      <c r="H69" s="7">
        <v>146351.78</v>
      </c>
      <c r="I69" s="7">
        <v>162149.51999999999</v>
      </c>
      <c r="J69" s="7">
        <v>15797.739999999991</v>
      </c>
      <c r="K69" s="8">
        <v>0.10794361366838169</v>
      </c>
    </row>
    <row r="70" spans="1:11" x14ac:dyDescent="0.3">
      <c r="A70" s="5" t="s">
        <v>45</v>
      </c>
      <c r="B70" s="6">
        <v>40226</v>
      </c>
      <c r="C70" s="5">
        <v>8</v>
      </c>
      <c r="D70" s="5">
        <v>2</v>
      </c>
      <c r="E70" s="5">
        <v>2010</v>
      </c>
      <c r="F70" s="5" t="s">
        <v>28</v>
      </c>
      <c r="G70" s="5" t="s">
        <v>10</v>
      </c>
      <c r="H70" s="7">
        <v>177225.05</v>
      </c>
      <c r="I70" s="7">
        <v>200629.87</v>
      </c>
      <c r="J70" s="7">
        <v>23404.820000000007</v>
      </c>
      <c r="K70" s="8">
        <v>0.13206270783955207</v>
      </c>
    </row>
    <row r="71" spans="1:11" x14ac:dyDescent="0.3">
      <c r="A71" s="5" t="s">
        <v>45</v>
      </c>
      <c r="B71" s="6">
        <v>40226</v>
      </c>
      <c r="C71" s="5">
        <v>8</v>
      </c>
      <c r="D71" s="5">
        <v>2</v>
      </c>
      <c r="E71" s="5">
        <v>2010</v>
      </c>
      <c r="F71" s="5" t="s">
        <v>29</v>
      </c>
      <c r="G71" s="5" t="s">
        <v>10</v>
      </c>
      <c r="H71" s="7">
        <v>555246.67000000004</v>
      </c>
      <c r="I71" s="7">
        <v>601429.16</v>
      </c>
      <c r="J71" s="7">
        <v>46182.489999999991</v>
      </c>
      <c r="K71" s="8">
        <v>8.3174726648968439E-2</v>
      </c>
    </row>
    <row r="72" spans="1:11" x14ac:dyDescent="0.3">
      <c r="A72" s="5" t="s">
        <v>45</v>
      </c>
      <c r="B72" s="6">
        <v>40226</v>
      </c>
      <c r="C72" s="5">
        <v>8</v>
      </c>
      <c r="D72" s="5">
        <v>2</v>
      </c>
      <c r="E72" s="5">
        <v>2010</v>
      </c>
      <c r="F72" s="5" t="s">
        <v>30</v>
      </c>
      <c r="G72" s="5" t="s">
        <v>10</v>
      </c>
      <c r="H72" s="7">
        <v>136787.9</v>
      </c>
      <c r="I72" s="7">
        <v>154494.66</v>
      </c>
      <c r="J72" s="7">
        <v>17706.760000000009</v>
      </c>
      <c r="K72" s="8">
        <v>0.12944682972689844</v>
      </c>
    </row>
    <row r="73" spans="1:11" x14ac:dyDescent="0.3">
      <c r="A73" s="5" t="s">
        <v>45</v>
      </c>
      <c r="B73" s="6">
        <v>40226</v>
      </c>
      <c r="C73" s="5">
        <v>8</v>
      </c>
      <c r="D73" s="5">
        <v>2</v>
      </c>
      <c r="E73" s="5">
        <v>2010</v>
      </c>
      <c r="F73" s="5" t="s">
        <v>9</v>
      </c>
      <c r="G73" s="5" t="s">
        <v>9</v>
      </c>
      <c r="H73" s="7">
        <v>80</v>
      </c>
      <c r="I73" s="7">
        <v>91.98</v>
      </c>
      <c r="J73" s="7">
        <v>11.980000000000004</v>
      </c>
      <c r="K73" s="8">
        <v>0.14975000000000005</v>
      </c>
    </row>
    <row r="74" spans="1:11" x14ac:dyDescent="0.3">
      <c r="A74" s="5" t="s">
        <v>45</v>
      </c>
      <c r="B74" s="6">
        <v>40226</v>
      </c>
      <c r="C74" s="5">
        <v>8</v>
      </c>
      <c r="D74" s="5">
        <v>2</v>
      </c>
      <c r="E74" s="5">
        <v>2010</v>
      </c>
      <c r="F74" s="5" t="s">
        <v>31</v>
      </c>
      <c r="G74" s="5" t="s">
        <v>7</v>
      </c>
      <c r="H74" s="7">
        <v>23873.64</v>
      </c>
      <c r="I74" s="7">
        <v>26371.71</v>
      </c>
      <c r="J74" s="7">
        <v>2498.0699999999997</v>
      </c>
      <c r="K74" s="8">
        <v>0.10463716467199806</v>
      </c>
    </row>
    <row r="75" spans="1:11" x14ac:dyDescent="0.3">
      <c r="A75" s="5" t="s">
        <v>45</v>
      </c>
      <c r="B75" s="6">
        <v>40226</v>
      </c>
      <c r="C75" s="5">
        <v>8</v>
      </c>
      <c r="D75" s="5">
        <v>2</v>
      </c>
      <c r="E75" s="5">
        <v>2010</v>
      </c>
      <c r="F75" s="5" t="s">
        <v>32</v>
      </c>
      <c r="G75" s="5" t="s">
        <v>7</v>
      </c>
      <c r="H75" s="7">
        <v>17740.79</v>
      </c>
      <c r="I75" s="7">
        <v>20399.830000000002</v>
      </c>
      <c r="J75" s="7">
        <v>2659.0400000000009</v>
      </c>
      <c r="K75" s="8">
        <v>0.14988284061758245</v>
      </c>
    </row>
    <row r="76" spans="1:11" x14ac:dyDescent="0.3">
      <c r="A76" s="5" t="s">
        <v>45</v>
      </c>
      <c r="B76" s="6">
        <v>40226</v>
      </c>
      <c r="C76" s="5">
        <v>8</v>
      </c>
      <c r="D76" s="5">
        <v>2</v>
      </c>
      <c r="E76" s="5">
        <v>2010</v>
      </c>
      <c r="F76" s="5" t="s">
        <v>33</v>
      </c>
      <c r="G76" s="5" t="s">
        <v>7</v>
      </c>
      <c r="H76" s="7">
        <v>234256.57</v>
      </c>
      <c r="I76" s="7">
        <v>323418.45</v>
      </c>
      <c r="J76" s="7">
        <v>89161.88</v>
      </c>
      <c r="K76" s="8">
        <v>0.38061634728110294</v>
      </c>
    </row>
    <row r="77" spans="1:11" x14ac:dyDescent="0.3">
      <c r="A77" s="5" t="s">
        <v>45</v>
      </c>
      <c r="B77" s="6">
        <v>40226</v>
      </c>
      <c r="C77" s="5">
        <v>8</v>
      </c>
      <c r="D77" s="5">
        <v>2</v>
      </c>
      <c r="E77" s="5">
        <v>2010</v>
      </c>
      <c r="F77" s="5" t="s">
        <v>34</v>
      </c>
      <c r="G77" s="5" t="s">
        <v>7</v>
      </c>
      <c r="H77" s="7">
        <v>456</v>
      </c>
      <c r="I77" s="7">
        <v>569.78</v>
      </c>
      <c r="J77" s="7">
        <v>113.77999999999997</v>
      </c>
      <c r="K77" s="8">
        <v>0.24951754385964905</v>
      </c>
    </row>
    <row r="78" spans="1:11" x14ac:dyDescent="0.3">
      <c r="A78" s="5" t="s">
        <v>45</v>
      </c>
      <c r="B78" s="6">
        <v>40226</v>
      </c>
      <c r="C78" s="5">
        <v>8</v>
      </c>
      <c r="D78" s="5">
        <v>2</v>
      </c>
      <c r="E78" s="5">
        <v>2010</v>
      </c>
      <c r="F78" s="5" t="s">
        <v>35</v>
      </c>
      <c r="G78" s="5" t="s">
        <v>11</v>
      </c>
      <c r="H78" s="7">
        <v>3661.84</v>
      </c>
      <c r="I78" s="7">
        <v>4758.95</v>
      </c>
      <c r="J78" s="7">
        <v>1097.1099999999997</v>
      </c>
      <c r="K78" s="8">
        <v>0.29960620890044337</v>
      </c>
    </row>
    <row r="79" spans="1:11" x14ac:dyDescent="0.3">
      <c r="A79" s="5" t="s">
        <v>45</v>
      </c>
      <c r="B79" s="6">
        <v>40226</v>
      </c>
      <c r="C79" s="5">
        <v>8</v>
      </c>
      <c r="D79" s="5">
        <v>2</v>
      </c>
      <c r="E79" s="5">
        <v>2010</v>
      </c>
      <c r="F79" s="5" t="s">
        <v>36</v>
      </c>
      <c r="G79" s="5" t="s">
        <v>11</v>
      </c>
      <c r="H79" s="7">
        <v>166918.82999999999</v>
      </c>
      <c r="I79" s="7">
        <v>180557.01</v>
      </c>
      <c r="J79" s="7">
        <v>13638.180000000022</v>
      </c>
      <c r="K79" s="8">
        <v>8.1705461271206023E-2</v>
      </c>
    </row>
    <row r="80" spans="1:11" x14ac:dyDescent="0.3">
      <c r="A80" s="5" t="s">
        <v>45</v>
      </c>
      <c r="B80" s="6">
        <v>40226</v>
      </c>
      <c r="C80" s="5">
        <v>8</v>
      </c>
      <c r="D80" s="5">
        <v>2</v>
      </c>
      <c r="E80" s="5">
        <v>2010</v>
      </c>
      <c r="F80" s="5" t="s">
        <v>37</v>
      </c>
      <c r="G80" s="5" t="s">
        <v>11</v>
      </c>
      <c r="H80" s="7">
        <v>350468.96</v>
      </c>
      <c r="I80" s="7">
        <v>360898.02</v>
      </c>
      <c r="J80" s="7">
        <v>10429.059999999998</v>
      </c>
      <c r="K80" s="8">
        <v>2.9757442713329012E-2</v>
      </c>
    </row>
    <row r="81" spans="1:11" x14ac:dyDescent="0.3">
      <c r="A81" s="5" t="s">
        <v>45</v>
      </c>
      <c r="B81" s="6">
        <v>40226</v>
      </c>
      <c r="C81" s="5">
        <v>8</v>
      </c>
      <c r="D81" s="5">
        <v>2</v>
      </c>
      <c r="E81" s="5">
        <v>2010</v>
      </c>
      <c r="F81" s="5" t="s">
        <v>38</v>
      </c>
      <c r="G81" s="5" t="s">
        <v>11</v>
      </c>
      <c r="H81" s="7">
        <v>255133.91</v>
      </c>
      <c r="I81" s="7">
        <v>271749.59000000003</v>
      </c>
      <c r="J81" s="7">
        <v>16615.680000000022</v>
      </c>
      <c r="K81" s="8">
        <v>6.5125329674914717E-2</v>
      </c>
    </row>
    <row r="82" spans="1:11" x14ac:dyDescent="0.3">
      <c r="A82" s="5" t="s">
        <v>45</v>
      </c>
      <c r="B82" s="6">
        <v>40227</v>
      </c>
      <c r="C82" s="5">
        <v>8</v>
      </c>
      <c r="D82" s="5">
        <v>2</v>
      </c>
      <c r="E82" s="5">
        <v>2010</v>
      </c>
      <c r="F82" s="5" t="s">
        <v>14</v>
      </c>
      <c r="G82" s="5" t="s">
        <v>6</v>
      </c>
      <c r="H82" s="7">
        <v>18460</v>
      </c>
      <c r="I82" s="7">
        <v>22086.06</v>
      </c>
      <c r="J82" s="7">
        <v>3626.0600000000013</v>
      </c>
      <c r="K82" s="8">
        <v>0.19642795232936086</v>
      </c>
    </row>
    <row r="83" spans="1:11" x14ac:dyDescent="0.3">
      <c r="A83" s="5" t="s">
        <v>45</v>
      </c>
      <c r="B83" s="6">
        <v>40227</v>
      </c>
      <c r="C83" s="5">
        <v>8</v>
      </c>
      <c r="D83" s="5">
        <v>2</v>
      </c>
      <c r="E83" s="5">
        <v>2010</v>
      </c>
      <c r="F83" s="5" t="s">
        <v>15</v>
      </c>
      <c r="G83" s="5" t="s">
        <v>6</v>
      </c>
      <c r="H83" s="7">
        <v>253021.76</v>
      </c>
      <c r="I83" s="7">
        <v>302611.65999999997</v>
      </c>
      <c r="J83" s="7">
        <v>49589.899999999965</v>
      </c>
      <c r="K83" s="8">
        <v>0.19599065313591987</v>
      </c>
    </row>
    <row r="84" spans="1:11" x14ac:dyDescent="0.3">
      <c r="A84" s="5" t="s">
        <v>45</v>
      </c>
      <c r="B84" s="6">
        <v>40227</v>
      </c>
      <c r="C84" s="5">
        <v>8</v>
      </c>
      <c r="D84" s="5">
        <v>2</v>
      </c>
      <c r="E84" s="5">
        <v>2010</v>
      </c>
      <c r="F84" s="5" t="s">
        <v>16</v>
      </c>
      <c r="G84" s="5" t="s">
        <v>6</v>
      </c>
      <c r="H84" s="7">
        <v>77768.47</v>
      </c>
      <c r="I84" s="7">
        <v>84220.97</v>
      </c>
      <c r="J84" s="7">
        <v>6452.5</v>
      </c>
      <c r="K84" s="8">
        <v>8.2970643501151561E-2</v>
      </c>
    </row>
    <row r="85" spans="1:11" x14ac:dyDescent="0.3">
      <c r="A85" s="5" t="s">
        <v>45</v>
      </c>
      <c r="B85" s="6">
        <v>40227</v>
      </c>
      <c r="C85" s="5">
        <v>8</v>
      </c>
      <c r="D85" s="5">
        <v>2</v>
      </c>
      <c r="E85" s="5">
        <v>2010</v>
      </c>
      <c r="F85" s="5" t="s">
        <v>17</v>
      </c>
      <c r="G85" s="5" t="s">
        <v>6</v>
      </c>
      <c r="H85" s="7">
        <v>3957</v>
      </c>
      <c r="I85" s="7">
        <v>4177.75</v>
      </c>
      <c r="J85" s="7">
        <v>220.75</v>
      </c>
      <c r="K85" s="8">
        <v>5.5787212534748547E-2</v>
      </c>
    </row>
    <row r="86" spans="1:11" x14ac:dyDescent="0.3">
      <c r="A86" s="5" t="s">
        <v>45</v>
      </c>
      <c r="B86" s="6">
        <v>40227</v>
      </c>
      <c r="C86" s="5">
        <v>8</v>
      </c>
      <c r="D86" s="5">
        <v>2</v>
      </c>
      <c r="E86" s="5">
        <v>2010</v>
      </c>
      <c r="F86" s="5" t="s">
        <v>18</v>
      </c>
      <c r="G86" s="5" t="s">
        <v>6</v>
      </c>
      <c r="H86" s="7">
        <v>19068.669999999998</v>
      </c>
      <c r="I86" s="7">
        <v>20521.14</v>
      </c>
      <c r="J86" s="7">
        <v>1452.4700000000012</v>
      </c>
      <c r="K86" s="8">
        <v>7.6170493275094758E-2</v>
      </c>
    </row>
    <row r="87" spans="1:11" x14ac:dyDescent="0.3">
      <c r="A87" s="5" t="s">
        <v>45</v>
      </c>
      <c r="B87" s="6">
        <v>40227</v>
      </c>
      <c r="C87" s="5">
        <v>8</v>
      </c>
      <c r="D87" s="5">
        <v>2</v>
      </c>
      <c r="E87" s="5">
        <v>2010</v>
      </c>
      <c r="F87" s="5" t="s">
        <v>19</v>
      </c>
      <c r="G87" s="5" t="s">
        <v>5</v>
      </c>
      <c r="H87" s="7">
        <v>150242.07</v>
      </c>
      <c r="I87" s="7">
        <v>161249.93</v>
      </c>
      <c r="J87" s="7">
        <v>11007.859999999986</v>
      </c>
      <c r="K87" s="8">
        <v>7.3267494251110787E-2</v>
      </c>
    </row>
    <row r="88" spans="1:11" x14ac:dyDescent="0.3">
      <c r="A88" s="5" t="s">
        <v>45</v>
      </c>
      <c r="B88" s="6">
        <v>40227</v>
      </c>
      <c r="C88" s="5">
        <v>8</v>
      </c>
      <c r="D88" s="5">
        <v>2</v>
      </c>
      <c r="E88" s="5">
        <v>2010</v>
      </c>
      <c r="F88" s="5" t="s">
        <v>5</v>
      </c>
      <c r="G88" s="5" t="s">
        <v>5</v>
      </c>
      <c r="H88" s="7">
        <v>428261.27</v>
      </c>
      <c r="I88" s="7">
        <v>457794.8</v>
      </c>
      <c r="J88" s="7">
        <v>29533.52999999997</v>
      </c>
      <c r="K88" s="8">
        <v>6.896147765124773E-2</v>
      </c>
    </row>
    <row r="89" spans="1:11" x14ac:dyDescent="0.3">
      <c r="A89" s="5" t="s">
        <v>45</v>
      </c>
      <c r="B89" s="6">
        <v>40227</v>
      </c>
      <c r="C89" s="5">
        <v>8</v>
      </c>
      <c r="D89" s="5">
        <v>2</v>
      </c>
      <c r="E89" s="5">
        <v>2010</v>
      </c>
      <c r="F89" s="5" t="s">
        <v>20</v>
      </c>
      <c r="G89" s="5" t="s">
        <v>5</v>
      </c>
      <c r="H89" s="7">
        <v>141345.03</v>
      </c>
      <c r="I89" s="7">
        <v>155951.20000000001</v>
      </c>
      <c r="J89" s="7">
        <v>14606.170000000013</v>
      </c>
      <c r="K89" s="8">
        <v>0.10333699034200221</v>
      </c>
    </row>
    <row r="90" spans="1:11" x14ac:dyDescent="0.3">
      <c r="A90" s="5" t="s">
        <v>45</v>
      </c>
      <c r="B90" s="6">
        <v>40227</v>
      </c>
      <c r="C90" s="5">
        <v>8</v>
      </c>
      <c r="D90" s="5">
        <v>2</v>
      </c>
      <c r="E90" s="5">
        <v>2010</v>
      </c>
      <c r="F90" s="5" t="s">
        <v>21</v>
      </c>
      <c r="G90" s="5" t="s">
        <v>5</v>
      </c>
      <c r="H90" s="7">
        <v>231460.17</v>
      </c>
      <c r="I90" s="7">
        <v>243334.32</v>
      </c>
      <c r="J90" s="7">
        <v>11874.149999999994</v>
      </c>
      <c r="K90" s="8">
        <v>5.1301051062046632E-2</v>
      </c>
    </row>
    <row r="91" spans="1:11" x14ac:dyDescent="0.3">
      <c r="A91" s="5" t="s">
        <v>45</v>
      </c>
      <c r="B91" s="6">
        <v>40227</v>
      </c>
      <c r="C91" s="5">
        <v>8</v>
      </c>
      <c r="D91" s="5">
        <v>2</v>
      </c>
      <c r="E91" s="5">
        <v>2010</v>
      </c>
      <c r="F91" s="5" t="s">
        <v>22</v>
      </c>
      <c r="G91" s="5" t="s">
        <v>8</v>
      </c>
      <c r="H91" s="7">
        <v>332180.5</v>
      </c>
      <c r="I91" s="7">
        <v>359052.96</v>
      </c>
      <c r="J91" s="7">
        <v>26872.460000000021</v>
      </c>
      <c r="K91" s="8">
        <v>8.0897162837674161E-2</v>
      </c>
    </row>
    <row r="92" spans="1:11" x14ac:dyDescent="0.3">
      <c r="A92" s="5" t="s">
        <v>45</v>
      </c>
      <c r="B92" s="6">
        <v>40227</v>
      </c>
      <c r="C92" s="5">
        <v>8</v>
      </c>
      <c r="D92" s="5">
        <v>2</v>
      </c>
      <c r="E92" s="5">
        <v>2010</v>
      </c>
      <c r="F92" s="5" t="s">
        <v>23</v>
      </c>
      <c r="G92" s="5" t="s">
        <v>8</v>
      </c>
      <c r="H92" s="7">
        <v>152980.20000000001</v>
      </c>
      <c r="I92" s="7">
        <v>159690.07999999999</v>
      </c>
      <c r="J92" s="7">
        <v>6709.8799999999756</v>
      </c>
      <c r="K92" s="8">
        <v>4.3861100979080789E-2</v>
      </c>
    </row>
    <row r="93" spans="1:11" x14ac:dyDescent="0.3">
      <c r="A93" s="5" t="s">
        <v>45</v>
      </c>
      <c r="B93" s="6">
        <v>40227</v>
      </c>
      <c r="C93" s="5">
        <v>8</v>
      </c>
      <c r="D93" s="5">
        <v>2</v>
      </c>
      <c r="E93" s="5">
        <v>2010</v>
      </c>
      <c r="F93" s="5" t="s">
        <v>24</v>
      </c>
      <c r="G93" s="5" t="s">
        <v>8</v>
      </c>
      <c r="H93" s="7">
        <v>94061</v>
      </c>
      <c r="I93" s="7">
        <v>101052.79</v>
      </c>
      <c r="J93" s="7">
        <v>6991.7899999999936</v>
      </c>
      <c r="K93" s="8">
        <v>7.4332507628028552E-2</v>
      </c>
    </row>
    <row r="94" spans="1:11" x14ac:dyDescent="0.3">
      <c r="A94" s="5" t="s">
        <v>45</v>
      </c>
      <c r="B94" s="6">
        <v>40227</v>
      </c>
      <c r="C94" s="5">
        <v>8</v>
      </c>
      <c r="D94" s="5">
        <v>2</v>
      </c>
      <c r="E94" s="5">
        <v>2010</v>
      </c>
      <c r="F94" s="5" t="s">
        <v>25</v>
      </c>
      <c r="G94" s="5" t="s">
        <v>8</v>
      </c>
      <c r="H94" s="7">
        <v>21224.5</v>
      </c>
      <c r="I94" s="7">
        <v>23661.29</v>
      </c>
      <c r="J94" s="7">
        <v>2436.7900000000009</v>
      </c>
      <c r="K94" s="8">
        <v>0.11481024287969097</v>
      </c>
    </row>
    <row r="95" spans="1:11" x14ac:dyDescent="0.3">
      <c r="A95" s="5" t="s">
        <v>45</v>
      </c>
      <c r="B95" s="6">
        <v>40227</v>
      </c>
      <c r="C95" s="5">
        <v>8</v>
      </c>
      <c r="D95" s="5">
        <v>2</v>
      </c>
      <c r="E95" s="5">
        <v>2010</v>
      </c>
      <c r="F95" s="5" t="s">
        <v>26</v>
      </c>
      <c r="G95" s="5" t="s">
        <v>10</v>
      </c>
      <c r="H95" s="7">
        <v>2365.2199999999998</v>
      </c>
      <c r="I95" s="7">
        <v>2693.71</v>
      </c>
      <c r="J95" s="7">
        <v>328.49000000000024</v>
      </c>
      <c r="K95" s="8">
        <v>0.13888348652556645</v>
      </c>
    </row>
    <row r="96" spans="1:11" x14ac:dyDescent="0.3">
      <c r="A96" s="5" t="s">
        <v>45</v>
      </c>
      <c r="B96" s="6">
        <v>40227</v>
      </c>
      <c r="C96" s="5">
        <v>8</v>
      </c>
      <c r="D96" s="5">
        <v>2</v>
      </c>
      <c r="E96" s="5">
        <v>2010</v>
      </c>
      <c r="F96" s="5" t="s">
        <v>27</v>
      </c>
      <c r="G96" s="5" t="s">
        <v>10</v>
      </c>
      <c r="H96" s="7">
        <v>164223.10999999999</v>
      </c>
      <c r="I96" s="7">
        <v>182095.92</v>
      </c>
      <c r="J96" s="7">
        <v>17872.810000000027</v>
      </c>
      <c r="K96" s="8">
        <v>0.10883249014100407</v>
      </c>
    </row>
    <row r="97" spans="1:11" x14ac:dyDescent="0.3">
      <c r="A97" s="5" t="s">
        <v>45</v>
      </c>
      <c r="B97" s="6">
        <v>40227</v>
      </c>
      <c r="C97" s="5">
        <v>8</v>
      </c>
      <c r="D97" s="5">
        <v>2</v>
      </c>
      <c r="E97" s="5">
        <v>2010</v>
      </c>
      <c r="F97" s="5" t="s">
        <v>28</v>
      </c>
      <c r="G97" s="5" t="s">
        <v>10</v>
      </c>
      <c r="H97" s="7">
        <v>158682.94</v>
      </c>
      <c r="I97" s="7">
        <v>177935.97</v>
      </c>
      <c r="J97" s="7">
        <v>19253.03</v>
      </c>
      <c r="K97" s="8">
        <v>0.1213301820598988</v>
      </c>
    </row>
    <row r="98" spans="1:11" x14ac:dyDescent="0.3">
      <c r="A98" s="5" t="s">
        <v>45</v>
      </c>
      <c r="B98" s="6">
        <v>40227</v>
      </c>
      <c r="C98" s="5">
        <v>8</v>
      </c>
      <c r="D98" s="5">
        <v>2</v>
      </c>
      <c r="E98" s="5">
        <v>2010</v>
      </c>
      <c r="F98" s="5" t="s">
        <v>29</v>
      </c>
      <c r="G98" s="5" t="s">
        <v>10</v>
      </c>
      <c r="H98" s="7">
        <v>567322.67000000004</v>
      </c>
      <c r="I98" s="7">
        <v>610754.9</v>
      </c>
      <c r="J98" s="7">
        <v>43432.229999999981</v>
      </c>
      <c r="K98" s="8">
        <v>7.6556485923610237E-2</v>
      </c>
    </row>
    <row r="99" spans="1:11" x14ac:dyDescent="0.3">
      <c r="A99" s="5" t="s">
        <v>45</v>
      </c>
      <c r="B99" s="6">
        <v>40227</v>
      </c>
      <c r="C99" s="5">
        <v>8</v>
      </c>
      <c r="D99" s="5">
        <v>2</v>
      </c>
      <c r="E99" s="5">
        <v>2010</v>
      </c>
      <c r="F99" s="5" t="s">
        <v>30</v>
      </c>
      <c r="G99" s="5" t="s">
        <v>10</v>
      </c>
      <c r="H99" s="7">
        <v>171220.88</v>
      </c>
      <c r="I99" s="7">
        <v>192744.36</v>
      </c>
      <c r="J99" s="7">
        <v>21523.479999999981</v>
      </c>
      <c r="K99" s="8">
        <v>0.1257059302580385</v>
      </c>
    </row>
    <row r="100" spans="1:11" x14ac:dyDescent="0.3">
      <c r="A100" s="5" t="s">
        <v>45</v>
      </c>
      <c r="B100" s="6">
        <v>40227</v>
      </c>
      <c r="C100" s="5">
        <v>8</v>
      </c>
      <c r="D100" s="5">
        <v>2</v>
      </c>
      <c r="E100" s="5">
        <v>2010</v>
      </c>
      <c r="F100" s="5" t="s">
        <v>9</v>
      </c>
      <c r="G100" s="5" t="s">
        <v>9</v>
      </c>
      <c r="H100" s="7">
        <v>120</v>
      </c>
      <c r="I100" s="7">
        <v>137.97</v>
      </c>
      <c r="J100" s="7">
        <v>17.97</v>
      </c>
      <c r="K100" s="8">
        <v>0.14974999999999999</v>
      </c>
    </row>
    <row r="101" spans="1:11" x14ac:dyDescent="0.3">
      <c r="A101" s="5" t="s">
        <v>45</v>
      </c>
      <c r="B101" s="6">
        <v>40227</v>
      </c>
      <c r="C101" s="5">
        <v>8</v>
      </c>
      <c r="D101" s="5">
        <v>2</v>
      </c>
      <c r="E101" s="5">
        <v>2010</v>
      </c>
      <c r="F101" s="5" t="s">
        <v>31</v>
      </c>
      <c r="G101" s="5" t="s">
        <v>7</v>
      </c>
      <c r="H101" s="7">
        <v>31724.12</v>
      </c>
      <c r="I101" s="7">
        <v>35549.64</v>
      </c>
      <c r="J101" s="7">
        <v>3825.5200000000004</v>
      </c>
      <c r="K101" s="8">
        <v>0.12058711163619355</v>
      </c>
    </row>
    <row r="102" spans="1:11" x14ac:dyDescent="0.3">
      <c r="A102" s="5" t="s">
        <v>45</v>
      </c>
      <c r="B102" s="6">
        <v>40227</v>
      </c>
      <c r="C102" s="5">
        <v>8</v>
      </c>
      <c r="D102" s="5">
        <v>2</v>
      </c>
      <c r="E102" s="5">
        <v>2010</v>
      </c>
      <c r="F102" s="5" t="s">
        <v>32</v>
      </c>
      <c r="G102" s="5" t="s">
        <v>7</v>
      </c>
      <c r="H102" s="7">
        <v>17101.02</v>
      </c>
      <c r="I102" s="7">
        <v>19661.54</v>
      </c>
      <c r="J102" s="7">
        <v>2560.5200000000004</v>
      </c>
      <c r="K102" s="8">
        <v>0.14972908048759667</v>
      </c>
    </row>
    <row r="103" spans="1:11" x14ac:dyDescent="0.3">
      <c r="A103" s="5" t="s">
        <v>45</v>
      </c>
      <c r="B103" s="6">
        <v>40227</v>
      </c>
      <c r="C103" s="5">
        <v>8</v>
      </c>
      <c r="D103" s="5">
        <v>2</v>
      </c>
      <c r="E103" s="5">
        <v>2010</v>
      </c>
      <c r="F103" s="5" t="s">
        <v>33</v>
      </c>
      <c r="G103" s="5" t="s">
        <v>7</v>
      </c>
      <c r="H103" s="7">
        <v>233709.02</v>
      </c>
      <c r="I103" s="7">
        <v>323171.95</v>
      </c>
      <c r="J103" s="7">
        <v>89462.930000000022</v>
      </c>
      <c r="K103" s="8">
        <v>0.38279622241366645</v>
      </c>
    </row>
    <row r="104" spans="1:11" x14ac:dyDescent="0.3">
      <c r="A104" s="5" t="s">
        <v>45</v>
      </c>
      <c r="B104" s="6">
        <v>40227</v>
      </c>
      <c r="C104" s="5">
        <v>8</v>
      </c>
      <c r="D104" s="5">
        <v>2</v>
      </c>
      <c r="E104" s="5">
        <v>2010</v>
      </c>
      <c r="F104" s="5" t="s">
        <v>35</v>
      </c>
      <c r="G104" s="5" t="s">
        <v>11</v>
      </c>
      <c r="H104" s="7">
        <v>2994.72</v>
      </c>
      <c r="I104" s="7">
        <v>3891.65</v>
      </c>
      <c r="J104" s="7">
        <v>896.93000000000029</v>
      </c>
      <c r="K104" s="8">
        <v>0.29950379334295035</v>
      </c>
    </row>
    <row r="105" spans="1:11" x14ac:dyDescent="0.3">
      <c r="A105" s="5" t="s">
        <v>45</v>
      </c>
      <c r="B105" s="6">
        <v>40227</v>
      </c>
      <c r="C105" s="5">
        <v>8</v>
      </c>
      <c r="D105" s="5">
        <v>2</v>
      </c>
      <c r="E105" s="5">
        <v>2010</v>
      </c>
      <c r="F105" s="5" t="s">
        <v>36</v>
      </c>
      <c r="G105" s="5" t="s">
        <v>11</v>
      </c>
      <c r="H105" s="7">
        <v>116003.27</v>
      </c>
      <c r="I105" s="7">
        <v>127983.77</v>
      </c>
      <c r="J105" s="7">
        <v>11980.5</v>
      </c>
      <c r="K105" s="8">
        <v>0.10327726106341657</v>
      </c>
    </row>
    <row r="106" spans="1:11" x14ac:dyDescent="0.3">
      <c r="A106" s="5" t="s">
        <v>45</v>
      </c>
      <c r="B106" s="6">
        <v>40227</v>
      </c>
      <c r="C106" s="5">
        <v>8</v>
      </c>
      <c r="D106" s="5">
        <v>2</v>
      </c>
      <c r="E106" s="5">
        <v>2010</v>
      </c>
      <c r="F106" s="5" t="s">
        <v>37</v>
      </c>
      <c r="G106" s="5" t="s">
        <v>11</v>
      </c>
      <c r="H106" s="7">
        <v>353730.8</v>
      </c>
      <c r="I106" s="7">
        <v>366674.25</v>
      </c>
      <c r="J106" s="7">
        <v>12943.450000000012</v>
      </c>
      <c r="K106" s="8">
        <v>3.6591243962923251E-2</v>
      </c>
    </row>
    <row r="107" spans="1:11" x14ac:dyDescent="0.3">
      <c r="A107" s="5" t="s">
        <v>45</v>
      </c>
      <c r="B107" s="6">
        <v>40227</v>
      </c>
      <c r="C107" s="5">
        <v>8</v>
      </c>
      <c r="D107" s="5">
        <v>2</v>
      </c>
      <c r="E107" s="5">
        <v>2010</v>
      </c>
      <c r="F107" s="5" t="s">
        <v>38</v>
      </c>
      <c r="G107" s="5" t="s">
        <v>11</v>
      </c>
      <c r="H107" s="7">
        <v>194234.28</v>
      </c>
      <c r="I107" s="7">
        <v>207904.1</v>
      </c>
      <c r="J107" s="7">
        <v>13669.820000000007</v>
      </c>
      <c r="K107" s="8">
        <v>7.0377999187373141E-2</v>
      </c>
    </row>
    <row r="108" spans="1:11" x14ac:dyDescent="0.3">
      <c r="A108" s="5" t="s">
        <v>45</v>
      </c>
      <c r="B108" s="6">
        <v>40228</v>
      </c>
      <c r="C108" s="5">
        <v>8</v>
      </c>
      <c r="D108" s="5">
        <v>2</v>
      </c>
      <c r="E108" s="5">
        <v>2010</v>
      </c>
      <c r="F108" s="5" t="s">
        <v>14</v>
      </c>
      <c r="G108" s="5" t="s">
        <v>6</v>
      </c>
      <c r="H108" s="7">
        <v>18234</v>
      </c>
      <c r="I108" s="7">
        <v>21604.87</v>
      </c>
      <c r="J108" s="7">
        <v>3370.869999999999</v>
      </c>
      <c r="K108" s="8">
        <v>0.18486728090380602</v>
      </c>
    </row>
    <row r="109" spans="1:11" x14ac:dyDescent="0.3">
      <c r="A109" s="5" t="s">
        <v>45</v>
      </c>
      <c r="B109" s="6">
        <v>40228</v>
      </c>
      <c r="C109" s="5">
        <v>8</v>
      </c>
      <c r="D109" s="5">
        <v>2</v>
      </c>
      <c r="E109" s="5">
        <v>2010</v>
      </c>
      <c r="F109" s="5" t="s">
        <v>15</v>
      </c>
      <c r="G109" s="5" t="s">
        <v>6</v>
      </c>
      <c r="H109" s="7">
        <v>281896.87</v>
      </c>
      <c r="I109" s="7">
        <v>351354.61</v>
      </c>
      <c r="J109" s="7">
        <v>69457.739999999991</v>
      </c>
      <c r="K109" s="8">
        <v>0.24639415116599198</v>
      </c>
    </row>
    <row r="110" spans="1:11" x14ac:dyDescent="0.3">
      <c r="A110" s="5" t="s">
        <v>45</v>
      </c>
      <c r="B110" s="6">
        <v>40228</v>
      </c>
      <c r="C110" s="5">
        <v>8</v>
      </c>
      <c r="D110" s="5">
        <v>2</v>
      </c>
      <c r="E110" s="5">
        <v>2010</v>
      </c>
      <c r="F110" s="5" t="s">
        <v>16</v>
      </c>
      <c r="G110" s="5" t="s">
        <v>6</v>
      </c>
      <c r="H110" s="7">
        <v>79276.22</v>
      </c>
      <c r="I110" s="7">
        <v>86521.08</v>
      </c>
      <c r="J110" s="7">
        <v>7244.8600000000006</v>
      </c>
      <c r="K110" s="8">
        <v>9.1387556066623771E-2</v>
      </c>
    </row>
    <row r="111" spans="1:11" x14ac:dyDescent="0.3">
      <c r="A111" s="5" t="s">
        <v>45</v>
      </c>
      <c r="B111" s="6">
        <v>40228</v>
      </c>
      <c r="C111" s="5">
        <v>8</v>
      </c>
      <c r="D111" s="5">
        <v>2</v>
      </c>
      <c r="E111" s="5">
        <v>2010</v>
      </c>
      <c r="F111" s="5" t="s">
        <v>17</v>
      </c>
      <c r="G111" s="5" t="s">
        <v>6</v>
      </c>
      <c r="H111" s="7">
        <v>1420</v>
      </c>
      <c r="I111" s="7">
        <v>1633.86</v>
      </c>
      <c r="J111" s="7">
        <v>213.8599999999999</v>
      </c>
      <c r="K111" s="8">
        <v>0.15060563380281683</v>
      </c>
    </row>
    <row r="112" spans="1:11" x14ac:dyDescent="0.3">
      <c r="A112" s="5" t="s">
        <v>45</v>
      </c>
      <c r="B112" s="6">
        <v>40228</v>
      </c>
      <c r="C112" s="5">
        <v>8</v>
      </c>
      <c r="D112" s="5">
        <v>2</v>
      </c>
      <c r="E112" s="5">
        <v>2010</v>
      </c>
      <c r="F112" s="5" t="s">
        <v>18</v>
      </c>
      <c r="G112" s="5" t="s">
        <v>6</v>
      </c>
      <c r="H112" s="7">
        <v>8250.51</v>
      </c>
      <c r="I112" s="7">
        <v>9110.06</v>
      </c>
      <c r="J112" s="7">
        <v>859.54999999999927</v>
      </c>
      <c r="K112" s="8">
        <v>0.10418143848077262</v>
      </c>
    </row>
    <row r="113" spans="1:11" x14ac:dyDescent="0.3">
      <c r="A113" s="5" t="s">
        <v>45</v>
      </c>
      <c r="B113" s="6">
        <v>40228</v>
      </c>
      <c r="C113" s="5">
        <v>8</v>
      </c>
      <c r="D113" s="5">
        <v>2</v>
      </c>
      <c r="E113" s="5">
        <v>2010</v>
      </c>
      <c r="F113" s="5" t="s">
        <v>19</v>
      </c>
      <c r="G113" s="5" t="s">
        <v>5</v>
      </c>
      <c r="H113" s="7">
        <v>149328.26</v>
      </c>
      <c r="I113" s="7">
        <v>161044.84</v>
      </c>
      <c r="J113" s="7">
        <v>11716.579999999987</v>
      </c>
      <c r="K113" s="8">
        <v>7.8461906674597209E-2</v>
      </c>
    </row>
    <row r="114" spans="1:11" x14ac:dyDescent="0.3">
      <c r="A114" s="5" t="s">
        <v>45</v>
      </c>
      <c r="B114" s="6">
        <v>40228</v>
      </c>
      <c r="C114" s="5">
        <v>8</v>
      </c>
      <c r="D114" s="5">
        <v>2</v>
      </c>
      <c r="E114" s="5">
        <v>2010</v>
      </c>
      <c r="F114" s="5" t="s">
        <v>5</v>
      </c>
      <c r="G114" s="5" t="s">
        <v>5</v>
      </c>
      <c r="H114" s="7">
        <v>534792.36</v>
      </c>
      <c r="I114" s="7">
        <v>568672.14</v>
      </c>
      <c r="J114" s="7">
        <v>33879.780000000028</v>
      </c>
      <c r="K114" s="8">
        <v>6.3351278989849491E-2</v>
      </c>
    </row>
    <row r="115" spans="1:11" x14ac:dyDescent="0.3">
      <c r="A115" s="5" t="s">
        <v>45</v>
      </c>
      <c r="B115" s="6">
        <v>40228</v>
      </c>
      <c r="C115" s="5">
        <v>8</v>
      </c>
      <c r="D115" s="5">
        <v>2</v>
      </c>
      <c r="E115" s="5">
        <v>2010</v>
      </c>
      <c r="F115" s="5" t="s">
        <v>20</v>
      </c>
      <c r="G115" s="5" t="s">
        <v>5</v>
      </c>
      <c r="H115" s="7">
        <v>155714.23000000001</v>
      </c>
      <c r="I115" s="7">
        <v>171093.32</v>
      </c>
      <c r="J115" s="7">
        <v>15379.089999999997</v>
      </c>
      <c r="K115" s="8">
        <v>9.8764833503013794E-2</v>
      </c>
    </row>
    <row r="116" spans="1:11" x14ac:dyDescent="0.3">
      <c r="A116" s="5" t="s">
        <v>45</v>
      </c>
      <c r="B116" s="6">
        <v>40228</v>
      </c>
      <c r="C116" s="5">
        <v>8</v>
      </c>
      <c r="D116" s="5">
        <v>2</v>
      </c>
      <c r="E116" s="5">
        <v>2010</v>
      </c>
      <c r="F116" s="5" t="s">
        <v>21</v>
      </c>
      <c r="G116" s="5" t="s">
        <v>5</v>
      </c>
      <c r="H116" s="7">
        <v>243283.89</v>
      </c>
      <c r="I116" s="7">
        <v>260027.04</v>
      </c>
      <c r="J116" s="7">
        <v>16743.149999999994</v>
      </c>
      <c r="K116" s="8">
        <v>6.8821449706349208E-2</v>
      </c>
    </row>
    <row r="117" spans="1:11" x14ac:dyDescent="0.3">
      <c r="A117" s="5" t="s">
        <v>45</v>
      </c>
      <c r="B117" s="6">
        <v>40228</v>
      </c>
      <c r="C117" s="5">
        <v>8</v>
      </c>
      <c r="D117" s="5">
        <v>2</v>
      </c>
      <c r="E117" s="5">
        <v>2010</v>
      </c>
      <c r="F117" s="5" t="s">
        <v>22</v>
      </c>
      <c r="G117" s="5" t="s">
        <v>8</v>
      </c>
      <c r="H117" s="7">
        <v>621335.36</v>
      </c>
      <c r="I117" s="7">
        <v>669177.84</v>
      </c>
      <c r="J117" s="7">
        <v>47842.479999999981</v>
      </c>
      <c r="K117" s="8">
        <v>7.6999448413816299E-2</v>
      </c>
    </row>
    <row r="118" spans="1:11" x14ac:dyDescent="0.3">
      <c r="A118" s="5" t="s">
        <v>45</v>
      </c>
      <c r="B118" s="6">
        <v>40228</v>
      </c>
      <c r="C118" s="5">
        <v>8</v>
      </c>
      <c r="D118" s="5">
        <v>2</v>
      </c>
      <c r="E118" s="5">
        <v>2010</v>
      </c>
      <c r="F118" s="5" t="s">
        <v>23</v>
      </c>
      <c r="G118" s="5" t="s">
        <v>8</v>
      </c>
      <c r="H118" s="7">
        <v>196121</v>
      </c>
      <c r="I118" s="7">
        <v>204876.21</v>
      </c>
      <c r="J118" s="7">
        <v>8755.2099999999919</v>
      </c>
      <c r="K118" s="8">
        <v>4.4641879248015215E-2</v>
      </c>
    </row>
    <row r="119" spans="1:11" x14ac:dyDescent="0.3">
      <c r="A119" s="5" t="s">
        <v>45</v>
      </c>
      <c r="B119" s="6">
        <v>40228</v>
      </c>
      <c r="C119" s="5">
        <v>8</v>
      </c>
      <c r="D119" s="5">
        <v>2</v>
      </c>
      <c r="E119" s="5">
        <v>2010</v>
      </c>
      <c r="F119" s="5" t="s">
        <v>24</v>
      </c>
      <c r="G119" s="5" t="s">
        <v>8</v>
      </c>
      <c r="H119" s="7">
        <v>150426</v>
      </c>
      <c r="I119" s="7">
        <v>160202.73000000001</v>
      </c>
      <c r="J119" s="7">
        <v>9776.7300000000105</v>
      </c>
      <c r="K119" s="8">
        <v>6.499361812452642E-2</v>
      </c>
    </row>
    <row r="120" spans="1:11" x14ac:dyDescent="0.3">
      <c r="A120" s="5" t="s">
        <v>45</v>
      </c>
      <c r="B120" s="6">
        <v>40228</v>
      </c>
      <c r="C120" s="5">
        <v>8</v>
      </c>
      <c r="D120" s="5">
        <v>2</v>
      </c>
      <c r="E120" s="5">
        <v>2010</v>
      </c>
      <c r="F120" s="5" t="s">
        <v>25</v>
      </c>
      <c r="G120" s="5" t="s">
        <v>8</v>
      </c>
      <c r="H120" s="7">
        <v>15704.85</v>
      </c>
      <c r="I120" s="7">
        <v>18260.27</v>
      </c>
      <c r="J120" s="7">
        <v>2555.42</v>
      </c>
      <c r="K120" s="8">
        <v>0.16271533952887166</v>
      </c>
    </row>
    <row r="121" spans="1:11" x14ac:dyDescent="0.3">
      <c r="A121" s="5" t="s">
        <v>45</v>
      </c>
      <c r="B121" s="6">
        <v>40228</v>
      </c>
      <c r="C121" s="5">
        <v>8</v>
      </c>
      <c r="D121" s="5">
        <v>2</v>
      </c>
      <c r="E121" s="5">
        <v>2010</v>
      </c>
      <c r="F121" s="5" t="s">
        <v>26</v>
      </c>
      <c r="G121" s="5" t="s">
        <v>10</v>
      </c>
      <c r="H121" s="7">
        <v>21695.31</v>
      </c>
      <c r="I121" s="7">
        <v>24298.46</v>
      </c>
      <c r="J121" s="7">
        <v>2603.1499999999978</v>
      </c>
      <c r="K121" s="8">
        <v>0.11998676211586733</v>
      </c>
    </row>
    <row r="122" spans="1:11" x14ac:dyDescent="0.3">
      <c r="A122" s="5" t="s">
        <v>45</v>
      </c>
      <c r="B122" s="6">
        <v>40228</v>
      </c>
      <c r="C122" s="5">
        <v>8</v>
      </c>
      <c r="D122" s="5">
        <v>2</v>
      </c>
      <c r="E122" s="5">
        <v>2010</v>
      </c>
      <c r="F122" s="5" t="s">
        <v>27</v>
      </c>
      <c r="G122" s="5" t="s">
        <v>10</v>
      </c>
      <c r="H122" s="7">
        <v>196639.58</v>
      </c>
      <c r="I122" s="7">
        <v>217257.37</v>
      </c>
      <c r="J122" s="7">
        <v>20617.790000000008</v>
      </c>
      <c r="K122" s="8">
        <v>0.10485066129616433</v>
      </c>
    </row>
    <row r="123" spans="1:11" x14ac:dyDescent="0.3">
      <c r="A123" s="5" t="s">
        <v>45</v>
      </c>
      <c r="B123" s="6">
        <v>40228</v>
      </c>
      <c r="C123" s="5">
        <v>8</v>
      </c>
      <c r="D123" s="5">
        <v>2</v>
      </c>
      <c r="E123" s="5">
        <v>2010</v>
      </c>
      <c r="F123" s="5" t="s">
        <v>28</v>
      </c>
      <c r="G123" s="5" t="s">
        <v>10</v>
      </c>
      <c r="H123" s="7">
        <v>151101.35</v>
      </c>
      <c r="I123" s="7">
        <v>171499.02</v>
      </c>
      <c r="J123" s="7">
        <v>20397.669999999984</v>
      </c>
      <c r="K123" s="8">
        <v>0.13499330085402933</v>
      </c>
    </row>
    <row r="124" spans="1:11" x14ac:dyDescent="0.3">
      <c r="A124" s="5" t="s">
        <v>45</v>
      </c>
      <c r="B124" s="6">
        <v>40228</v>
      </c>
      <c r="C124" s="5">
        <v>8</v>
      </c>
      <c r="D124" s="5">
        <v>2</v>
      </c>
      <c r="E124" s="5">
        <v>2010</v>
      </c>
      <c r="F124" s="5" t="s">
        <v>29</v>
      </c>
      <c r="G124" s="5" t="s">
        <v>10</v>
      </c>
      <c r="H124" s="7">
        <v>596058</v>
      </c>
      <c r="I124" s="7">
        <v>642638.21</v>
      </c>
      <c r="J124" s="7">
        <v>46580.209999999963</v>
      </c>
      <c r="K124" s="8">
        <v>7.8147109845015023E-2</v>
      </c>
    </row>
    <row r="125" spans="1:11" x14ac:dyDescent="0.3">
      <c r="A125" s="5" t="s">
        <v>45</v>
      </c>
      <c r="B125" s="6">
        <v>40228</v>
      </c>
      <c r="C125" s="5">
        <v>8</v>
      </c>
      <c r="D125" s="5">
        <v>2</v>
      </c>
      <c r="E125" s="5">
        <v>2010</v>
      </c>
      <c r="F125" s="5" t="s">
        <v>30</v>
      </c>
      <c r="G125" s="5" t="s">
        <v>10</v>
      </c>
      <c r="H125" s="7">
        <v>184648.24</v>
      </c>
      <c r="I125" s="7">
        <v>207649.05</v>
      </c>
      <c r="J125" s="7">
        <v>23000.809999999998</v>
      </c>
      <c r="K125" s="8">
        <v>0.12456555231720594</v>
      </c>
    </row>
    <row r="126" spans="1:11" x14ac:dyDescent="0.3">
      <c r="A126" s="5" t="s">
        <v>45</v>
      </c>
      <c r="B126" s="6">
        <v>40228</v>
      </c>
      <c r="C126" s="5">
        <v>8</v>
      </c>
      <c r="D126" s="5">
        <v>2</v>
      </c>
      <c r="E126" s="5">
        <v>2010</v>
      </c>
      <c r="F126" s="5" t="s">
        <v>9</v>
      </c>
      <c r="G126" s="5" t="s">
        <v>9</v>
      </c>
      <c r="H126" s="7">
        <v>680</v>
      </c>
      <c r="I126" s="7">
        <v>846.73</v>
      </c>
      <c r="J126" s="7">
        <v>166.73000000000002</v>
      </c>
      <c r="K126" s="8">
        <v>0.24519117647058827</v>
      </c>
    </row>
    <row r="127" spans="1:11" x14ac:dyDescent="0.3">
      <c r="A127" s="5" t="s">
        <v>45</v>
      </c>
      <c r="B127" s="6">
        <v>40228</v>
      </c>
      <c r="C127" s="5">
        <v>8</v>
      </c>
      <c r="D127" s="5">
        <v>2</v>
      </c>
      <c r="E127" s="5">
        <v>2010</v>
      </c>
      <c r="F127" s="5" t="s">
        <v>31</v>
      </c>
      <c r="G127" s="5" t="s">
        <v>7</v>
      </c>
      <c r="H127" s="7">
        <v>33151.26</v>
      </c>
      <c r="I127" s="7">
        <v>42673.83</v>
      </c>
      <c r="J127" s="7">
        <v>9522.57</v>
      </c>
      <c r="K127" s="8">
        <v>0.28724609562351472</v>
      </c>
    </row>
    <row r="128" spans="1:11" x14ac:dyDescent="0.3">
      <c r="A128" s="5" t="s">
        <v>45</v>
      </c>
      <c r="B128" s="6">
        <v>40228</v>
      </c>
      <c r="C128" s="5">
        <v>8</v>
      </c>
      <c r="D128" s="5">
        <v>2</v>
      </c>
      <c r="E128" s="5">
        <v>2010</v>
      </c>
      <c r="F128" s="5" t="s">
        <v>32</v>
      </c>
      <c r="G128" s="5" t="s">
        <v>7</v>
      </c>
      <c r="H128" s="7">
        <v>20564.189999999999</v>
      </c>
      <c r="I128" s="7">
        <v>23644.27</v>
      </c>
      <c r="J128" s="7">
        <v>3080.0800000000017</v>
      </c>
      <c r="K128" s="8">
        <v>0.14977881453147446</v>
      </c>
    </row>
    <row r="129" spans="1:11" x14ac:dyDescent="0.3">
      <c r="A129" s="5" t="s">
        <v>45</v>
      </c>
      <c r="B129" s="6">
        <v>40228</v>
      </c>
      <c r="C129" s="5">
        <v>8</v>
      </c>
      <c r="D129" s="5">
        <v>2</v>
      </c>
      <c r="E129" s="5">
        <v>2010</v>
      </c>
      <c r="F129" s="5" t="s">
        <v>33</v>
      </c>
      <c r="G129" s="5" t="s">
        <v>7</v>
      </c>
      <c r="H129" s="7">
        <v>290604.61</v>
      </c>
      <c r="I129" s="7">
        <v>397186.83</v>
      </c>
      <c r="J129" s="7">
        <v>106582.22000000003</v>
      </c>
      <c r="K129" s="8">
        <v>0.36676025201389623</v>
      </c>
    </row>
    <row r="130" spans="1:11" x14ac:dyDescent="0.3">
      <c r="A130" s="5" t="s">
        <v>45</v>
      </c>
      <c r="B130" s="6">
        <v>40228</v>
      </c>
      <c r="C130" s="5">
        <v>8</v>
      </c>
      <c r="D130" s="5">
        <v>2</v>
      </c>
      <c r="E130" s="5">
        <v>2010</v>
      </c>
      <c r="F130" s="5" t="s">
        <v>35</v>
      </c>
      <c r="G130" s="5" t="s">
        <v>11</v>
      </c>
      <c r="H130" s="7">
        <v>2158.8000000000002</v>
      </c>
      <c r="I130" s="7">
        <v>2805.85</v>
      </c>
      <c r="J130" s="7">
        <v>647.04999999999973</v>
      </c>
      <c r="K130" s="8">
        <v>0.29972670001852864</v>
      </c>
    </row>
    <row r="131" spans="1:11" x14ac:dyDescent="0.3">
      <c r="A131" s="5" t="s">
        <v>45</v>
      </c>
      <c r="B131" s="6">
        <v>40228</v>
      </c>
      <c r="C131" s="5">
        <v>8</v>
      </c>
      <c r="D131" s="5">
        <v>2</v>
      </c>
      <c r="E131" s="5">
        <v>2010</v>
      </c>
      <c r="F131" s="5" t="s">
        <v>36</v>
      </c>
      <c r="G131" s="5" t="s">
        <v>11</v>
      </c>
      <c r="H131" s="7">
        <v>143122.65</v>
      </c>
      <c r="I131" s="7">
        <v>154337.53</v>
      </c>
      <c r="J131" s="7">
        <v>11214.880000000005</v>
      </c>
      <c r="K131" s="8">
        <v>7.8358526760090072E-2</v>
      </c>
    </row>
    <row r="132" spans="1:11" x14ac:dyDescent="0.3">
      <c r="A132" s="5" t="s">
        <v>45</v>
      </c>
      <c r="B132" s="6">
        <v>40228</v>
      </c>
      <c r="C132" s="5">
        <v>8</v>
      </c>
      <c r="D132" s="5">
        <v>2</v>
      </c>
      <c r="E132" s="5">
        <v>2010</v>
      </c>
      <c r="F132" s="5" t="s">
        <v>37</v>
      </c>
      <c r="G132" s="5" t="s">
        <v>11</v>
      </c>
      <c r="H132" s="7">
        <v>347115.49</v>
      </c>
      <c r="I132" s="7">
        <v>359973.04</v>
      </c>
      <c r="J132" s="7">
        <v>12857.549999999988</v>
      </c>
      <c r="K132" s="8">
        <v>3.7041130028510075E-2</v>
      </c>
    </row>
    <row r="133" spans="1:11" x14ac:dyDescent="0.3">
      <c r="A133" s="5" t="s">
        <v>45</v>
      </c>
      <c r="B133" s="6">
        <v>40228</v>
      </c>
      <c r="C133" s="5">
        <v>8</v>
      </c>
      <c r="D133" s="5">
        <v>2</v>
      </c>
      <c r="E133" s="5">
        <v>2010</v>
      </c>
      <c r="F133" s="5" t="s">
        <v>38</v>
      </c>
      <c r="G133" s="5" t="s">
        <v>11</v>
      </c>
      <c r="H133" s="7">
        <v>294215.46000000002</v>
      </c>
      <c r="I133" s="7">
        <v>312889.07</v>
      </c>
      <c r="J133" s="7">
        <v>18673.609999999986</v>
      </c>
      <c r="K133" s="8">
        <v>6.3469166440131952E-2</v>
      </c>
    </row>
    <row r="134" spans="1:11" x14ac:dyDescent="0.3">
      <c r="A134" s="5" t="s">
        <v>45</v>
      </c>
      <c r="B134" s="6">
        <v>40229</v>
      </c>
      <c r="C134" s="5">
        <v>8</v>
      </c>
      <c r="D134" s="5">
        <v>2</v>
      </c>
      <c r="E134" s="5">
        <v>2010</v>
      </c>
      <c r="F134" s="5" t="s">
        <v>14</v>
      </c>
      <c r="G134" s="5" t="s">
        <v>6</v>
      </c>
      <c r="H134" s="7">
        <v>21617</v>
      </c>
      <c r="I134" s="7">
        <v>25362.51</v>
      </c>
      <c r="J134" s="7">
        <v>3745.5099999999984</v>
      </c>
      <c r="K134" s="8">
        <v>0.17326687329416657</v>
      </c>
    </row>
    <row r="135" spans="1:11" x14ac:dyDescent="0.3">
      <c r="A135" s="5" t="s">
        <v>45</v>
      </c>
      <c r="B135" s="6">
        <v>40229</v>
      </c>
      <c r="C135" s="5">
        <v>8</v>
      </c>
      <c r="D135" s="5">
        <v>2</v>
      </c>
      <c r="E135" s="5">
        <v>2010</v>
      </c>
      <c r="F135" s="5" t="s">
        <v>15</v>
      </c>
      <c r="G135" s="5" t="s">
        <v>6</v>
      </c>
      <c r="H135" s="7">
        <v>408951.66</v>
      </c>
      <c r="I135" s="7">
        <v>499331.82</v>
      </c>
      <c r="J135" s="7">
        <v>90380.160000000033</v>
      </c>
      <c r="K135" s="8">
        <v>0.22100450698745186</v>
      </c>
    </row>
    <row r="136" spans="1:11" x14ac:dyDescent="0.3">
      <c r="A136" s="5" t="s">
        <v>45</v>
      </c>
      <c r="B136" s="6">
        <v>40229</v>
      </c>
      <c r="C136" s="5">
        <v>8</v>
      </c>
      <c r="D136" s="5">
        <v>2</v>
      </c>
      <c r="E136" s="5">
        <v>2010</v>
      </c>
      <c r="F136" s="5" t="s">
        <v>16</v>
      </c>
      <c r="G136" s="5" t="s">
        <v>6</v>
      </c>
      <c r="H136" s="7">
        <v>121135.32</v>
      </c>
      <c r="I136" s="7">
        <v>132336.73000000001</v>
      </c>
      <c r="J136" s="7">
        <v>11201.410000000003</v>
      </c>
      <c r="K136" s="8">
        <v>9.2470222557714823E-2</v>
      </c>
    </row>
    <row r="137" spans="1:11" x14ac:dyDescent="0.3">
      <c r="A137" s="5" t="s">
        <v>45</v>
      </c>
      <c r="B137" s="6">
        <v>40229</v>
      </c>
      <c r="C137" s="5">
        <v>8</v>
      </c>
      <c r="D137" s="5">
        <v>2</v>
      </c>
      <c r="E137" s="5">
        <v>2010</v>
      </c>
      <c r="F137" s="5" t="s">
        <v>17</v>
      </c>
      <c r="G137" s="5" t="s">
        <v>6</v>
      </c>
      <c r="H137" s="7">
        <v>3433</v>
      </c>
      <c r="I137" s="7">
        <v>3853.43</v>
      </c>
      <c r="J137" s="7">
        <v>420.42999999999984</v>
      </c>
      <c r="K137" s="8">
        <v>0.12246722982813861</v>
      </c>
    </row>
    <row r="138" spans="1:11" x14ac:dyDescent="0.3">
      <c r="A138" s="5" t="s">
        <v>45</v>
      </c>
      <c r="B138" s="6">
        <v>40229</v>
      </c>
      <c r="C138" s="5">
        <v>8</v>
      </c>
      <c r="D138" s="5">
        <v>2</v>
      </c>
      <c r="E138" s="5">
        <v>2010</v>
      </c>
      <c r="F138" s="5" t="s">
        <v>18</v>
      </c>
      <c r="G138" s="5" t="s">
        <v>6</v>
      </c>
      <c r="H138" s="7">
        <v>8699.0300000000007</v>
      </c>
      <c r="I138" s="7">
        <v>9670.2999999999993</v>
      </c>
      <c r="J138" s="7">
        <v>971.26999999999862</v>
      </c>
      <c r="K138" s="8">
        <v>0.1116526785170299</v>
      </c>
    </row>
    <row r="139" spans="1:11" x14ac:dyDescent="0.3">
      <c r="A139" s="5" t="s">
        <v>45</v>
      </c>
      <c r="B139" s="6">
        <v>40229</v>
      </c>
      <c r="C139" s="5">
        <v>8</v>
      </c>
      <c r="D139" s="5">
        <v>2</v>
      </c>
      <c r="E139" s="5">
        <v>2010</v>
      </c>
      <c r="F139" s="5" t="s">
        <v>19</v>
      </c>
      <c r="G139" s="5" t="s">
        <v>5</v>
      </c>
      <c r="H139" s="7">
        <v>242252.13</v>
      </c>
      <c r="I139" s="7">
        <v>261299.68</v>
      </c>
      <c r="J139" s="7">
        <v>19047.549999999988</v>
      </c>
      <c r="K139" s="8">
        <v>7.8626966045664853E-2</v>
      </c>
    </row>
    <row r="140" spans="1:11" x14ac:dyDescent="0.3">
      <c r="A140" s="5" t="s">
        <v>45</v>
      </c>
      <c r="B140" s="6">
        <v>40229</v>
      </c>
      <c r="C140" s="5">
        <v>8</v>
      </c>
      <c r="D140" s="5">
        <v>2</v>
      </c>
      <c r="E140" s="5">
        <v>2010</v>
      </c>
      <c r="F140" s="5" t="s">
        <v>5</v>
      </c>
      <c r="G140" s="5" t="s">
        <v>5</v>
      </c>
      <c r="H140" s="7">
        <v>642982.51</v>
      </c>
      <c r="I140" s="7">
        <v>682284.32</v>
      </c>
      <c r="J140" s="7">
        <v>39301.809999999939</v>
      </c>
      <c r="K140" s="8">
        <v>6.1124228713468329E-2</v>
      </c>
    </row>
    <row r="141" spans="1:11" x14ac:dyDescent="0.3">
      <c r="A141" s="5" t="s">
        <v>45</v>
      </c>
      <c r="B141" s="6">
        <v>40229</v>
      </c>
      <c r="C141" s="5">
        <v>8</v>
      </c>
      <c r="D141" s="5">
        <v>2</v>
      </c>
      <c r="E141" s="5">
        <v>2010</v>
      </c>
      <c r="F141" s="5" t="s">
        <v>20</v>
      </c>
      <c r="G141" s="5" t="s">
        <v>5</v>
      </c>
      <c r="H141" s="7">
        <v>234457.96</v>
      </c>
      <c r="I141" s="7">
        <v>257615.49</v>
      </c>
      <c r="J141" s="7">
        <v>23157.53</v>
      </c>
      <c r="K141" s="8">
        <v>9.8770500263671998E-2</v>
      </c>
    </row>
    <row r="142" spans="1:11" x14ac:dyDescent="0.3">
      <c r="A142" s="5" t="s">
        <v>45</v>
      </c>
      <c r="B142" s="6">
        <v>40229</v>
      </c>
      <c r="C142" s="5">
        <v>8</v>
      </c>
      <c r="D142" s="5">
        <v>2</v>
      </c>
      <c r="E142" s="5">
        <v>2010</v>
      </c>
      <c r="F142" s="5" t="s">
        <v>21</v>
      </c>
      <c r="G142" s="5" t="s">
        <v>5</v>
      </c>
      <c r="H142" s="7">
        <v>396566.05</v>
      </c>
      <c r="I142" s="7">
        <v>424339.62</v>
      </c>
      <c r="J142" s="7">
        <v>27773.570000000007</v>
      </c>
      <c r="K142" s="8">
        <v>7.0035168164294462E-2</v>
      </c>
    </row>
    <row r="143" spans="1:11" x14ac:dyDescent="0.3">
      <c r="A143" s="5" t="s">
        <v>45</v>
      </c>
      <c r="B143" s="6">
        <v>40229</v>
      </c>
      <c r="C143" s="5">
        <v>8</v>
      </c>
      <c r="D143" s="5">
        <v>2</v>
      </c>
      <c r="E143" s="5">
        <v>2010</v>
      </c>
      <c r="F143" s="5" t="s">
        <v>22</v>
      </c>
      <c r="G143" s="5" t="s">
        <v>8</v>
      </c>
      <c r="H143" s="7">
        <v>602387.64</v>
      </c>
      <c r="I143" s="7">
        <v>659305.89</v>
      </c>
      <c r="J143" s="7">
        <v>56918.25</v>
      </c>
      <c r="K143" s="8">
        <v>9.4487745465693815E-2</v>
      </c>
    </row>
    <row r="144" spans="1:11" x14ac:dyDescent="0.3">
      <c r="A144" s="5" t="s">
        <v>45</v>
      </c>
      <c r="B144" s="6">
        <v>40229</v>
      </c>
      <c r="C144" s="5">
        <v>8</v>
      </c>
      <c r="D144" s="5">
        <v>2</v>
      </c>
      <c r="E144" s="5">
        <v>2010</v>
      </c>
      <c r="F144" s="5" t="s">
        <v>23</v>
      </c>
      <c r="G144" s="5" t="s">
        <v>8</v>
      </c>
      <c r="H144" s="7">
        <v>281714.40000000002</v>
      </c>
      <c r="I144" s="7">
        <v>293335.32</v>
      </c>
      <c r="J144" s="7">
        <v>11620.919999999984</v>
      </c>
      <c r="K144" s="8">
        <v>4.1250713488554303E-2</v>
      </c>
    </row>
    <row r="145" spans="1:11" x14ac:dyDescent="0.3">
      <c r="A145" s="5" t="s">
        <v>45</v>
      </c>
      <c r="B145" s="6">
        <v>40229</v>
      </c>
      <c r="C145" s="5">
        <v>8</v>
      </c>
      <c r="D145" s="5">
        <v>2</v>
      </c>
      <c r="E145" s="5">
        <v>2010</v>
      </c>
      <c r="F145" s="5" t="s">
        <v>24</v>
      </c>
      <c r="G145" s="5" t="s">
        <v>8</v>
      </c>
      <c r="H145" s="7">
        <v>146463</v>
      </c>
      <c r="I145" s="7">
        <v>163725.45000000001</v>
      </c>
      <c r="J145" s="7">
        <v>17262.450000000012</v>
      </c>
      <c r="K145" s="8">
        <v>0.11786219045083067</v>
      </c>
    </row>
    <row r="146" spans="1:11" x14ac:dyDescent="0.3">
      <c r="A146" s="5" t="s">
        <v>45</v>
      </c>
      <c r="B146" s="6">
        <v>40229</v>
      </c>
      <c r="C146" s="5">
        <v>8</v>
      </c>
      <c r="D146" s="5">
        <v>2</v>
      </c>
      <c r="E146" s="5">
        <v>2010</v>
      </c>
      <c r="F146" s="5" t="s">
        <v>25</v>
      </c>
      <c r="G146" s="5" t="s">
        <v>8</v>
      </c>
      <c r="H146" s="7">
        <v>28789.75</v>
      </c>
      <c r="I146" s="7">
        <v>33828.199999999997</v>
      </c>
      <c r="J146" s="7">
        <v>5038.4499999999971</v>
      </c>
      <c r="K146" s="8">
        <v>0.17500846655493699</v>
      </c>
    </row>
    <row r="147" spans="1:11" x14ac:dyDescent="0.3">
      <c r="A147" s="5" t="s">
        <v>45</v>
      </c>
      <c r="B147" s="6">
        <v>40229</v>
      </c>
      <c r="C147" s="5">
        <v>8</v>
      </c>
      <c r="D147" s="5">
        <v>2</v>
      </c>
      <c r="E147" s="5">
        <v>2010</v>
      </c>
      <c r="F147" s="5" t="s">
        <v>26</v>
      </c>
      <c r="G147" s="5" t="s">
        <v>10</v>
      </c>
      <c r="H147" s="7">
        <v>44259.38</v>
      </c>
      <c r="I147" s="7">
        <v>49086.67</v>
      </c>
      <c r="J147" s="7">
        <v>4827.2900000000009</v>
      </c>
      <c r="K147" s="8">
        <v>0.10906817944580338</v>
      </c>
    </row>
    <row r="148" spans="1:11" x14ac:dyDescent="0.3">
      <c r="A148" s="5" t="s">
        <v>45</v>
      </c>
      <c r="B148" s="6">
        <v>40229</v>
      </c>
      <c r="C148" s="5">
        <v>8</v>
      </c>
      <c r="D148" s="5">
        <v>2</v>
      </c>
      <c r="E148" s="5">
        <v>2010</v>
      </c>
      <c r="F148" s="5" t="s">
        <v>27</v>
      </c>
      <c r="G148" s="5" t="s">
        <v>10</v>
      </c>
      <c r="H148" s="7">
        <v>200541.46</v>
      </c>
      <c r="I148" s="7">
        <v>225798.42</v>
      </c>
      <c r="J148" s="7">
        <v>25256.960000000021</v>
      </c>
      <c r="K148" s="8">
        <v>0.12594383226291472</v>
      </c>
    </row>
    <row r="149" spans="1:11" x14ac:dyDescent="0.3">
      <c r="A149" s="5" t="s">
        <v>45</v>
      </c>
      <c r="B149" s="6">
        <v>40229</v>
      </c>
      <c r="C149" s="5">
        <v>8</v>
      </c>
      <c r="D149" s="5">
        <v>2</v>
      </c>
      <c r="E149" s="5">
        <v>2010</v>
      </c>
      <c r="F149" s="5" t="s">
        <v>28</v>
      </c>
      <c r="G149" s="5" t="s">
        <v>10</v>
      </c>
      <c r="H149" s="7">
        <v>131011.61</v>
      </c>
      <c r="I149" s="7">
        <v>148842.54</v>
      </c>
      <c r="J149" s="7">
        <v>17830.930000000008</v>
      </c>
      <c r="K149" s="8">
        <v>0.13610190730424584</v>
      </c>
    </row>
    <row r="150" spans="1:11" x14ac:dyDescent="0.3">
      <c r="A150" s="5" t="s">
        <v>45</v>
      </c>
      <c r="B150" s="6">
        <v>40229</v>
      </c>
      <c r="C150" s="5">
        <v>8</v>
      </c>
      <c r="D150" s="5">
        <v>2</v>
      </c>
      <c r="E150" s="5">
        <v>2010</v>
      </c>
      <c r="F150" s="5" t="s">
        <v>29</v>
      </c>
      <c r="G150" s="5" t="s">
        <v>10</v>
      </c>
      <c r="H150" s="7">
        <v>1059869</v>
      </c>
      <c r="I150" s="7">
        <v>1150432.27</v>
      </c>
      <c r="J150" s="7">
        <v>90563.270000000019</v>
      </c>
      <c r="K150" s="8">
        <v>8.5447607204286583E-2</v>
      </c>
    </row>
    <row r="151" spans="1:11" x14ac:dyDescent="0.3">
      <c r="A151" s="5" t="s">
        <v>45</v>
      </c>
      <c r="B151" s="6">
        <v>40229</v>
      </c>
      <c r="C151" s="5">
        <v>8</v>
      </c>
      <c r="D151" s="5">
        <v>2</v>
      </c>
      <c r="E151" s="5">
        <v>2010</v>
      </c>
      <c r="F151" s="5" t="s">
        <v>30</v>
      </c>
      <c r="G151" s="5" t="s">
        <v>10</v>
      </c>
      <c r="H151" s="7">
        <v>266731.08</v>
      </c>
      <c r="I151" s="7">
        <v>299721.62</v>
      </c>
      <c r="J151" s="7">
        <v>32990.539999999979</v>
      </c>
      <c r="K151" s="8">
        <v>0.12368464897304048</v>
      </c>
    </row>
    <row r="152" spans="1:11" x14ac:dyDescent="0.3">
      <c r="A152" s="5" t="s">
        <v>45</v>
      </c>
      <c r="B152" s="6">
        <v>40229</v>
      </c>
      <c r="C152" s="5">
        <v>8</v>
      </c>
      <c r="D152" s="5">
        <v>2</v>
      </c>
      <c r="E152" s="5">
        <v>2010</v>
      </c>
      <c r="F152" s="5" t="s">
        <v>9</v>
      </c>
      <c r="G152" s="5" t="s">
        <v>9</v>
      </c>
      <c r="H152" s="7">
        <v>1520</v>
      </c>
      <c r="I152" s="7">
        <v>1902.83</v>
      </c>
      <c r="J152" s="7">
        <v>382.82999999999993</v>
      </c>
      <c r="K152" s="8">
        <v>0.25186184210526313</v>
      </c>
    </row>
    <row r="153" spans="1:11" x14ac:dyDescent="0.3">
      <c r="A153" s="5" t="s">
        <v>45</v>
      </c>
      <c r="B153" s="6">
        <v>40229</v>
      </c>
      <c r="C153" s="5">
        <v>8</v>
      </c>
      <c r="D153" s="5">
        <v>2</v>
      </c>
      <c r="E153" s="5">
        <v>2010</v>
      </c>
      <c r="F153" s="5" t="s">
        <v>31</v>
      </c>
      <c r="G153" s="5" t="s">
        <v>7</v>
      </c>
      <c r="H153" s="7">
        <v>54327.7</v>
      </c>
      <c r="I153" s="7">
        <v>65619.19</v>
      </c>
      <c r="J153" s="7">
        <v>11291.490000000005</v>
      </c>
      <c r="K153" s="8">
        <v>0.20784038345079961</v>
      </c>
    </row>
    <row r="154" spans="1:11" x14ac:dyDescent="0.3">
      <c r="A154" s="5" t="s">
        <v>45</v>
      </c>
      <c r="B154" s="6">
        <v>40229</v>
      </c>
      <c r="C154" s="5">
        <v>8</v>
      </c>
      <c r="D154" s="5">
        <v>2</v>
      </c>
      <c r="E154" s="5">
        <v>2010</v>
      </c>
      <c r="F154" s="5" t="s">
        <v>32</v>
      </c>
      <c r="G154" s="5" t="s">
        <v>7</v>
      </c>
      <c r="H154" s="7">
        <v>56700.55</v>
      </c>
      <c r="I154" s="7">
        <v>65196.88</v>
      </c>
      <c r="J154" s="7">
        <v>8496.3299999999945</v>
      </c>
      <c r="K154" s="8">
        <v>0.14984563641798879</v>
      </c>
    </row>
    <row r="155" spans="1:11" x14ac:dyDescent="0.3">
      <c r="A155" s="5" t="s">
        <v>45</v>
      </c>
      <c r="B155" s="6">
        <v>40229</v>
      </c>
      <c r="C155" s="5">
        <v>8</v>
      </c>
      <c r="D155" s="5">
        <v>2</v>
      </c>
      <c r="E155" s="5">
        <v>2010</v>
      </c>
      <c r="F155" s="5" t="s">
        <v>33</v>
      </c>
      <c r="G155" s="5" t="s">
        <v>7</v>
      </c>
      <c r="H155" s="7">
        <v>379295.85</v>
      </c>
      <c r="I155" s="7">
        <v>513292.07</v>
      </c>
      <c r="J155" s="7">
        <v>133996.22000000003</v>
      </c>
      <c r="K155" s="8">
        <v>0.35327626178878579</v>
      </c>
    </row>
    <row r="156" spans="1:11" x14ac:dyDescent="0.3">
      <c r="A156" s="5" t="s">
        <v>45</v>
      </c>
      <c r="B156" s="6">
        <v>40229</v>
      </c>
      <c r="C156" s="5">
        <v>8</v>
      </c>
      <c r="D156" s="5">
        <v>2</v>
      </c>
      <c r="E156" s="5">
        <v>2010</v>
      </c>
      <c r="F156" s="5" t="s">
        <v>35</v>
      </c>
      <c r="G156" s="5" t="s">
        <v>11</v>
      </c>
      <c r="H156" s="7">
        <v>3444.2</v>
      </c>
      <c r="I156" s="7">
        <v>4476.38</v>
      </c>
      <c r="J156" s="7">
        <v>1032.1800000000003</v>
      </c>
      <c r="K156" s="8">
        <v>0.29968642935950301</v>
      </c>
    </row>
    <row r="157" spans="1:11" x14ac:dyDescent="0.3">
      <c r="A157" s="5" t="s">
        <v>45</v>
      </c>
      <c r="B157" s="6">
        <v>40229</v>
      </c>
      <c r="C157" s="5">
        <v>8</v>
      </c>
      <c r="D157" s="5">
        <v>2</v>
      </c>
      <c r="E157" s="5">
        <v>2010</v>
      </c>
      <c r="F157" s="5" t="s">
        <v>36</v>
      </c>
      <c r="G157" s="5" t="s">
        <v>11</v>
      </c>
      <c r="H157" s="7">
        <v>226984.34</v>
      </c>
      <c r="I157" s="7">
        <v>246507.4</v>
      </c>
      <c r="J157" s="7">
        <v>19523.059999999998</v>
      </c>
      <c r="K157" s="8">
        <v>8.6010603198440908E-2</v>
      </c>
    </row>
    <row r="158" spans="1:11" x14ac:dyDescent="0.3">
      <c r="A158" s="5" t="s">
        <v>45</v>
      </c>
      <c r="B158" s="6">
        <v>40229</v>
      </c>
      <c r="C158" s="5">
        <v>8</v>
      </c>
      <c r="D158" s="5">
        <v>2</v>
      </c>
      <c r="E158" s="5">
        <v>2010</v>
      </c>
      <c r="F158" s="5" t="s">
        <v>37</v>
      </c>
      <c r="G158" s="5" t="s">
        <v>11</v>
      </c>
      <c r="H158" s="7">
        <v>596846.01</v>
      </c>
      <c r="I158" s="7">
        <v>621352.95999999996</v>
      </c>
      <c r="J158" s="7">
        <v>24506.949999999953</v>
      </c>
      <c r="K158" s="8">
        <v>4.1060758703907484E-2</v>
      </c>
    </row>
    <row r="159" spans="1:11" x14ac:dyDescent="0.3">
      <c r="A159" s="5" t="s">
        <v>45</v>
      </c>
      <c r="B159" s="6">
        <v>40229</v>
      </c>
      <c r="C159" s="5">
        <v>8</v>
      </c>
      <c r="D159" s="5">
        <v>2</v>
      </c>
      <c r="E159" s="5">
        <v>2010</v>
      </c>
      <c r="F159" s="5" t="s">
        <v>38</v>
      </c>
      <c r="G159" s="5" t="s">
        <v>11</v>
      </c>
      <c r="H159" s="7">
        <v>407829.92</v>
      </c>
      <c r="I159" s="7">
        <v>437581.33</v>
      </c>
      <c r="J159" s="7">
        <v>29751.410000000033</v>
      </c>
      <c r="K159" s="8">
        <v>7.2950532908424265E-2</v>
      </c>
    </row>
    <row r="160" spans="1:11" x14ac:dyDescent="0.3">
      <c r="A160" s="5" t="s">
        <v>45</v>
      </c>
      <c r="B160" s="6">
        <v>40230</v>
      </c>
      <c r="C160" s="5">
        <v>9</v>
      </c>
      <c r="D160" s="5">
        <v>2</v>
      </c>
      <c r="E160" s="5">
        <v>2010</v>
      </c>
      <c r="F160" s="5" t="s">
        <v>14</v>
      </c>
      <c r="G160" s="5" t="s">
        <v>6</v>
      </c>
      <c r="H160" s="7">
        <v>14145</v>
      </c>
      <c r="I160" s="7">
        <v>16789.28</v>
      </c>
      <c r="J160" s="7">
        <v>2644.2799999999988</v>
      </c>
      <c r="K160" s="8">
        <v>0.1869409685401201</v>
      </c>
    </row>
    <row r="161" spans="1:11" x14ac:dyDescent="0.3">
      <c r="A161" s="5" t="s">
        <v>45</v>
      </c>
      <c r="B161" s="6">
        <v>40230</v>
      </c>
      <c r="C161" s="5">
        <v>9</v>
      </c>
      <c r="D161" s="5">
        <v>2</v>
      </c>
      <c r="E161" s="5">
        <v>2010</v>
      </c>
      <c r="F161" s="5" t="s">
        <v>15</v>
      </c>
      <c r="G161" s="5" t="s">
        <v>6</v>
      </c>
      <c r="H161" s="7">
        <v>315423.78000000003</v>
      </c>
      <c r="I161" s="7">
        <v>374684.28</v>
      </c>
      <c r="J161" s="7">
        <v>59260.5</v>
      </c>
      <c r="K161" s="8">
        <v>0.18787581583100676</v>
      </c>
    </row>
    <row r="162" spans="1:11" x14ac:dyDescent="0.3">
      <c r="A162" s="5" t="s">
        <v>45</v>
      </c>
      <c r="B162" s="6">
        <v>40230</v>
      </c>
      <c r="C162" s="5">
        <v>9</v>
      </c>
      <c r="D162" s="5">
        <v>2</v>
      </c>
      <c r="E162" s="5">
        <v>2010</v>
      </c>
      <c r="F162" s="5" t="s">
        <v>16</v>
      </c>
      <c r="G162" s="5" t="s">
        <v>6</v>
      </c>
      <c r="H162" s="7">
        <v>116703.92</v>
      </c>
      <c r="I162" s="7">
        <v>127669.08</v>
      </c>
      <c r="J162" s="7">
        <v>10965.160000000003</v>
      </c>
      <c r="K162" s="8">
        <v>9.3957083875160358E-2</v>
      </c>
    </row>
    <row r="163" spans="1:11" x14ac:dyDescent="0.3">
      <c r="A163" s="5" t="s">
        <v>45</v>
      </c>
      <c r="B163" s="6">
        <v>40230</v>
      </c>
      <c r="C163" s="5">
        <v>9</v>
      </c>
      <c r="D163" s="5">
        <v>2</v>
      </c>
      <c r="E163" s="5">
        <v>2010</v>
      </c>
      <c r="F163" s="5" t="s">
        <v>17</v>
      </c>
      <c r="G163" s="5" t="s">
        <v>6</v>
      </c>
      <c r="H163" s="7">
        <v>2074</v>
      </c>
      <c r="I163" s="7">
        <v>2208.62</v>
      </c>
      <c r="J163" s="7">
        <v>134.61999999999989</v>
      </c>
      <c r="K163" s="8">
        <v>6.4908389585342285E-2</v>
      </c>
    </row>
    <row r="164" spans="1:11" x14ac:dyDescent="0.3">
      <c r="A164" s="5" t="s">
        <v>45</v>
      </c>
      <c r="B164" s="6">
        <v>40230</v>
      </c>
      <c r="C164" s="5">
        <v>9</v>
      </c>
      <c r="D164" s="5">
        <v>2</v>
      </c>
      <c r="E164" s="5">
        <v>2010</v>
      </c>
      <c r="F164" s="5" t="s">
        <v>18</v>
      </c>
      <c r="G164" s="5" t="s">
        <v>6</v>
      </c>
      <c r="H164" s="7">
        <v>13369.54</v>
      </c>
      <c r="I164" s="7">
        <v>14981.85</v>
      </c>
      <c r="J164" s="7">
        <v>1612.3099999999995</v>
      </c>
      <c r="K164" s="8">
        <v>0.12059577218064342</v>
      </c>
    </row>
    <row r="165" spans="1:11" x14ac:dyDescent="0.3">
      <c r="A165" s="5" t="s">
        <v>45</v>
      </c>
      <c r="B165" s="6">
        <v>40230</v>
      </c>
      <c r="C165" s="5">
        <v>9</v>
      </c>
      <c r="D165" s="5">
        <v>2</v>
      </c>
      <c r="E165" s="5">
        <v>2010</v>
      </c>
      <c r="F165" s="5" t="s">
        <v>19</v>
      </c>
      <c r="G165" s="5" t="s">
        <v>5</v>
      </c>
      <c r="H165" s="7">
        <v>208289.24</v>
      </c>
      <c r="I165" s="7">
        <v>227333.11</v>
      </c>
      <c r="J165" s="7">
        <v>19043.869999999995</v>
      </c>
      <c r="K165" s="8">
        <v>9.1429926961181462E-2</v>
      </c>
    </row>
    <row r="166" spans="1:11" x14ac:dyDescent="0.3">
      <c r="A166" s="5" t="s">
        <v>45</v>
      </c>
      <c r="B166" s="6">
        <v>40230</v>
      </c>
      <c r="C166" s="5">
        <v>9</v>
      </c>
      <c r="D166" s="5">
        <v>2</v>
      </c>
      <c r="E166" s="5">
        <v>2010</v>
      </c>
      <c r="F166" s="5" t="s">
        <v>5</v>
      </c>
      <c r="G166" s="5" t="s">
        <v>5</v>
      </c>
      <c r="H166" s="7">
        <v>726807.45</v>
      </c>
      <c r="I166" s="7">
        <v>767670.48</v>
      </c>
      <c r="J166" s="7">
        <v>40863.030000000028</v>
      </c>
      <c r="K166" s="8">
        <v>5.6222635032153329E-2</v>
      </c>
    </row>
    <row r="167" spans="1:11" x14ac:dyDescent="0.3">
      <c r="A167" s="5" t="s">
        <v>45</v>
      </c>
      <c r="B167" s="6">
        <v>40230</v>
      </c>
      <c r="C167" s="5">
        <v>9</v>
      </c>
      <c r="D167" s="5">
        <v>2</v>
      </c>
      <c r="E167" s="5">
        <v>2010</v>
      </c>
      <c r="F167" s="5" t="s">
        <v>20</v>
      </c>
      <c r="G167" s="5" t="s">
        <v>5</v>
      </c>
      <c r="H167" s="7">
        <v>187942.95</v>
      </c>
      <c r="I167" s="7">
        <v>206881.84</v>
      </c>
      <c r="J167" s="7">
        <v>18938.889999999985</v>
      </c>
      <c r="K167" s="8">
        <v>0.10076935580717437</v>
      </c>
    </row>
    <row r="168" spans="1:11" x14ac:dyDescent="0.3">
      <c r="A168" s="5" t="s">
        <v>45</v>
      </c>
      <c r="B168" s="6">
        <v>40230</v>
      </c>
      <c r="C168" s="5">
        <v>9</v>
      </c>
      <c r="D168" s="5">
        <v>2</v>
      </c>
      <c r="E168" s="5">
        <v>2010</v>
      </c>
      <c r="F168" s="5" t="s">
        <v>21</v>
      </c>
      <c r="G168" s="5" t="s">
        <v>5</v>
      </c>
      <c r="H168" s="7">
        <v>333945.87</v>
      </c>
      <c r="I168" s="7">
        <v>353283.96</v>
      </c>
      <c r="J168" s="7">
        <v>19338.090000000026</v>
      </c>
      <c r="K168" s="8">
        <v>5.790785794116881E-2</v>
      </c>
    </row>
    <row r="169" spans="1:11" x14ac:dyDescent="0.3">
      <c r="A169" s="5" t="s">
        <v>45</v>
      </c>
      <c r="B169" s="6">
        <v>40230</v>
      </c>
      <c r="C169" s="5">
        <v>9</v>
      </c>
      <c r="D169" s="5">
        <v>2</v>
      </c>
      <c r="E169" s="5">
        <v>2010</v>
      </c>
      <c r="F169" s="5" t="s">
        <v>22</v>
      </c>
      <c r="G169" s="5" t="s">
        <v>8</v>
      </c>
      <c r="H169" s="7">
        <v>404340.5</v>
      </c>
      <c r="I169" s="7">
        <v>444040.09</v>
      </c>
      <c r="J169" s="7">
        <v>39699.590000000026</v>
      </c>
      <c r="K169" s="8">
        <v>9.8183560637630965E-2</v>
      </c>
    </row>
    <row r="170" spans="1:11" x14ac:dyDescent="0.3">
      <c r="A170" s="5" t="s">
        <v>45</v>
      </c>
      <c r="B170" s="6">
        <v>40230</v>
      </c>
      <c r="C170" s="5">
        <v>9</v>
      </c>
      <c r="D170" s="5">
        <v>2</v>
      </c>
      <c r="E170" s="5">
        <v>2010</v>
      </c>
      <c r="F170" s="5" t="s">
        <v>23</v>
      </c>
      <c r="G170" s="5" t="s">
        <v>8</v>
      </c>
      <c r="H170" s="7">
        <v>253882.4</v>
      </c>
      <c r="I170" s="7">
        <v>265079.74</v>
      </c>
      <c r="J170" s="7">
        <v>11197.339999999997</v>
      </c>
      <c r="K170" s="8">
        <v>4.4104435754506802E-2</v>
      </c>
    </row>
    <row r="171" spans="1:11" x14ac:dyDescent="0.3">
      <c r="A171" s="5" t="s">
        <v>45</v>
      </c>
      <c r="B171" s="6">
        <v>40230</v>
      </c>
      <c r="C171" s="5">
        <v>9</v>
      </c>
      <c r="D171" s="5">
        <v>2</v>
      </c>
      <c r="E171" s="5">
        <v>2010</v>
      </c>
      <c r="F171" s="5" t="s">
        <v>24</v>
      </c>
      <c r="G171" s="5" t="s">
        <v>8</v>
      </c>
      <c r="H171" s="7">
        <v>90248</v>
      </c>
      <c r="I171" s="7">
        <v>101452.07</v>
      </c>
      <c r="J171" s="7">
        <v>11204.070000000007</v>
      </c>
      <c r="K171" s="8">
        <v>0.12414757113731061</v>
      </c>
    </row>
    <row r="172" spans="1:11" x14ac:dyDescent="0.3">
      <c r="A172" s="5" t="s">
        <v>45</v>
      </c>
      <c r="B172" s="6">
        <v>40230</v>
      </c>
      <c r="C172" s="5">
        <v>9</v>
      </c>
      <c r="D172" s="5">
        <v>2</v>
      </c>
      <c r="E172" s="5">
        <v>2010</v>
      </c>
      <c r="F172" s="5" t="s">
        <v>25</v>
      </c>
      <c r="G172" s="5" t="s">
        <v>8</v>
      </c>
      <c r="H172" s="7">
        <v>25483.1</v>
      </c>
      <c r="I172" s="7">
        <v>27367.38</v>
      </c>
      <c r="J172" s="7">
        <v>1884.2800000000025</v>
      </c>
      <c r="K172" s="8">
        <v>7.3942338255549855E-2</v>
      </c>
    </row>
    <row r="173" spans="1:11" x14ac:dyDescent="0.3">
      <c r="A173" s="5" t="s">
        <v>45</v>
      </c>
      <c r="B173" s="6">
        <v>40230</v>
      </c>
      <c r="C173" s="5">
        <v>9</v>
      </c>
      <c r="D173" s="5">
        <v>2</v>
      </c>
      <c r="E173" s="5">
        <v>2010</v>
      </c>
      <c r="F173" s="5" t="s">
        <v>26</v>
      </c>
      <c r="G173" s="5" t="s">
        <v>10</v>
      </c>
      <c r="H173" s="7">
        <v>36207.279999999999</v>
      </c>
      <c r="I173" s="7">
        <v>40114.74</v>
      </c>
      <c r="J173" s="7">
        <v>3907.4599999999991</v>
      </c>
      <c r="K173" s="8">
        <v>0.10791918089400804</v>
      </c>
    </row>
    <row r="174" spans="1:11" x14ac:dyDescent="0.3">
      <c r="A174" s="5" t="s">
        <v>45</v>
      </c>
      <c r="B174" s="6">
        <v>40230</v>
      </c>
      <c r="C174" s="5">
        <v>9</v>
      </c>
      <c r="D174" s="5">
        <v>2</v>
      </c>
      <c r="E174" s="5">
        <v>2010</v>
      </c>
      <c r="F174" s="5" t="s">
        <v>27</v>
      </c>
      <c r="G174" s="5" t="s">
        <v>10</v>
      </c>
      <c r="H174" s="7">
        <v>153237.54</v>
      </c>
      <c r="I174" s="7">
        <v>172650.58</v>
      </c>
      <c r="J174" s="7">
        <v>19413.039999999979</v>
      </c>
      <c r="K174" s="8">
        <v>0.12668592826535832</v>
      </c>
    </row>
    <row r="175" spans="1:11" x14ac:dyDescent="0.3">
      <c r="A175" s="5" t="s">
        <v>45</v>
      </c>
      <c r="B175" s="6">
        <v>40230</v>
      </c>
      <c r="C175" s="5">
        <v>9</v>
      </c>
      <c r="D175" s="5">
        <v>2</v>
      </c>
      <c r="E175" s="5">
        <v>2010</v>
      </c>
      <c r="F175" s="5" t="s">
        <v>28</v>
      </c>
      <c r="G175" s="5" t="s">
        <v>10</v>
      </c>
      <c r="H175" s="7">
        <v>93246.35</v>
      </c>
      <c r="I175" s="7">
        <v>102883.64</v>
      </c>
      <c r="J175" s="7">
        <v>9637.2899999999936</v>
      </c>
      <c r="K175" s="8">
        <v>0.10335299987613449</v>
      </c>
    </row>
    <row r="176" spans="1:11" x14ac:dyDescent="0.3">
      <c r="A176" s="5" t="s">
        <v>45</v>
      </c>
      <c r="B176" s="6">
        <v>40230</v>
      </c>
      <c r="C176" s="5">
        <v>9</v>
      </c>
      <c r="D176" s="5">
        <v>2</v>
      </c>
      <c r="E176" s="5">
        <v>2010</v>
      </c>
      <c r="F176" s="5" t="s">
        <v>29</v>
      </c>
      <c r="G176" s="5" t="s">
        <v>10</v>
      </c>
      <c r="H176" s="7">
        <v>1000761.33</v>
      </c>
      <c r="I176" s="7">
        <v>1083675.43</v>
      </c>
      <c r="J176" s="7">
        <v>82914.099999999977</v>
      </c>
      <c r="K176" s="8">
        <v>8.2851023030636073E-2</v>
      </c>
    </row>
    <row r="177" spans="1:11" x14ac:dyDescent="0.3">
      <c r="A177" s="5" t="s">
        <v>45</v>
      </c>
      <c r="B177" s="6">
        <v>40230</v>
      </c>
      <c r="C177" s="5">
        <v>9</v>
      </c>
      <c r="D177" s="5">
        <v>2</v>
      </c>
      <c r="E177" s="5">
        <v>2010</v>
      </c>
      <c r="F177" s="5" t="s">
        <v>30</v>
      </c>
      <c r="G177" s="5" t="s">
        <v>10</v>
      </c>
      <c r="H177" s="7">
        <v>175485.7</v>
      </c>
      <c r="I177" s="7">
        <v>198413.4</v>
      </c>
      <c r="J177" s="7">
        <v>22927.699999999983</v>
      </c>
      <c r="K177" s="8">
        <v>0.13065281102676732</v>
      </c>
    </row>
    <row r="178" spans="1:11" x14ac:dyDescent="0.3">
      <c r="A178" s="5" t="s">
        <v>45</v>
      </c>
      <c r="B178" s="6">
        <v>40230</v>
      </c>
      <c r="C178" s="5">
        <v>9</v>
      </c>
      <c r="D178" s="5">
        <v>2</v>
      </c>
      <c r="E178" s="5">
        <v>2010</v>
      </c>
      <c r="F178" s="5" t="s">
        <v>9</v>
      </c>
      <c r="G178" s="5" t="s">
        <v>9</v>
      </c>
      <c r="H178" s="7">
        <v>760</v>
      </c>
      <c r="I178" s="7">
        <v>958.87</v>
      </c>
      <c r="J178" s="7">
        <v>198.87</v>
      </c>
      <c r="K178" s="8">
        <v>0.26167105263157897</v>
      </c>
    </row>
    <row r="179" spans="1:11" x14ac:dyDescent="0.3">
      <c r="A179" s="5" t="s">
        <v>45</v>
      </c>
      <c r="B179" s="6">
        <v>40230</v>
      </c>
      <c r="C179" s="5">
        <v>9</v>
      </c>
      <c r="D179" s="5">
        <v>2</v>
      </c>
      <c r="E179" s="5">
        <v>2010</v>
      </c>
      <c r="F179" s="5" t="s">
        <v>31</v>
      </c>
      <c r="G179" s="5" t="s">
        <v>7</v>
      </c>
      <c r="H179" s="7">
        <v>31501.919999999998</v>
      </c>
      <c r="I179" s="7">
        <v>41215.89</v>
      </c>
      <c r="J179" s="7">
        <v>9713.9700000000012</v>
      </c>
      <c r="K179" s="8">
        <v>0.30836120465038325</v>
      </c>
    </row>
    <row r="180" spans="1:11" x14ac:dyDescent="0.3">
      <c r="A180" s="5" t="s">
        <v>45</v>
      </c>
      <c r="B180" s="6">
        <v>40230</v>
      </c>
      <c r="C180" s="5">
        <v>9</v>
      </c>
      <c r="D180" s="5">
        <v>2</v>
      </c>
      <c r="E180" s="5">
        <v>2010</v>
      </c>
      <c r="F180" s="5" t="s">
        <v>32</v>
      </c>
      <c r="G180" s="5" t="s">
        <v>7</v>
      </c>
      <c r="H180" s="7">
        <v>42066.79</v>
      </c>
      <c r="I180" s="7">
        <v>48370.76</v>
      </c>
      <c r="J180" s="7">
        <v>6303.9700000000012</v>
      </c>
      <c r="K180" s="8">
        <v>0.14985621674484792</v>
      </c>
    </row>
    <row r="181" spans="1:11" x14ac:dyDescent="0.3">
      <c r="A181" s="5" t="s">
        <v>45</v>
      </c>
      <c r="B181" s="6">
        <v>40230</v>
      </c>
      <c r="C181" s="5">
        <v>9</v>
      </c>
      <c r="D181" s="5">
        <v>2</v>
      </c>
      <c r="E181" s="5">
        <v>2010</v>
      </c>
      <c r="F181" s="5" t="s">
        <v>33</v>
      </c>
      <c r="G181" s="5" t="s">
        <v>7</v>
      </c>
      <c r="H181" s="7">
        <v>264362.77</v>
      </c>
      <c r="I181" s="7">
        <v>371441.05</v>
      </c>
      <c r="J181" s="7">
        <v>107078.27999999997</v>
      </c>
      <c r="K181" s="8">
        <v>0.40504296425703196</v>
      </c>
    </row>
    <row r="182" spans="1:11" x14ac:dyDescent="0.3">
      <c r="A182" s="5" t="s">
        <v>45</v>
      </c>
      <c r="B182" s="6">
        <v>40230</v>
      </c>
      <c r="C182" s="5">
        <v>9</v>
      </c>
      <c r="D182" s="5">
        <v>2</v>
      </c>
      <c r="E182" s="5">
        <v>2010</v>
      </c>
      <c r="F182" s="5" t="s">
        <v>34</v>
      </c>
      <c r="G182" s="5" t="s">
        <v>7</v>
      </c>
      <c r="H182" s="7">
        <v>380</v>
      </c>
      <c r="I182" s="7">
        <v>474.95</v>
      </c>
      <c r="J182" s="7">
        <v>94.949999999999989</v>
      </c>
      <c r="K182" s="8">
        <v>0.24986842105263155</v>
      </c>
    </row>
    <row r="183" spans="1:11" x14ac:dyDescent="0.3">
      <c r="A183" s="5" t="s">
        <v>45</v>
      </c>
      <c r="B183" s="6">
        <v>40230</v>
      </c>
      <c r="C183" s="5">
        <v>9</v>
      </c>
      <c r="D183" s="5">
        <v>2</v>
      </c>
      <c r="E183" s="5">
        <v>2010</v>
      </c>
      <c r="F183" s="5" t="s">
        <v>35</v>
      </c>
      <c r="G183" s="5" t="s">
        <v>11</v>
      </c>
      <c r="H183" s="7">
        <v>1573.88</v>
      </c>
      <c r="I183" s="7">
        <v>2045.81</v>
      </c>
      <c r="J183" s="7">
        <v>471.92999999999984</v>
      </c>
      <c r="K183" s="8">
        <v>0.29985132284545191</v>
      </c>
    </row>
    <row r="184" spans="1:11" x14ac:dyDescent="0.3">
      <c r="A184" s="5" t="s">
        <v>45</v>
      </c>
      <c r="B184" s="6">
        <v>40230</v>
      </c>
      <c r="C184" s="5">
        <v>9</v>
      </c>
      <c r="D184" s="5">
        <v>2</v>
      </c>
      <c r="E184" s="5">
        <v>2010</v>
      </c>
      <c r="F184" s="5" t="s">
        <v>36</v>
      </c>
      <c r="G184" s="5" t="s">
        <v>11</v>
      </c>
      <c r="H184" s="7">
        <v>254190.85</v>
      </c>
      <c r="I184" s="7">
        <v>276255.74</v>
      </c>
      <c r="J184" s="7">
        <v>22064.889999999985</v>
      </c>
      <c r="K184" s="8">
        <v>8.680442273984286E-2</v>
      </c>
    </row>
    <row r="185" spans="1:11" x14ac:dyDescent="0.3">
      <c r="A185" s="5" t="s">
        <v>45</v>
      </c>
      <c r="B185" s="6">
        <v>40230</v>
      </c>
      <c r="C185" s="5">
        <v>9</v>
      </c>
      <c r="D185" s="5">
        <v>2</v>
      </c>
      <c r="E185" s="5">
        <v>2010</v>
      </c>
      <c r="F185" s="5" t="s">
        <v>37</v>
      </c>
      <c r="G185" s="5" t="s">
        <v>11</v>
      </c>
      <c r="H185" s="7">
        <v>517836.01</v>
      </c>
      <c r="I185" s="7">
        <v>543298.12</v>
      </c>
      <c r="J185" s="7">
        <v>25462.109999999986</v>
      </c>
      <c r="K185" s="8">
        <v>4.9170218965652823E-2</v>
      </c>
    </row>
    <row r="186" spans="1:11" x14ac:dyDescent="0.3">
      <c r="A186" s="5" t="s">
        <v>45</v>
      </c>
      <c r="B186" s="6">
        <v>40230</v>
      </c>
      <c r="C186" s="5">
        <v>9</v>
      </c>
      <c r="D186" s="5">
        <v>2</v>
      </c>
      <c r="E186" s="5">
        <v>2010</v>
      </c>
      <c r="F186" s="5" t="s">
        <v>38</v>
      </c>
      <c r="G186" s="5" t="s">
        <v>11</v>
      </c>
      <c r="H186" s="7">
        <v>462276.13</v>
      </c>
      <c r="I186" s="7">
        <v>496634.1</v>
      </c>
      <c r="J186" s="7">
        <v>34357.969999999972</v>
      </c>
      <c r="K186" s="8">
        <v>7.432347848027536E-2</v>
      </c>
    </row>
    <row r="187" spans="1:11" x14ac:dyDescent="0.3">
      <c r="A187" s="5" t="s">
        <v>45</v>
      </c>
      <c r="B187" s="6">
        <v>40231</v>
      </c>
      <c r="C187" s="5">
        <v>9</v>
      </c>
      <c r="D187" s="5">
        <v>2</v>
      </c>
      <c r="E187" s="5">
        <v>2010</v>
      </c>
      <c r="F187" s="5" t="s">
        <v>14</v>
      </c>
      <c r="G187" s="5" t="s">
        <v>6</v>
      </c>
      <c r="H187" s="7">
        <v>7842</v>
      </c>
      <c r="I187" s="7">
        <v>9507.7199999999993</v>
      </c>
      <c r="J187" s="7">
        <v>1665.7199999999993</v>
      </c>
      <c r="K187" s="8">
        <v>0.21241009946442227</v>
      </c>
    </row>
    <row r="188" spans="1:11" x14ac:dyDescent="0.3">
      <c r="A188" s="5" t="s">
        <v>45</v>
      </c>
      <c r="B188" s="6">
        <v>40231</v>
      </c>
      <c r="C188" s="5">
        <v>9</v>
      </c>
      <c r="D188" s="5">
        <v>2</v>
      </c>
      <c r="E188" s="5">
        <v>2010</v>
      </c>
      <c r="F188" s="5" t="s">
        <v>15</v>
      </c>
      <c r="G188" s="5" t="s">
        <v>6</v>
      </c>
      <c r="H188" s="7">
        <v>295709.12</v>
      </c>
      <c r="I188" s="7">
        <v>355564.71</v>
      </c>
      <c r="J188" s="7">
        <v>59855.590000000026</v>
      </c>
      <c r="K188" s="8">
        <v>0.20241374361399481</v>
      </c>
    </row>
    <row r="189" spans="1:11" x14ac:dyDescent="0.3">
      <c r="A189" s="5" t="s">
        <v>45</v>
      </c>
      <c r="B189" s="6">
        <v>40231</v>
      </c>
      <c r="C189" s="5">
        <v>9</v>
      </c>
      <c r="D189" s="5">
        <v>2</v>
      </c>
      <c r="E189" s="5">
        <v>2010</v>
      </c>
      <c r="F189" s="5" t="s">
        <v>16</v>
      </c>
      <c r="G189" s="5" t="s">
        <v>6</v>
      </c>
      <c r="H189" s="7">
        <v>103644.75</v>
      </c>
      <c r="I189" s="7">
        <v>114032.1</v>
      </c>
      <c r="J189" s="7">
        <v>10387.350000000006</v>
      </c>
      <c r="K189" s="8">
        <v>0.10022070582446295</v>
      </c>
    </row>
    <row r="190" spans="1:11" x14ac:dyDescent="0.3">
      <c r="A190" s="5" t="s">
        <v>45</v>
      </c>
      <c r="B190" s="6">
        <v>40231</v>
      </c>
      <c r="C190" s="5">
        <v>9</v>
      </c>
      <c r="D190" s="5">
        <v>2</v>
      </c>
      <c r="E190" s="5">
        <v>2010</v>
      </c>
      <c r="F190" s="5" t="s">
        <v>17</v>
      </c>
      <c r="G190" s="5" t="s">
        <v>6</v>
      </c>
      <c r="H190" s="7">
        <v>1420</v>
      </c>
      <c r="I190" s="7">
        <v>1449.2</v>
      </c>
      <c r="J190" s="7">
        <v>29.200000000000045</v>
      </c>
      <c r="K190" s="8">
        <v>2.0563380281690174E-2</v>
      </c>
    </row>
    <row r="191" spans="1:11" x14ac:dyDescent="0.3">
      <c r="A191" s="5" t="s">
        <v>45</v>
      </c>
      <c r="B191" s="6">
        <v>40231</v>
      </c>
      <c r="C191" s="5">
        <v>9</v>
      </c>
      <c r="D191" s="5">
        <v>2</v>
      </c>
      <c r="E191" s="5">
        <v>2010</v>
      </c>
      <c r="F191" s="5" t="s">
        <v>18</v>
      </c>
      <c r="G191" s="5" t="s">
        <v>6</v>
      </c>
      <c r="H191" s="7">
        <v>6569.77</v>
      </c>
      <c r="I191" s="7">
        <v>7198.52</v>
      </c>
      <c r="J191" s="7">
        <v>628.75</v>
      </c>
      <c r="K191" s="8">
        <v>9.5703502557928199E-2</v>
      </c>
    </row>
    <row r="192" spans="1:11" x14ac:dyDescent="0.3">
      <c r="A192" s="5" t="s">
        <v>45</v>
      </c>
      <c r="B192" s="6">
        <v>40231</v>
      </c>
      <c r="C192" s="5">
        <v>9</v>
      </c>
      <c r="D192" s="5">
        <v>2</v>
      </c>
      <c r="E192" s="5">
        <v>2010</v>
      </c>
      <c r="F192" s="5" t="s">
        <v>19</v>
      </c>
      <c r="G192" s="5" t="s">
        <v>5</v>
      </c>
      <c r="H192" s="7">
        <v>154747.39000000001</v>
      </c>
      <c r="I192" s="7">
        <v>170051.76</v>
      </c>
      <c r="J192" s="7">
        <v>15304.369999999995</v>
      </c>
      <c r="K192" s="8">
        <v>9.8899050898370519E-2</v>
      </c>
    </row>
    <row r="193" spans="1:11" x14ac:dyDescent="0.3">
      <c r="A193" s="5" t="s">
        <v>45</v>
      </c>
      <c r="B193" s="6">
        <v>40231</v>
      </c>
      <c r="C193" s="5">
        <v>9</v>
      </c>
      <c r="D193" s="5">
        <v>2</v>
      </c>
      <c r="E193" s="5">
        <v>2010</v>
      </c>
      <c r="F193" s="5" t="s">
        <v>5</v>
      </c>
      <c r="G193" s="5" t="s">
        <v>5</v>
      </c>
      <c r="H193" s="7">
        <v>304174.94</v>
      </c>
      <c r="I193" s="7">
        <v>328018.28000000003</v>
      </c>
      <c r="J193" s="7">
        <v>23843.340000000026</v>
      </c>
      <c r="K193" s="8">
        <v>7.838693088917853E-2</v>
      </c>
    </row>
    <row r="194" spans="1:11" x14ac:dyDescent="0.3">
      <c r="A194" s="5" t="s">
        <v>45</v>
      </c>
      <c r="B194" s="6">
        <v>40231</v>
      </c>
      <c r="C194" s="5">
        <v>9</v>
      </c>
      <c r="D194" s="5">
        <v>2</v>
      </c>
      <c r="E194" s="5">
        <v>2010</v>
      </c>
      <c r="F194" s="5" t="s">
        <v>20</v>
      </c>
      <c r="G194" s="5" t="s">
        <v>5</v>
      </c>
      <c r="H194" s="7">
        <v>110522.1</v>
      </c>
      <c r="I194" s="7">
        <v>121271.71</v>
      </c>
      <c r="J194" s="7">
        <v>10749.61</v>
      </c>
      <c r="K194" s="8">
        <v>9.7262086044329593E-2</v>
      </c>
    </row>
    <row r="195" spans="1:11" x14ac:dyDescent="0.3">
      <c r="A195" s="5" t="s">
        <v>45</v>
      </c>
      <c r="B195" s="6">
        <v>40231</v>
      </c>
      <c r="C195" s="5">
        <v>9</v>
      </c>
      <c r="D195" s="5">
        <v>2</v>
      </c>
      <c r="E195" s="5">
        <v>2010</v>
      </c>
      <c r="F195" s="5" t="s">
        <v>21</v>
      </c>
      <c r="G195" s="5" t="s">
        <v>5</v>
      </c>
      <c r="H195" s="7">
        <v>189824.15</v>
      </c>
      <c r="I195" s="7">
        <v>200874.45</v>
      </c>
      <c r="J195" s="7">
        <v>11050.300000000017</v>
      </c>
      <c r="K195" s="8">
        <v>5.8213351673114394E-2</v>
      </c>
    </row>
    <row r="196" spans="1:11" x14ac:dyDescent="0.3">
      <c r="A196" s="5" t="s">
        <v>45</v>
      </c>
      <c r="B196" s="6">
        <v>40231</v>
      </c>
      <c r="C196" s="5">
        <v>9</v>
      </c>
      <c r="D196" s="5">
        <v>2</v>
      </c>
      <c r="E196" s="5">
        <v>2010</v>
      </c>
      <c r="F196" s="5" t="s">
        <v>22</v>
      </c>
      <c r="G196" s="5" t="s">
        <v>8</v>
      </c>
      <c r="H196" s="7">
        <v>386576.5</v>
      </c>
      <c r="I196" s="7">
        <v>423506.94</v>
      </c>
      <c r="J196" s="7">
        <v>36930.44</v>
      </c>
      <c r="K196" s="8">
        <v>9.5532035703153204E-2</v>
      </c>
    </row>
    <row r="197" spans="1:11" x14ac:dyDescent="0.3">
      <c r="A197" s="5" t="s">
        <v>45</v>
      </c>
      <c r="B197" s="6">
        <v>40231</v>
      </c>
      <c r="C197" s="5">
        <v>9</v>
      </c>
      <c r="D197" s="5">
        <v>2</v>
      </c>
      <c r="E197" s="5">
        <v>2010</v>
      </c>
      <c r="F197" s="5" t="s">
        <v>23</v>
      </c>
      <c r="G197" s="5" t="s">
        <v>8</v>
      </c>
      <c r="H197" s="7">
        <v>165053.70000000001</v>
      </c>
      <c r="I197" s="7">
        <v>173996.62</v>
      </c>
      <c r="J197" s="7">
        <v>8942.9199999999837</v>
      </c>
      <c r="K197" s="8">
        <v>5.4181881411928257E-2</v>
      </c>
    </row>
    <row r="198" spans="1:11" x14ac:dyDescent="0.3">
      <c r="A198" s="5" t="s">
        <v>45</v>
      </c>
      <c r="B198" s="6">
        <v>40231</v>
      </c>
      <c r="C198" s="5">
        <v>9</v>
      </c>
      <c r="D198" s="5">
        <v>2</v>
      </c>
      <c r="E198" s="5">
        <v>2010</v>
      </c>
      <c r="F198" s="5" t="s">
        <v>24</v>
      </c>
      <c r="G198" s="5" t="s">
        <v>8</v>
      </c>
      <c r="H198" s="7">
        <v>76558</v>
      </c>
      <c r="I198" s="7">
        <v>87657.19</v>
      </c>
      <c r="J198" s="7">
        <v>11099.190000000002</v>
      </c>
      <c r="K198" s="8">
        <v>0.14497753337339014</v>
      </c>
    </row>
    <row r="199" spans="1:11" x14ac:dyDescent="0.3">
      <c r="A199" s="5" t="s">
        <v>45</v>
      </c>
      <c r="B199" s="6">
        <v>40231</v>
      </c>
      <c r="C199" s="5">
        <v>9</v>
      </c>
      <c r="D199" s="5">
        <v>2</v>
      </c>
      <c r="E199" s="5">
        <v>2010</v>
      </c>
      <c r="F199" s="5" t="s">
        <v>25</v>
      </c>
      <c r="G199" s="5" t="s">
        <v>8</v>
      </c>
      <c r="H199" s="7">
        <v>20136.25</v>
      </c>
      <c r="I199" s="7">
        <v>23772.61</v>
      </c>
      <c r="J199" s="7">
        <v>3636.3600000000006</v>
      </c>
      <c r="K199" s="8">
        <v>0.18058774598050781</v>
      </c>
    </row>
    <row r="200" spans="1:11" x14ac:dyDescent="0.3">
      <c r="A200" s="5" t="s">
        <v>45</v>
      </c>
      <c r="B200" s="6">
        <v>40231</v>
      </c>
      <c r="C200" s="5">
        <v>9</v>
      </c>
      <c r="D200" s="5">
        <v>2</v>
      </c>
      <c r="E200" s="5">
        <v>2010</v>
      </c>
      <c r="F200" s="5" t="s">
        <v>26</v>
      </c>
      <c r="G200" s="5" t="s">
        <v>10</v>
      </c>
      <c r="H200" s="7">
        <v>16473.86</v>
      </c>
      <c r="I200" s="7">
        <v>18244.25</v>
      </c>
      <c r="J200" s="7">
        <v>1770.3899999999994</v>
      </c>
      <c r="K200" s="8">
        <v>0.10746661680990365</v>
      </c>
    </row>
    <row r="201" spans="1:11" x14ac:dyDescent="0.3">
      <c r="A201" s="5" t="s">
        <v>45</v>
      </c>
      <c r="B201" s="6">
        <v>40231</v>
      </c>
      <c r="C201" s="5">
        <v>9</v>
      </c>
      <c r="D201" s="5">
        <v>2</v>
      </c>
      <c r="E201" s="5">
        <v>2010</v>
      </c>
      <c r="F201" s="5" t="s">
        <v>27</v>
      </c>
      <c r="G201" s="5" t="s">
        <v>10</v>
      </c>
      <c r="H201" s="7">
        <v>116028.28</v>
      </c>
      <c r="I201" s="7">
        <v>130199.81</v>
      </c>
      <c r="J201" s="7">
        <v>14171.529999999999</v>
      </c>
      <c r="K201" s="8">
        <v>0.12213858552414979</v>
      </c>
    </row>
    <row r="202" spans="1:11" x14ac:dyDescent="0.3">
      <c r="A202" s="5" t="s">
        <v>45</v>
      </c>
      <c r="B202" s="6">
        <v>40231</v>
      </c>
      <c r="C202" s="5">
        <v>9</v>
      </c>
      <c r="D202" s="5">
        <v>2</v>
      </c>
      <c r="E202" s="5">
        <v>2010</v>
      </c>
      <c r="F202" s="5" t="s">
        <v>28</v>
      </c>
      <c r="G202" s="5" t="s">
        <v>10</v>
      </c>
      <c r="H202" s="7">
        <v>92995.41</v>
      </c>
      <c r="I202" s="7">
        <v>103103.66</v>
      </c>
      <c r="J202" s="7">
        <v>10108.25</v>
      </c>
      <c r="K202" s="8">
        <v>0.10869622489970203</v>
      </c>
    </row>
    <row r="203" spans="1:11" x14ac:dyDescent="0.3">
      <c r="A203" s="5" t="s">
        <v>45</v>
      </c>
      <c r="B203" s="6">
        <v>40231</v>
      </c>
      <c r="C203" s="5">
        <v>9</v>
      </c>
      <c r="D203" s="5">
        <v>2</v>
      </c>
      <c r="E203" s="5">
        <v>2010</v>
      </c>
      <c r="F203" s="5" t="s">
        <v>29</v>
      </c>
      <c r="G203" s="5" t="s">
        <v>10</v>
      </c>
      <c r="H203" s="7">
        <v>588220.82999999996</v>
      </c>
      <c r="I203" s="7">
        <v>639622.97</v>
      </c>
      <c r="J203" s="7">
        <v>51402.140000000014</v>
      </c>
      <c r="K203" s="8">
        <v>8.7385786729109918E-2</v>
      </c>
    </row>
    <row r="204" spans="1:11" x14ac:dyDescent="0.3">
      <c r="A204" s="5" t="s">
        <v>45</v>
      </c>
      <c r="B204" s="6">
        <v>40231</v>
      </c>
      <c r="C204" s="5">
        <v>9</v>
      </c>
      <c r="D204" s="5">
        <v>2</v>
      </c>
      <c r="E204" s="5">
        <v>2010</v>
      </c>
      <c r="F204" s="5" t="s">
        <v>30</v>
      </c>
      <c r="G204" s="5" t="s">
        <v>10</v>
      </c>
      <c r="H204" s="7">
        <v>46366.400000000001</v>
      </c>
      <c r="I204" s="7">
        <v>52715.360000000001</v>
      </c>
      <c r="J204" s="7">
        <v>6348.9599999999991</v>
      </c>
      <c r="K204" s="8">
        <v>0.13693019082784083</v>
      </c>
    </row>
    <row r="205" spans="1:11" x14ac:dyDescent="0.3">
      <c r="A205" s="5" t="s">
        <v>45</v>
      </c>
      <c r="B205" s="6">
        <v>40231</v>
      </c>
      <c r="C205" s="5">
        <v>9</v>
      </c>
      <c r="D205" s="5">
        <v>2</v>
      </c>
      <c r="E205" s="5">
        <v>2010</v>
      </c>
      <c r="F205" s="5" t="s">
        <v>9</v>
      </c>
      <c r="G205" s="5" t="s">
        <v>9</v>
      </c>
      <c r="H205" s="7">
        <v>240</v>
      </c>
      <c r="I205" s="7">
        <v>306</v>
      </c>
      <c r="J205" s="7">
        <v>66</v>
      </c>
      <c r="K205" s="8">
        <v>0.27500000000000002</v>
      </c>
    </row>
    <row r="206" spans="1:11" x14ac:dyDescent="0.3">
      <c r="A206" s="5" t="s">
        <v>45</v>
      </c>
      <c r="B206" s="6">
        <v>40231</v>
      </c>
      <c r="C206" s="5">
        <v>9</v>
      </c>
      <c r="D206" s="5">
        <v>2</v>
      </c>
      <c r="E206" s="5">
        <v>2010</v>
      </c>
      <c r="F206" s="5" t="s">
        <v>31</v>
      </c>
      <c r="G206" s="5" t="s">
        <v>7</v>
      </c>
      <c r="H206" s="7">
        <v>22738.639999999999</v>
      </c>
      <c r="I206" s="7">
        <v>26855.43</v>
      </c>
      <c r="J206" s="7">
        <v>4116.7900000000009</v>
      </c>
      <c r="K206" s="8">
        <v>0.18104820692882254</v>
      </c>
    </row>
    <row r="207" spans="1:11" x14ac:dyDescent="0.3">
      <c r="A207" s="5" t="s">
        <v>45</v>
      </c>
      <c r="B207" s="6">
        <v>40231</v>
      </c>
      <c r="C207" s="5">
        <v>9</v>
      </c>
      <c r="D207" s="5">
        <v>2</v>
      </c>
      <c r="E207" s="5">
        <v>2010</v>
      </c>
      <c r="F207" s="5" t="s">
        <v>32</v>
      </c>
      <c r="G207" s="5" t="s">
        <v>7</v>
      </c>
      <c r="H207" s="7">
        <v>18720.939999999999</v>
      </c>
      <c r="I207" s="7">
        <v>21524.23</v>
      </c>
      <c r="J207" s="7">
        <v>2803.2900000000009</v>
      </c>
      <c r="K207" s="8">
        <v>0.14974087839606351</v>
      </c>
    </row>
    <row r="208" spans="1:11" x14ac:dyDescent="0.3">
      <c r="A208" s="5" t="s">
        <v>45</v>
      </c>
      <c r="B208" s="6">
        <v>40231</v>
      </c>
      <c r="C208" s="5">
        <v>9</v>
      </c>
      <c r="D208" s="5">
        <v>2</v>
      </c>
      <c r="E208" s="5">
        <v>2010</v>
      </c>
      <c r="F208" s="5" t="s">
        <v>33</v>
      </c>
      <c r="G208" s="5" t="s">
        <v>7</v>
      </c>
      <c r="H208" s="7">
        <v>236108.95</v>
      </c>
      <c r="I208" s="7">
        <v>328954.96000000002</v>
      </c>
      <c r="J208" s="7">
        <v>92846.010000000009</v>
      </c>
      <c r="K208" s="8">
        <v>0.393233759245467</v>
      </c>
    </row>
    <row r="209" spans="1:11" x14ac:dyDescent="0.3">
      <c r="A209" s="5" t="s">
        <v>45</v>
      </c>
      <c r="B209" s="6">
        <v>40231</v>
      </c>
      <c r="C209" s="5">
        <v>9</v>
      </c>
      <c r="D209" s="5">
        <v>2</v>
      </c>
      <c r="E209" s="5">
        <v>2010</v>
      </c>
      <c r="F209" s="5" t="s">
        <v>34</v>
      </c>
      <c r="G209" s="5" t="s">
        <v>7</v>
      </c>
      <c r="H209" s="7">
        <v>532</v>
      </c>
      <c r="I209" s="7">
        <v>664.94</v>
      </c>
      <c r="J209" s="7">
        <v>132.94000000000005</v>
      </c>
      <c r="K209" s="8">
        <v>0.24988721804511288</v>
      </c>
    </row>
    <row r="210" spans="1:11" x14ac:dyDescent="0.3">
      <c r="A210" s="5" t="s">
        <v>45</v>
      </c>
      <c r="B210" s="6">
        <v>40231</v>
      </c>
      <c r="C210" s="5">
        <v>9</v>
      </c>
      <c r="D210" s="5">
        <v>2</v>
      </c>
      <c r="E210" s="5">
        <v>2010</v>
      </c>
      <c r="F210" s="5" t="s">
        <v>35</v>
      </c>
      <c r="G210" s="5" t="s">
        <v>11</v>
      </c>
      <c r="H210" s="7">
        <v>1009.36</v>
      </c>
      <c r="I210" s="7">
        <v>1311.98</v>
      </c>
      <c r="J210" s="7">
        <v>302.62</v>
      </c>
      <c r="K210" s="8">
        <v>0.29981374336213046</v>
      </c>
    </row>
    <row r="211" spans="1:11" x14ac:dyDescent="0.3">
      <c r="A211" s="5" t="s">
        <v>45</v>
      </c>
      <c r="B211" s="6">
        <v>40231</v>
      </c>
      <c r="C211" s="5">
        <v>9</v>
      </c>
      <c r="D211" s="5">
        <v>2</v>
      </c>
      <c r="E211" s="5">
        <v>2010</v>
      </c>
      <c r="F211" s="5" t="s">
        <v>36</v>
      </c>
      <c r="G211" s="5" t="s">
        <v>11</v>
      </c>
      <c r="H211" s="7">
        <v>112666.19</v>
      </c>
      <c r="I211" s="7">
        <v>122612.39</v>
      </c>
      <c r="J211" s="7">
        <v>9946.1999999999971</v>
      </c>
      <c r="K211" s="8">
        <v>8.8280255150191875E-2</v>
      </c>
    </row>
    <row r="212" spans="1:11" x14ac:dyDescent="0.3">
      <c r="A212" s="5" t="s">
        <v>45</v>
      </c>
      <c r="B212" s="6">
        <v>40231</v>
      </c>
      <c r="C212" s="5">
        <v>9</v>
      </c>
      <c r="D212" s="5">
        <v>2</v>
      </c>
      <c r="E212" s="5">
        <v>2010</v>
      </c>
      <c r="F212" s="5" t="s">
        <v>37</v>
      </c>
      <c r="G212" s="5" t="s">
        <v>11</v>
      </c>
      <c r="H212" s="7">
        <v>293376.94</v>
      </c>
      <c r="I212" s="7">
        <v>302465.07</v>
      </c>
      <c r="J212" s="7">
        <v>9088.1300000000047</v>
      </c>
      <c r="K212" s="8">
        <v>3.097765625341925E-2</v>
      </c>
    </row>
    <row r="213" spans="1:11" x14ac:dyDescent="0.3">
      <c r="A213" s="5" t="s">
        <v>45</v>
      </c>
      <c r="B213" s="6">
        <v>40231</v>
      </c>
      <c r="C213" s="5">
        <v>9</v>
      </c>
      <c r="D213" s="5">
        <v>2</v>
      </c>
      <c r="E213" s="5">
        <v>2010</v>
      </c>
      <c r="F213" s="5" t="s">
        <v>38</v>
      </c>
      <c r="G213" s="5" t="s">
        <v>11</v>
      </c>
      <c r="H213" s="7">
        <v>170689.95</v>
      </c>
      <c r="I213" s="7">
        <v>181793.56</v>
      </c>
      <c r="J213" s="7">
        <v>11103.609999999986</v>
      </c>
      <c r="K213" s="8">
        <v>6.5051340163846699E-2</v>
      </c>
    </row>
    <row r="214" spans="1:11" x14ac:dyDescent="0.3">
      <c r="A214" s="5" t="s">
        <v>45</v>
      </c>
      <c r="B214" s="6">
        <v>40232</v>
      </c>
      <c r="C214" s="5">
        <v>9</v>
      </c>
      <c r="D214" s="5">
        <v>2</v>
      </c>
      <c r="E214" s="5">
        <v>2010</v>
      </c>
      <c r="F214" s="5" t="s">
        <v>14</v>
      </c>
      <c r="G214" s="5" t="s">
        <v>6</v>
      </c>
      <c r="H214" s="7">
        <v>17894</v>
      </c>
      <c r="I214" s="7">
        <v>21228.52</v>
      </c>
      <c r="J214" s="7">
        <v>3334.5200000000004</v>
      </c>
      <c r="K214" s="8">
        <v>0.18634849670280543</v>
      </c>
    </row>
    <row r="215" spans="1:11" x14ac:dyDescent="0.3">
      <c r="A215" s="5" t="s">
        <v>45</v>
      </c>
      <c r="B215" s="6">
        <v>40232</v>
      </c>
      <c r="C215" s="5">
        <v>9</v>
      </c>
      <c r="D215" s="5">
        <v>2</v>
      </c>
      <c r="E215" s="5">
        <v>2010</v>
      </c>
      <c r="F215" s="5" t="s">
        <v>15</v>
      </c>
      <c r="G215" s="5" t="s">
        <v>6</v>
      </c>
      <c r="H215" s="7">
        <v>395096.08</v>
      </c>
      <c r="I215" s="7">
        <v>511665.24</v>
      </c>
      <c r="J215" s="7">
        <v>116569.15999999997</v>
      </c>
      <c r="K215" s="8">
        <v>0.2950400317816364</v>
      </c>
    </row>
    <row r="216" spans="1:11" x14ac:dyDescent="0.3">
      <c r="A216" s="5" t="s">
        <v>45</v>
      </c>
      <c r="B216" s="6">
        <v>40232</v>
      </c>
      <c r="C216" s="5">
        <v>9</v>
      </c>
      <c r="D216" s="5">
        <v>2</v>
      </c>
      <c r="E216" s="5">
        <v>2010</v>
      </c>
      <c r="F216" s="5" t="s">
        <v>16</v>
      </c>
      <c r="G216" s="5" t="s">
        <v>6</v>
      </c>
      <c r="H216" s="7">
        <v>99361.88</v>
      </c>
      <c r="I216" s="7">
        <v>109880.88</v>
      </c>
      <c r="J216" s="7">
        <v>10519</v>
      </c>
      <c r="K216" s="8">
        <v>0.10586554924282833</v>
      </c>
    </row>
    <row r="217" spans="1:11" x14ac:dyDescent="0.3">
      <c r="A217" s="5" t="s">
        <v>45</v>
      </c>
      <c r="B217" s="6">
        <v>40232</v>
      </c>
      <c r="C217" s="5">
        <v>9</v>
      </c>
      <c r="D217" s="5">
        <v>2</v>
      </c>
      <c r="E217" s="5">
        <v>2010</v>
      </c>
      <c r="F217" s="5" t="s">
        <v>17</v>
      </c>
      <c r="G217" s="5" t="s">
        <v>6</v>
      </c>
      <c r="H217" s="7">
        <v>1722</v>
      </c>
      <c r="I217" s="7">
        <v>1830.68</v>
      </c>
      <c r="J217" s="7">
        <v>108.68000000000006</v>
      </c>
      <c r="K217" s="8">
        <v>6.3112659698025583E-2</v>
      </c>
    </row>
    <row r="218" spans="1:11" x14ac:dyDescent="0.3">
      <c r="A218" s="5" t="s">
        <v>45</v>
      </c>
      <c r="B218" s="6">
        <v>40232</v>
      </c>
      <c r="C218" s="5">
        <v>9</v>
      </c>
      <c r="D218" s="5">
        <v>2</v>
      </c>
      <c r="E218" s="5">
        <v>2010</v>
      </c>
      <c r="F218" s="5" t="s">
        <v>18</v>
      </c>
      <c r="G218" s="5" t="s">
        <v>6</v>
      </c>
      <c r="H218" s="7">
        <v>13601.48</v>
      </c>
      <c r="I218" s="7">
        <v>15279.89</v>
      </c>
      <c r="J218" s="7">
        <v>1678.4099999999999</v>
      </c>
      <c r="K218" s="8">
        <v>0.12339907127753744</v>
      </c>
    </row>
    <row r="219" spans="1:11" x14ac:dyDescent="0.3">
      <c r="A219" s="5" t="s">
        <v>45</v>
      </c>
      <c r="B219" s="6">
        <v>40232</v>
      </c>
      <c r="C219" s="5">
        <v>9</v>
      </c>
      <c r="D219" s="5">
        <v>2</v>
      </c>
      <c r="E219" s="5">
        <v>2010</v>
      </c>
      <c r="F219" s="5" t="s">
        <v>19</v>
      </c>
      <c r="G219" s="5" t="s">
        <v>5</v>
      </c>
      <c r="H219" s="7">
        <v>121735.96</v>
      </c>
      <c r="I219" s="7">
        <v>133535.56</v>
      </c>
      <c r="J219" s="7">
        <v>11799.599999999991</v>
      </c>
      <c r="K219" s="8">
        <v>9.6927809991394415E-2</v>
      </c>
    </row>
    <row r="220" spans="1:11" x14ac:dyDescent="0.3">
      <c r="A220" s="5" t="s">
        <v>45</v>
      </c>
      <c r="B220" s="6">
        <v>40232</v>
      </c>
      <c r="C220" s="5">
        <v>9</v>
      </c>
      <c r="D220" s="5">
        <v>2</v>
      </c>
      <c r="E220" s="5">
        <v>2010</v>
      </c>
      <c r="F220" s="5" t="s">
        <v>5</v>
      </c>
      <c r="G220" s="5" t="s">
        <v>5</v>
      </c>
      <c r="H220" s="7">
        <v>367032.22</v>
      </c>
      <c r="I220" s="7">
        <v>392643.04</v>
      </c>
      <c r="J220" s="7">
        <v>25610.820000000007</v>
      </c>
      <c r="K220" s="8">
        <v>6.9778124656195054E-2</v>
      </c>
    </row>
    <row r="221" spans="1:11" x14ac:dyDescent="0.3">
      <c r="A221" s="5" t="s">
        <v>45</v>
      </c>
      <c r="B221" s="6">
        <v>40232</v>
      </c>
      <c r="C221" s="5">
        <v>9</v>
      </c>
      <c r="D221" s="5">
        <v>2</v>
      </c>
      <c r="E221" s="5">
        <v>2010</v>
      </c>
      <c r="F221" s="5" t="s">
        <v>20</v>
      </c>
      <c r="G221" s="5" t="s">
        <v>5</v>
      </c>
      <c r="H221" s="7">
        <v>91614.85</v>
      </c>
      <c r="I221" s="7">
        <v>100820.61</v>
      </c>
      <c r="J221" s="7">
        <v>9205.7599999999948</v>
      </c>
      <c r="K221" s="8">
        <v>0.10048327318114907</v>
      </c>
    </row>
    <row r="222" spans="1:11" x14ac:dyDescent="0.3">
      <c r="A222" s="5" t="s">
        <v>45</v>
      </c>
      <c r="B222" s="6">
        <v>40232</v>
      </c>
      <c r="C222" s="5">
        <v>9</v>
      </c>
      <c r="D222" s="5">
        <v>2</v>
      </c>
      <c r="E222" s="5">
        <v>2010</v>
      </c>
      <c r="F222" s="5" t="s">
        <v>21</v>
      </c>
      <c r="G222" s="5" t="s">
        <v>5</v>
      </c>
      <c r="H222" s="7">
        <v>194274.53</v>
      </c>
      <c r="I222" s="7">
        <v>207390.96</v>
      </c>
      <c r="J222" s="7">
        <v>13116.429999999993</v>
      </c>
      <c r="K222" s="8">
        <v>6.751492334069728E-2</v>
      </c>
    </row>
    <row r="223" spans="1:11" x14ac:dyDescent="0.3">
      <c r="A223" s="5" t="s">
        <v>45</v>
      </c>
      <c r="B223" s="6">
        <v>40232</v>
      </c>
      <c r="C223" s="5">
        <v>9</v>
      </c>
      <c r="D223" s="5">
        <v>2</v>
      </c>
      <c r="E223" s="5">
        <v>2010</v>
      </c>
      <c r="F223" s="5" t="s">
        <v>22</v>
      </c>
      <c r="G223" s="5" t="s">
        <v>8</v>
      </c>
      <c r="H223" s="7">
        <v>435012.49</v>
      </c>
      <c r="I223" s="7">
        <v>477940.64</v>
      </c>
      <c r="J223" s="7">
        <v>42928.150000000023</v>
      </c>
      <c r="K223" s="8">
        <v>9.8682568861413661E-2</v>
      </c>
    </row>
    <row r="224" spans="1:11" x14ac:dyDescent="0.3">
      <c r="A224" s="5" t="s">
        <v>45</v>
      </c>
      <c r="B224" s="6">
        <v>40232</v>
      </c>
      <c r="C224" s="5">
        <v>9</v>
      </c>
      <c r="D224" s="5">
        <v>2</v>
      </c>
      <c r="E224" s="5">
        <v>2010</v>
      </c>
      <c r="F224" s="5" t="s">
        <v>23</v>
      </c>
      <c r="G224" s="5" t="s">
        <v>8</v>
      </c>
      <c r="H224" s="7">
        <v>134488.6</v>
      </c>
      <c r="I224" s="7">
        <v>142698.93</v>
      </c>
      <c r="J224" s="7">
        <v>8210.3299999999872</v>
      </c>
      <c r="K224" s="8">
        <v>6.1048520097614127E-2</v>
      </c>
    </row>
    <row r="225" spans="1:11" x14ac:dyDescent="0.3">
      <c r="A225" s="5" t="s">
        <v>45</v>
      </c>
      <c r="B225" s="6">
        <v>40232</v>
      </c>
      <c r="C225" s="5">
        <v>9</v>
      </c>
      <c r="D225" s="5">
        <v>2</v>
      </c>
      <c r="E225" s="5">
        <v>2010</v>
      </c>
      <c r="F225" s="5" t="s">
        <v>24</v>
      </c>
      <c r="G225" s="5" t="s">
        <v>8</v>
      </c>
      <c r="H225" s="7">
        <v>113827</v>
      </c>
      <c r="I225" s="7">
        <v>122990.59</v>
      </c>
      <c r="J225" s="7">
        <v>9163.5899999999965</v>
      </c>
      <c r="K225" s="8">
        <v>8.0504537587742772E-2</v>
      </c>
    </row>
    <row r="226" spans="1:11" x14ac:dyDescent="0.3">
      <c r="A226" s="5" t="s">
        <v>45</v>
      </c>
      <c r="B226" s="6">
        <v>40232</v>
      </c>
      <c r="C226" s="5">
        <v>9</v>
      </c>
      <c r="D226" s="5">
        <v>2</v>
      </c>
      <c r="E226" s="5">
        <v>2010</v>
      </c>
      <c r="F226" s="5" t="s">
        <v>25</v>
      </c>
      <c r="G226" s="5" t="s">
        <v>8</v>
      </c>
      <c r="H226" s="7">
        <v>17989.5</v>
      </c>
      <c r="I226" s="7">
        <v>20342.62</v>
      </c>
      <c r="J226" s="7">
        <v>2353.119999999999</v>
      </c>
      <c r="K226" s="8">
        <v>0.13080519191750739</v>
      </c>
    </row>
    <row r="227" spans="1:11" x14ac:dyDescent="0.3">
      <c r="A227" s="5" t="s">
        <v>45</v>
      </c>
      <c r="B227" s="6">
        <v>40232</v>
      </c>
      <c r="C227" s="5">
        <v>9</v>
      </c>
      <c r="D227" s="5">
        <v>2</v>
      </c>
      <c r="E227" s="5">
        <v>2010</v>
      </c>
      <c r="F227" s="5" t="s">
        <v>26</v>
      </c>
      <c r="G227" s="5" t="s">
        <v>10</v>
      </c>
      <c r="H227" s="7">
        <v>24740.94</v>
      </c>
      <c r="I227" s="7">
        <v>27460.03</v>
      </c>
      <c r="J227" s="7">
        <v>2719.09</v>
      </c>
      <c r="K227" s="8">
        <v>0.10990245318084116</v>
      </c>
    </row>
    <row r="228" spans="1:11" x14ac:dyDescent="0.3">
      <c r="A228" s="5" t="s">
        <v>45</v>
      </c>
      <c r="B228" s="6">
        <v>40232</v>
      </c>
      <c r="C228" s="5">
        <v>9</v>
      </c>
      <c r="D228" s="5">
        <v>2</v>
      </c>
      <c r="E228" s="5">
        <v>2010</v>
      </c>
      <c r="F228" s="5" t="s">
        <v>27</v>
      </c>
      <c r="G228" s="5" t="s">
        <v>10</v>
      </c>
      <c r="H228" s="7">
        <v>137788.56</v>
      </c>
      <c r="I228" s="7">
        <v>155905.37</v>
      </c>
      <c r="J228" s="7">
        <v>18116.809999999998</v>
      </c>
      <c r="K228" s="8">
        <v>0.13148268622591017</v>
      </c>
    </row>
    <row r="229" spans="1:11" x14ac:dyDescent="0.3">
      <c r="A229" s="5" t="s">
        <v>45</v>
      </c>
      <c r="B229" s="6">
        <v>40232</v>
      </c>
      <c r="C229" s="5">
        <v>9</v>
      </c>
      <c r="D229" s="5">
        <v>2</v>
      </c>
      <c r="E229" s="5">
        <v>2010</v>
      </c>
      <c r="F229" s="5" t="s">
        <v>28</v>
      </c>
      <c r="G229" s="5" t="s">
        <v>10</v>
      </c>
      <c r="H229" s="7">
        <v>136455.28</v>
      </c>
      <c r="I229" s="7">
        <v>152555.34</v>
      </c>
      <c r="J229" s="7">
        <v>16100.059999999998</v>
      </c>
      <c r="K229" s="8">
        <v>0.11798781256394035</v>
      </c>
    </row>
    <row r="230" spans="1:11" x14ac:dyDescent="0.3">
      <c r="A230" s="5" t="s">
        <v>45</v>
      </c>
      <c r="B230" s="6">
        <v>40232</v>
      </c>
      <c r="C230" s="5">
        <v>9</v>
      </c>
      <c r="D230" s="5">
        <v>2</v>
      </c>
      <c r="E230" s="5">
        <v>2010</v>
      </c>
      <c r="F230" s="5" t="s">
        <v>29</v>
      </c>
      <c r="G230" s="5" t="s">
        <v>10</v>
      </c>
      <c r="H230" s="7">
        <v>572402</v>
      </c>
      <c r="I230" s="7">
        <v>627072.30000000005</v>
      </c>
      <c r="J230" s="7">
        <v>54670.300000000047</v>
      </c>
      <c r="K230" s="8">
        <v>9.5510323164489375E-2</v>
      </c>
    </row>
    <row r="231" spans="1:11" x14ac:dyDescent="0.3">
      <c r="A231" s="5" t="s">
        <v>45</v>
      </c>
      <c r="B231" s="6">
        <v>40232</v>
      </c>
      <c r="C231" s="5">
        <v>9</v>
      </c>
      <c r="D231" s="5">
        <v>2</v>
      </c>
      <c r="E231" s="5">
        <v>2010</v>
      </c>
      <c r="F231" s="5" t="s">
        <v>30</v>
      </c>
      <c r="G231" s="5" t="s">
        <v>10</v>
      </c>
      <c r="H231" s="7">
        <v>165992.79999999999</v>
      </c>
      <c r="I231" s="7">
        <v>187501.62</v>
      </c>
      <c r="J231" s="7">
        <v>21508.820000000007</v>
      </c>
      <c r="K231" s="8">
        <v>0.12957682501891654</v>
      </c>
    </row>
    <row r="232" spans="1:11" x14ac:dyDescent="0.3">
      <c r="A232" s="5" t="s">
        <v>45</v>
      </c>
      <c r="B232" s="6">
        <v>40232</v>
      </c>
      <c r="C232" s="5">
        <v>9</v>
      </c>
      <c r="D232" s="5">
        <v>2</v>
      </c>
      <c r="E232" s="5">
        <v>2010</v>
      </c>
      <c r="F232" s="5" t="s">
        <v>9</v>
      </c>
      <c r="G232" s="5" t="s">
        <v>9</v>
      </c>
      <c r="H232" s="7">
        <v>480</v>
      </c>
      <c r="I232" s="7">
        <v>591.96</v>
      </c>
      <c r="J232" s="7">
        <v>111.96000000000004</v>
      </c>
      <c r="K232" s="8">
        <v>0.23325000000000007</v>
      </c>
    </row>
    <row r="233" spans="1:11" x14ac:dyDescent="0.3">
      <c r="A233" s="5" t="s">
        <v>45</v>
      </c>
      <c r="B233" s="6">
        <v>40232</v>
      </c>
      <c r="C233" s="5">
        <v>9</v>
      </c>
      <c r="D233" s="5">
        <v>2</v>
      </c>
      <c r="E233" s="5">
        <v>2010</v>
      </c>
      <c r="F233" s="5" t="s">
        <v>31</v>
      </c>
      <c r="G233" s="5" t="s">
        <v>7</v>
      </c>
      <c r="H233" s="7">
        <v>10823.89</v>
      </c>
      <c r="I233" s="7">
        <v>13442.94</v>
      </c>
      <c r="J233" s="7">
        <v>2619.0500000000011</v>
      </c>
      <c r="K233" s="8">
        <v>0.24196938438953106</v>
      </c>
    </row>
    <row r="234" spans="1:11" x14ac:dyDescent="0.3">
      <c r="A234" s="5" t="s">
        <v>45</v>
      </c>
      <c r="B234" s="6">
        <v>40232</v>
      </c>
      <c r="C234" s="5">
        <v>9</v>
      </c>
      <c r="D234" s="5">
        <v>2</v>
      </c>
      <c r="E234" s="5">
        <v>2010</v>
      </c>
      <c r="F234" s="5" t="s">
        <v>32</v>
      </c>
      <c r="G234" s="5" t="s">
        <v>7</v>
      </c>
      <c r="H234" s="7">
        <v>24909.41</v>
      </c>
      <c r="I234" s="7">
        <v>28517.200000000001</v>
      </c>
      <c r="J234" s="7">
        <v>3607.7900000000009</v>
      </c>
      <c r="K234" s="8">
        <v>0.14483642928515772</v>
      </c>
    </row>
    <row r="235" spans="1:11" x14ac:dyDescent="0.3">
      <c r="A235" s="5" t="s">
        <v>45</v>
      </c>
      <c r="B235" s="6">
        <v>40232</v>
      </c>
      <c r="C235" s="5">
        <v>9</v>
      </c>
      <c r="D235" s="5">
        <v>2</v>
      </c>
      <c r="E235" s="5">
        <v>2010</v>
      </c>
      <c r="F235" s="5" t="s">
        <v>33</v>
      </c>
      <c r="G235" s="5" t="s">
        <v>7</v>
      </c>
      <c r="H235" s="7">
        <v>354011.21</v>
      </c>
      <c r="I235" s="7">
        <v>468388.43</v>
      </c>
      <c r="J235" s="7">
        <v>114377.21999999997</v>
      </c>
      <c r="K235" s="8">
        <v>0.32308926036551205</v>
      </c>
    </row>
    <row r="236" spans="1:11" x14ac:dyDescent="0.3">
      <c r="A236" s="5" t="s">
        <v>45</v>
      </c>
      <c r="B236" s="6">
        <v>40232</v>
      </c>
      <c r="C236" s="5">
        <v>9</v>
      </c>
      <c r="D236" s="5">
        <v>2</v>
      </c>
      <c r="E236" s="5">
        <v>2010</v>
      </c>
      <c r="F236" s="5" t="s">
        <v>35</v>
      </c>
      <c r="G236" s="5" t="s">
        <v>11</v>
      </c>
      <c r="H236" s="7">
        <v>2286.48</v>
      </c>
      <c r="I236" s="7">
        <v>2971.9</v>
      </c>
      <c r="J236" s="7">
        <v>685.42000000000007</v>
      </c>
      <c r="K236" s="8">
        <v>0.29977082677303107</v>
      </c>
    </row>
    <row r="237" spans="1:11" x14ac:dyDescent="0.3">
      <c r="A237" s="5" t="s">
        <v>45</v>
      </c>
      <c r="B237" s="6">
        <v>40232</v>
      </c>
      <c r="C237" s="5">
        <v>9</v>
      </c>
      <c r="D237" s="5">
        <v>2</v>
      </c>
      <c r="E237" s="5">
        <v>2010</v>
      </c>
      <c r="F237" s="5" t="s">
        <v>36</v>
      </c>
      <c r="G237" s="5" t="s">
        <v>11</v>
      </c>
      <c r="H237" s="7">
        <v>125909</v>
      </c>
      <c r="I237" s="7">
        <v>137157.28</v>
      </c>
      <c r="J237" s="7">
        <v>11248.279999999999</v>
      </c>
      <c r="K237" s="8">
        <v>8.9336584358544649E-2</v>
      </c>
    </row>
    <row r="238" spans="1:11" x14ac:dyDescent="0.3">
      <c r="A238" s="5" t="s">
        <v>45</v>
      </c>
      <c r="B238" s="6">
        <v>40232</v>
      </c>
      <c r="C238" s="5">
        <v>9</v>
      </c>
      <c r="D238" s="5">
        <v>2</v>
      </c>
      <c r="E238" s="5">
        <v>2010</v>
      </c>
      <c r="F238" s="5" t="s">
        <v>37</v>
      </c>
      <c r="G238" s="5" t="s">
        <v>11</v>
      </c>
      <c r="H238" s="7">
        <v>287543.45</v>
      </c>
      <c r="I238" s="7">
        <v>305469.69</v>
      </c>
      <c r="J238" s="7">
        <v>17926.239999999991</v>
      </c>
      <c r="K238" s="8">
        <v>6.2342717248471458E-2</v>
      </c>
    </row>
    <row r="239" spans="1:11" x14ac:dyDescent="0.3">
      <c r="A239" s="5" t="s">
        <v>45</v>
      </c>
      <c r="B239" s="6">
        <v>40232</v>
      </c>
      <c r="C239" s="5">
        <v>9</v>
      </c>
      <c r="D239" s="5">
        <v>2</v>
      </c>
      <c r="E239" s="5">
        <v>2010</v>
      </c>
      <c r="F239" s="5" t="s">
        <v>38</v>
      </c>
      <c r="G239" s="5" t="s">
        <v>11</v>
      </c>
      <c r="H239" s="7">
        <v>257457.19</v>
      </c>
      <c r="I239" s="7">
        <v>272315.39</v>
      </c>
      <c r="J239" s="7">
        <v>14858.200000000012</v>
      </c>
      <c r="K239" s="8">
        <v>5.7711342223536313E-2</v>
      </c>
    </row>
    <row r="240" spans="1:11" x14ac:dyDescent="0.3">
      <c r="A240" s="5" t="s">
        <v>45</v>
      </c>
      <c r="B240" s="6">
        <v>40233</v>
      </c>
      <c r="C240" s="5">
        <v>9</v>
      </c>
      <c r="D240" s="5">
        <v>2</v>
      </c>
      <c r="E240" s="5">
        <v>2010</v>
      </c>
      <c r="F240" s="5" t="s">
        <v>14</v>
      </c>
      <c r="G240" s="5" t="s">
        <v>6</v>
      </c>
      <c r="H240" s="7">
        <v>11567</v>
      </c>
      <c r="I240" s="7">
        <v>14055.93</v>
      </c>
      <c r="J240" s="7">
        <v>2488.9300000000003</v>
      </c>
      <c r="K240" s="8">
        <v>0.21517506700095101</v>
      </c>
    </row>
    <row r="241" spans="1:11" x14ac:dyDescent="0.3">
      <c r="A241" s="5" t="s">
        <v>45</v>
      </c>
      <c r="B241" s="6">
        <v>40233</v>
      </c>
      <c r="C241" s="5">
        <v>9</v>
      </c>
      <c r="D241" s="5">
        <v>2</v>
      </c>
      <c r="E241" s="5">
        <v>2010</v>
      </c>
      <c r="F241" s="5" t="s">
        <v>15</v>
      </c>
      <c r="G241" s="5" t="s">
        <v>6</v>
      </c>
      <c r="H241" s="7">
        <v>218486.34</v>
      </c>
      <c r="I241" s="7">
        <v>269442.31</v>
      </c>
      <c r="J241" s="7">
        <v>50955.97</v>
      </c>
      <c r="K241" s="8">
        <v>0.23322268110674563</v>
      </c>
    </row>
    <row r="242" spans="1:11" x14ac:dyDescent="0.3">
      <c r="A242" s="5" t="s">
        <v>45</v>
      </c>
      <c r="B242" s="6">
        <v>40233</v>
      </c>
      <c r="C242" s="5">
        <v>9</v>
      </c>
      <c r="D242" s="5">
        <v>2</v>
      </c>
      <c r="E242" s="5">
        <v>2010</v>
      </c>
      <c r="F242" s="5" t="s">
        <v>16</v>
      </c>
      <c r="G242" s="5" t="s">
        <v>6</v>
      </c>
      <c r="H242" s="7">
        <v>69844.350000000006</v>
      </c>
      <c r="I242" s="7">
        <v>77282.570000000007</v>
      </c>
      <c r="J242" s="7">
        <v>7438.2200000000012</v>
      </c>
      <c r="K242" s="8">
        <v>0.10649708959994618</v>
      </c>
    </row>
    <row r="243" spans="1:11" x14ac:dyDescent="0.3">
      <c r="A243" s="5" t="s">
        <v>45</v>
      </c>
      <c r="B243" s="6">
        <v>40233</v>
      </c>
      <c r="C243" s="5">
        <v>9</v>
      </c>
      <c r="D243" s="5">
        <v>2</v>
      </c>
      <c r="E243" s="5">
        <v>2010</v>
      </c>
      <c r="F243" s="5" t="s">
        <v>17</v>
      </c>
      <c r="G243" s="5" t="s">
        <v>6</v>
      </c>
      <c r="H243" s="7">
        <v>3315</v>
      </c>
      <c r="I243" s="7">
        <v>3771.57</v>
      </c>
      <c r="J243" s="7">
        <v>456.57000000000016</v>
      </c>
      <c r="K243" s="8">
        <v>0.13772850678733037</v>
      </c>
    </row>
    <row r="244" spans="1:11" x14ac:dyDescent="0.3">
      <c r="A244" s="5" t="s">
        <v>45</v>
      </c>
      <c r="B244" s="6">
        <v>40233</v>
      </c>
      <c r="C244" s="5">
        <v>9</v>
      </c>
      <c r="D244" s="5">
        <v>2</v>
      </c>
      <c r="E244" s="5">
        <v>2010</v>
      </c>
      <c r="F244" s="5" t="s">
        <v>18</v>
      </c>
      <c r="G244" s="5" t="s">
        <v>6</v>
      </c>
      <c r="H244" s="7">
        <v>3653.87</v>
      </c>
      <c r="I244" s="7">
        <v>4028.74</v>
      </c>
      <c r="J244" s="7">
        <v>374.86999999999989</v>
      </c>
      <c r="K244" s="8">
        <v>0.10259533043047506</v>
      </c>
    </row>
    <row r="245" spans="1:11" x14ac:dyDescent="0.3">
      <c r="A245" s="5" t="s">
        <v>45</v>
      </c>
      <c r="B245" s="6">
        <v>40233</v>
      </c>
      <c r="C245" s="5">
        <v>9</v>
      </c>
      <c r="D245" s="5">
        <v>2</v>
      </c>
      <c r="E245" s="5">
        <v>2010</v>
      </c>
      <c r="F245" s="5" t="s">
        <v>19</v>
      </c>
      <c r="G245" s="5" t="s">
        <v>5</v>
      </c>
      <c r="H245" s="7">
        <v>123586.6</v>
      </c>
      <c r="I245" s="7">
        <v>134868.31</v>
      </c>
      <c r="J245" s="7">
        <v>11281.709999999992</v>
      </c>
      <c r="K245" s="8">
        <v>9.1285867561693518E-2</v>
      </c>
    </row>
    <row r="246" spans="1:11" x14ac:dyDescent="0.3">
      <c r="A246" s="5" t="s">
        <v>45</v>
      </c>
      <c r="B246" s="6">
        <v>40233</v>
      </c>
      <c r="C246" s="5">
        <v>9</v>
      </c>
      <c r="D246" s="5">
        <v>2</v>
      </c>
      <c r="E246" s="5">
        <v>2010</v>
      </c>
      <c r="F246" s="5" t="s">
        <v>5</v>
      </c>
      <c r="G246" s="5" t="s">
        <v>5</v>
      </c>
      <c r="H246" s="7">
        <v>373623.64</v>
      </c>
      <c r="I246" s="7">
        <v>400253.95</v>
      </c>
      <c r="J246" s="7">
        <v>26630.309999999998</v>
      </c>
      <c r="K246" s="8">
        <v>7.1275762957611566E-2</v>
      </c>
    </row>
    <row r="247" spans="1:11" x14ac:dyDescent="0.3">
      <c r="A247" s="5" t="s">
        <v>45</v>
      </c>
      <c r="B247" s="6">
        <v>40233</v>
      </c>
      <c r="C247" s="5">
        <v>9</v>
      </c>
      <c r="D247" s="5">
        <v>2</v>
      </c>
      <c r="E247" s="5">
        <v>2010</v>
      </c>
      <c r="F247" s="5" t="s">
        <v>20</v>
      </c>
      <c r="G247" s="5" t="s">
        <v>5</v>
      </c>
      <c r="H247" s="7">
        <v>143828.35999999999</v>
      </c>
      <c r="I247" s="7">
        <v>157185.39000000001</v>
      </c>
      <c r="J247" s="7">
        <v>13357.030000000028</v>
      </c>
      <c r="K247" s="8">
        <v>9.2867846090993661E-2</v>
      </c>
    </row>
    <row r="248" spans="1:11" x14ac:dyDescent="0.3">
      <c r="A248" s="5" t="s">
        <v>45</v>
      </c>
      <c r="B248" s="6">
        <v>40233</v>
      </c>
      <c r="C248" s="5">
        <v>9</v>
      </c>
      <c r="D248" s="5">
        <v>2</v>
      </c>
      <c r="E248" s="5">
        <v>2010</v>
      </c>
      <c r="F248" s="5" t="s">
        <v>21</v>
      </c>
      <c r="G248" s="5" t="s">
        <v>5</v>
      </c>
      <c r="H248" s="7">
        <v>162737.74</v>
      </c>
      <c r="I248" s="7">
        <v>173564.7</v>
      </c>
      <c r="J248" s="7">
        <v>10826.960000000021</v>
      </c>
      <c r="K248" s="8">
        <v>6.6530111577068854E-2</v>
      </c>
    </row>
    <row r="249" spans="1:11" x14ac:dyDescent="0.3">
      <c r="A249" s="5" t="s">
        <v>45</v>
      </c>
      <c r="B249" s="6">
        <v>40233</v>
      </c>
      <c r="C249" s="5">
        <v>9</v>
      </c>
      <c r="D249" s="5">
        <v>2</v>
      </c>
      <c r="E249" s="5">
        <v>2010</v>
      </c>
      <c r="F249" s="5" t="s">
        <v>22</v>
      </c>
      <c r="G249" s="5" t="s">
        <v>8</v>
      </c>
      <c r="H249" s="7">
        <v>242355.45</v>
      </c>
      <c r="I249" s="7">
        <v>262636.90000000002</v>
      </c>
      <c r="J249" s="7">
        <v>20281.450000000012</v>
      </c>
      <c r="K249" s="8">
        <v>8.368472836076106E-2</v>
      </c>
    </row>
    <row r="250" spans="1:11" x14ac:dyDescent="0.3">
      <c r="A250" s="5" t="s">
        <v>45</v>
      </c>
      <c r="B250" s="6">
        <v>40233</v>
      </c>
      <c r="C250" s="5">
        <v>9</v>
      </c>
      <c r="D250" s="5">
        <v>2</v>
      </c>
      <c r="E250" s="5">
        <v>2010</v>
      </c>
      <c r="F250" s="5" t="s">
        <v>23</v>
      </c>
      <c r="G250" s="5" t="s">
        <v>8</v>
      </c>
      <c r="H250" s="7">
        <v>120574.6</v>
      </c>
      <c r="I250" s="7">
        <v>127123.75</v>
      </c>
      <c r="J250" s="7">
        <v>6549.1499999999942</v>
      </c>
      <c r="K250" s="8">
        <v>5.4316166091365789E-2</v>
      </c>
    </row>
    <row r="251" spans="1:11" x14ac:dyDescent="0.3">
      <c r="A251" s="5" t="s">
        <v>45</v>
      </c>
      <c r="B251" s="6">
        <v>40233</v>
      </c>
      <c r="C251" s="5">
        <v>9</v>
      </c>
      <c r="D251" s="5">
        <v>2</v>
      </c>
      <c r="E251" s="5">
        <v>2010</v>
      </c>
      <c r="F251" s="5" t="s">
        <v>24</v>
      </c>
      <c r="G251" s="5" t="s">
        <v>8</v>
      </c>
      <c r="H251" s="7">
        <v>102343</v>
      </c>
      <c r="I251" s="7">
        <v>109414.96</v>
      </c>
      <c r="J251" s="7">
        <v>7071.9600000000064</v>
      </c>
      <c r="K251" s="8">
        <v>6.9100573561455172E-2</v>
      </c>
    </row>
    <row r="252" spans="1:11" x14ac:dyDescent="0.3">
      <c r="A252" s="5" t="s">
        <v>45</v>
      </c>
      <c r="B252" s="6">
        <v>40233</v>
      </c>
      <c r="C252" s="5">
        <v>9</v>
      </c>
      <c r="D252" s="5">
        <v>2</v>
      </c>
      <c r="E252" s="5">
        <v>2010</v>
      </c>
      <c r="F252" s="5" t="s">
        <v>25</v>
      </c>
      <c r="G252" s="5" t="s">
        <v>8</v>
      </c>
      <c r="H252" s="7">
        <v>21205.45</v>
      </c>
      <c r="I252" s="7">
        <v>23577.33</v>
      </c>
      <c r="J252" s="7">
        <v>2371.880000000001</v>
      </c>
      <c r="K252" s="8">
        <v>0.11185237757274667</v>
      </c>
    </row>
    <row r="253" spans="1:11" x14ac:dyDescent="0.3">
      <c r="A253" s="5" t="s">
        <v>45</v>
      </c>
      <c r="B253" s="6">
        <v>40233</v>
      </c>
      <c r="C253" s="5">
        <v>9</v>
      </c>
      <c r="D253" s="5">
        <v>2</v>
      </c>
      <c r="E253" s="5">
        <v>2010</v>
      </c>
      <c r="F253" s="5" t="s">
        <v>26</v>
      </c>
      <c r="G253" s="5" t="s">
        <v>10</v>
      </c>
      <c r="H253" s="7">
        <v>16388.400000000001</v>
      </c>
      <c r="I253" s="7">
        <v>18348.07</v>
      </c>
      <c r="J253" s="7">
        <v>1959.6699999999983</v>
      </c>
      <c r="K253" s="8">
        <v>0.11957665177808682</v>
      </c>
    </row>
    <row r="254" spans="1:11" x14ac:dyDescent="0.3">
      <c r="A254" s="5" t="s">
        <v>45</v>
      </c>
      <c r="B254" s="6">
        <v>40233</v>
      </c>
      <c r="C254" s="5">
        <v>9</v>
      </c>
      <c r="D254" s="5">
        <v>2</v>
      </c>
      <c r="E254" s="5">
        <v>2010</v>
      </c>
      <c r="F254" s="5" t="s">
        <v>27</v>
      </c>
      <c r="G254" s="5" t="s">
        <v>10</v>
      </c>
      <c r="H254" s="7">
        <v>150183.9</v>
      </c>
      <c r="I254" s="7">
        <v>171260.32</v>
      </c>
      <c r="J254" s="7">
        <v>21076.420000000013</v>
      </c>
      <c r="K254" s="8">
        <v>0.1403374129983308</v>
      </c>
    </row>
    <row r="255" spans="1:11" x14ac:dyDescent="0.3">
      <c r="A255" s="5" t="s">
        <v>45</v>
      </c>
      <c r="B255" s="6">
        <v>40233</v>
      </c>
      <c r="C255" s="5">
        <v>9</v>
      </c>
      <c r="D255" s="5">
        <v>2</v>
      </c>
      <c r="E255" s="5">
        <v>2010</v>
      </c>
      <c r="F255" s="5" t="s">
        <v>28</v>
      </c>
      <c r="G255" s="5" t="s">
        <v>10</v>
      </c>
      <c r="H255" s="7">
        <v>111478.07</v>
      </c>
      <c r="I255" s="7">
        <v>125490.04</v>
      </c>
      <c r="J255" s="7">
        <v>14011.969999999987</v>
      </c>
      <c r="K255" s="8">
        <v>0.12569261380287608</v>
      </c>
    </row>
    <row r="256" spans="1:11" x14ac:dyDescent="0.3">
      <c r="A256" s="5" t="s">
        <v>45</v>
      </c>
      <c r="B256" s="6">
        <v>40233</v>
      </c>
      <c r="C256" s="5">
        <v>9</v>
      </c>
      <c r="D256" s="5">
        <v>2</v>
      </c>
      <c r="E256" s="5">
        <v>2010</v>
      </c>
      <c r="F256" s="5" t="s">
        <v>29</v>
      </c>
      <c r="G256" s="5" t="s">
        <v>10</v>
      </c>
      <c r="H256" s="7">
        <v>515462</v>
      </c>
      <c r="I256" s="7">
        <v>567049.73</v>
      </c>
      <c r="J256" s="7">
        <v>51587.729999999981</v>
      </c>
      <c r="K256" s="8">
        <v>0.10008056849971478</v>
      </c>
    </row>
    <row r="257" spans="1:11" x14ac:dyDescent="0.3">
      <c r="A257" s="5" t="s">
        <v>45</v>
      </c>
      <c r="B257" s="6">
        <v>40233</v>
      </c>
      <c r="C257" s="5">
        <v>9</v>
      </c>
      <c r="D257" s="5">
        <v>2</v>
      </c>
      <c r="E257" s="5">
        <v>2010</v>
      </c>
      <c r="F257" s="5" t="s">
        <v>30</v>
      </c>
      <c r="G257" s="5" t="s">
        <v>10</v>
      </c>
      <c r="H257" s="7">
        <v>128624.26</v>
      </c>
      <c r="I257" s="7">
        <v>145485.79999999999</v>
      </c>
      <c r="J257" s="7">
        <v>16861.539999999994</v>
      </c>
      <c r="K257" s="8">
        <v>0.13109144418012586</v>
      </c>
    </row>
    <row r="258" spans="1:11" x14ac:dyDescent="0.3">
      <c r="A258" s="5" t="s">
        <v>45</v>
      </c>
      <c r="B258" s="6">
        <v>40233</v>
      </c>
      <c r="C258" s="5">
        <v>9</v>
      </c>
      <c r="D258" s="5">
        <v>2</v>
      </c>
      <c r="E258" s="5">
        <v>2010</v>
      </c>
      <c r="F258" s="5" t="s">
        <v>31</v>
      </c>
      <c r="G258" s="5" t="s">
        <v>7</v>
      </c>
      <c r="H258" s="7">
        <v>13879.98</v>
      </c>
      <c r="I258" s="7">
        <v>15488.19</v>
      </c>
      <c r="J258" s="7">
        <v>1608.2100000000009</v>
      </c>
      <c r="K258" s="8">
        <v>0.11586544072830084</v>
      </c>
    </row>
    <row r="259" spans="1:11" x14ac:dyDescent="0.3">
      <c r="A259" s="5" t="s">
        <v>45</v>
      </c>
      <c r="B259" s="6">
        <v>40233</v>
      </c>
      <c r="C259" s="5">
        <v>9</v>
      </c>
      <c r="D259" s="5">
        <v>2</v>
      </c>
      <c r="E259" s="5">
        <v>2010</v>
      </c>
      <c r="F259" s="5" t="s">
        <v>32</v>
      </c>
      <c r="G259" s="5" t="s">
        <v>7</v>
      </c>
      <c r="H259" s="7">
        <v>15421.47</v>
      </c>
      <c r="I259" s="7">
        <v>17718.75</v>
      </c>
      <c r="J259" s="7">
        <v>2297.2800000000007</v>
      </c>
      <c r="K259" s="8">
        <v>0.14896634367540842</v>
      </c>
    </row>
    <row r="260" spans="1:11" x14ac:dyDescent="0.3">
      <c r="A260" s="5" t="s">
        <v>45</v>
      </c>
      <c r="B260" s="6">
        <v>40233</v>
      </c>
      <c r="C260" s="5">
        <v>9</v>
      </c>
      <c r="D260" s="5">
        <v>2</v>
      </c>
      <c r="E260" s="5">
        <v>2010</v>
      </c>
      <c r="F260" s="5" t="s">
        <v>33</v>
      </c>
      <c r="G260" s="5" t="s">
        <v>7</v>
      </c>
      <c r="H260" s="7">
        <v>199615.13</v>
      </c>
      <c r="I260" s="7">
        <v>273003.88</v>
      </c>
      <c r="J260" s="7">
        <v>73388.75</v>
      </c>
      <c r="K260" s="8">
        <v>0.36765123966304558</v>
      </c>
    </row>
    <row r="261" spans="1:11" x14ac:dyDescent="0.3">
      <c r="A261" s="5" t="s">
        <v>45</v>
      </c>
      <c r="B261" s="6">
        <v>40233</v>
      </c>
      <c r="C261" s="5">
        <v>9</v>
      </c>
      <c r="D261" s="5">
        <v>2</v>
      </c>
      <c r="E261" s="5">
        <v>2010</v>
      </c>
      <c r="F261" s="5" t="s">
        <v>34</v>
      </c>
      <c r="G261" s="5" t="s">
        <v>7</v>
      </c>
      <c r="H261" s="7">
        <v>760</v>
      </c>
      <c r="I261" s="7">
        <v>949.88</v>
      </c>
      <c r="J261" s="7">
        <v>189.88</v>
      </c>
      <c r="K261" s="8">
        <v>0.24984210526315789</v>
      </c>
    </row>
    <row r="262" spans="1:11" x14ac:dyDescent="0.3">
      <c r="A262" s="5" t="s">
        <v>45</v>
      </c>
      <c r="B262" s="6">
        <v>40233</v>
      </c>
      <c r="C262" s="5">
        <v>9</v>
      </c>
      <c r="D262" s="5">
        <v>2</v>
      </c>
      <c r="E262" s="5">
        <v>2010</v>
      </c>
      <c r="F262" s="5" t="s">
        <v>35</v>
      </c>
      <c r="G262" s="5" t="s">
        <v>11</v>
      </c>
      <c r="H262" s="7">
        <v>2013.44</v>
      </c>
      <c r="I262" s="7">
        <v>2616.13</v>
      </c>
      <c r="J262" s="7">
        <v>602.69000000000005</v>
      </c>
      <c r="K262" s="8">
        <v>0.29933347902097907</v>
      </c>
    </row>
    <row r="263" spans="1:11" x14ac:dyDescent="0.3">
      <c r="A263" s="5" t="s">
        <v>45</v>
      </c>
      <c r="B263" s="6">
        <v>40233</v>
      </c>
      <c r="C263" s="5">
        <v>9</v>
      </c>
      <c r="D263" s="5">
        <v>2</v>
      </c>
      <c r="E263" s="5">
        <v>2010</v>
      </c>
      <c r="F263" s="5" t="s">
        <v>36</v>
      </c>
      <c r="G263" s="5" t="s">
        <v>11</v>
      </c>
      <c r="H263" s="7">
        <v>120580.03</v>
      </c>
      <c r="I263" s="7">
        <v>130638</v>
      </c>
      <c r="J263" s="7">
        <v>10057.970000000001</v>
      </c>
      <c r="K263" s="8">
        <v>8.3413231859371745E-2</v>
      </c>
    </row>
    <row r="264" spans="1:11" x14ac:dyDescent="0.3">
      <c r="A264" s="5" t="s">
        <v>45</v>
      </c>
      <c r="B264" s="6">
        <v>40233</v>
      </c>
      <c r="C264" s="5">
        <v>9</v>
      </c>
      <c r="D264" s="5">
        <v>2</v>
      </c>
      <c r="E264" s="5">
        <v>2010</v>
      </c>
      <c r="F264" s="5" t="s">
        <v>37</v>
      </c>
      <c r="G264" s="5" t="s">
        <v>11</v>
      </c>
      <c r="H264" s="7">
        <v>322729.8</v>
      </c>
      <c r="I264" s="7">
        <v>337249.53</v>
      </c>
      <c r="J264" s="7">
        <v>14519.73000000004</v>
      </c>
      <c r="K264" s="8">
        <v>4.4990360357178169E-2</v>
      </c>
    </row>
    <row r="265" spans="1:11" x14ac:dyDescent="0.3">
      <c r="A265" s="5" t="s">
        <v>45</v>
      </c>
      <c r="B265" s="6">
        <v>40233</v>
      </c>
      <c r="C265" s="5">
        <v>9</v>
      </c>
      <c r="D265" s="5">
        <v>2</v>
      </c>
      <c r="E265" s="5">
        <v>2010</v>
      </c>
      <c r="F265" s="5" t="s">
        <v>38</v>
      </c>
      <c r="G265" s="5" t="s">
        <v>11</v>
      </c>
      <c r="H265" s="7">
        <v>248037.03</v>
      </c>
      <c r="I265" s="7">
        <v>265308.06</v>
      </c>
      <c r="J265" s="7">
        <v>17271.03</v>
      </c>
      <c r="K265" s="8">
        <v>6.9630853102861295E-2</v>
      </c>
    </row>
    <row r="266" spans="1:11" x14ac:dyDescent="0.3">
      <c r="A266" s="5" t="s">
        <v>45</v>
      </c>
      <c r="B266" s="6">
        <v>40234</v>
      </c>
      <c r="C266" s="5">
        <v>9</v>
      </c>
      <c r="D266" s="5">
        <v>2</v>
      </c>
      <c r="E266" s="5">
        <v>2010</v>
      </c>
      <c r="F266" s="5" t="s">
        <v>14</v>
      </c>
      <c r="G266" s="5" t="s">
        <v>6</v>
      </c>
      <c r="H266" s="7">
        <v>13927</v>
      </c>
      <c r="I266" s="7">
        <v>16388.099999999999</v>
      </c>
      <c r="J266" s="7">
        <v>2461.0999999999985</v>
      </c>
      <c r="K266" s="8">
        <v>0.17671429597185312</v>
      </c>
    </row>
    <row r="267" spans="1:11" x14ac:dyDescent="0.3">
      <c r="A267" s="5" t="s">
        <v>45</v>
      </c>
      <c r="B267" s="6">
        <v>40234</v>
      </c>
      <c r="C267" s="5">
        <v>9</v>
      </c>
      <c r="D267" s="5">
        <v>2</v>
      </c>
      <c r="E267" s="5">
        <v>2010</v>
      </c>
      <c r="F267" s="5" t="s">
        <v>15</v>
      </c>
      <c r="G267" s="5" t="s">
        <v>6</v>
      </c>
      <c r="H267" s="7">
        <v>216638.68</v>
      </c>
      <c r="I267" s="7">
        <v>270733.18</v>
      </c>
      <c r="J267" s="7">
        <v>54094.5</v>
      </c>
      <c r="K267" s="8">
        <v>0.24969917652747886</v>
      </c>
    </row>
    <row r="268" spans="1:11" x14ac:dyDescent="0.3">
      <c r="A268" s="5" t="s">
        <v>45</v>
      </c>
      <c r="B268" s="6">
        <v>40234</v>
      </c>
      <c r="C268" s="5">
        <v>9</v>
      </c>
      <c r="D268" s="5">
        <v>2</v>
      </c>
      <c r="E268" s="5">
        <v>2010</v>
      </c>
      <c r="F268" s="5" t="s">
        <v>16</v>
      </c>
      <c r="G268" s="5" t="s">
        <v>6</v>
      </c>
      <c r="H268" s="7">
        <v>70091.05</v>
      </c>
      <c r="I268" s="7">
        <v>77458.710000000006</v>
      </c>
      <c r="J268" s="7">
        <v>7367.6600000000035</v>
      </c>
      <c r="K268" s="8">
        <v>0.10511556040321843</v>
      </c>
    </row>
    <row r="269" spans="1:11" x14ac:dyDescent="0.3">
      <c r="A269" s="5" t="s">
        <v>45</v>
      </c>
      <c r="B269" s="6">
        <v>40234</v>
      </c>
      <c r="C269" s="5">
        <v>9</v>
      </c>
      <c r="D269" s="5">
        <v>2</v>
      </c>
      <c r="E269" s="5">
        <v>2010</v>
      </c>
      <c r="F269" s="5" t="s">
        <v>17</v>
      </c>
      <c r="G269" s="5" t="s">
        <v>6</v>
      </c>
      <c r="H269" s="7">
        <v>1722</v>
      </c>
      <c r="I269" s="7">
        <v>1979.9</v>
      </c>
      <c r="J269" s="7">
        <v>257.90000000000009</v>
      </c>
      <c r="K269" s="8">
        <v>0.14976771196283398</v>
      </c>
    </row>
    <row r="270" spans="1:11" x14ac:dyDescent="0.3">
      <c r="A270" s="5" t="s">
        <v>45</v>
      </c>
      <c r="B270" s="6">
        <v>40234</v>
      </c>
      <c r="C270" s="5">
        <v>9</v>
      </c>
      <c r="D270" s="5">
        <v>2</v>
      </c>
      <c r="E270" s="5">
        <v>2010</v>
      </c>
      <c r="F270" s="5" t="s">
        <v>18</v>
      </c>
      <c r="G270" s="5" t="s">
        <v>6</v>
      </c>
      <c r="H270" s="7">
        <v>3138.87</v>
      </c>
      <c r="I270" s="7">
        <v>3346.91</v>
      </c>
      <c r="J270" s="7">
        <v>208.03999999999996</v>
      </c>
      <c r="K270" s="8">
        <v>6.6278628933342243E-2</v>
      </c>
    </row>
    <row r="271" spans="1:11" x14ac:dyDescent="0.3">
      <c r="A271" s="5" t="s">
        <v>45</v>
      </c>
      <c r="B271" s="6">
        <v>40234</v>
      </c>
      <c r="C271" s="5">
        <v>9</v>
      </c>
      <c r="D271" s="5">
        <v>2</v>
      </c>
      <c r="E271" s="5">
        <v>2010</v>
      </c>
      <c r="F271" s="5" t="s">
        <v>19</v>
      </c>
      <c r="G271" s="5" t="s">
        <v>5</v>
      </c>
      <c r="H271" s="7">
        <v>128549.71</v>
      </c>
      <c r="I271" s="7">
        <v>140384.98000000001</v>
      </c>
      <c r="J271" s="7">
        <v>11835.270000000004</v>
      </c>
      <c r="K271" s="8">
        <v>9.2067652272416672E-2</v>
      </c>
    </row>
    <row r="272" spans="1:11" x14ac:dyDescent="0.3">
      <c r="A272" s="5" t="s">
        <v>45</v>
      </c>
      <c r="B272" s="6">
        <v>40234</v>
      </c>
      <c r="C272" s="5">
        <v>9</v>
      </c>
      <c r="D272" s="5">
        <v>2</v>
      </c>
      <c r="E272" s="5">
        <v>2010</v>
      </c>
      <c r="F272" s="5" t="s">
        <v>5</v>
      </c>
      <c r="G272" s="5" t="s">
        <v>5</v>
      </c>
      <c r="H272" s="7">
        <v>437967.44</v>
      </c>
      <c r="I272" s="7">
        <v>466948.13</v>
      </c>
      <c r="J272" s="7">
        <v>28980.690000000002</v>
      </c>
      <c r="K272" s="8">
        <v>6.6170877908184225E-2</v>
      </c>
    </row>
    <row r="273" spans="1:11" x14ac:dyDescent="0.3">
      <c r="A273" s="5" t="s">
        <v>45</v>
      </c>
      <c r="B273" s="6">
        <v>40234</v>
      </c>
      <c r="C273" s="5">
        <v>9</v>
      </c>
      <c r="D273" s="5">
        <v>2</v>
      </c>
      <c r="E273" s="5">
        <v>2010</v>
      </c>
      <c r="F273" s="5" t="s">
        <v>20</v>
      </c>
      <c r="G273" s="5" t="s">
        <v>5</v>
      </c>
      <c r="H273" s="7">
        <v>124716.68</v>
      </c>
      <c r="I273" s="7">
        <v>135978.10999999999</v>
      </c>
      <c r="J273" s="7">
        <v>11261.429999999993</v>
      </c>
      <c r="K273" s="8">
        <v>9.0296101531888065E-2</v>
      </c>
    </row>
    <row r="274" spans="1:11" x14ac:dyDescent="0.3">
      <c r="A274" s="5" t="s">
        <v>45</v>
      </c>
      <c r="B274" s="6">
        <v>40234</v>
      </c>
      <c r="C274" s="5">
        <v>9</v>
      </c>
      <c r="D274" s="5">
        <v>2</v>
      </c>
      <c r="E274" s="5">
        <v>2010</v>
      </c>
      <c r="F274" s="5" t="s">
        <v>21</v>
      </c>
      <c r="G274" s="5" t="s">
        <v>5</v>
      </c>
      <c r="H274" s="7">
        <v>183870.91</v>
      </c>
      <c r="I274" s="7">
        <v>195990.05</v>
      </c>
      <c r="J274" s="7">
        <v>12119.139999999985</v>
      </c>
      <c r="K274" s="8">
        <v>6.5911132979110096E-2</v>
      </c>
    </row>
    <row r="275" spans="1:11" x14ac:dyDescent="0.3">
      <c r="A275" s="5" t="s">
        <v>45</v>
      </c>
      <c r="B275" s="6">
        <v>40234</v>
      </c>
      <c r="C275" s="5">
        <v>9</v>
      </c>
      <c r="D275" s="5">
        <v>2</v>
      </c>
      <c r="E275" s="5">
        <v>2010</v>
      </c>
      <c r="F275" s="5" t="s">
        <v>22</v>
      </c>
      <c r="G275" s="5" t="s">
        <v>8</v>
      </c>
      <c r="H275" s="7">
        <v>361977.32</v>
      </c>
      <c r="I275" s="7">
        <v>392700.15999999997</v>
      </c>
      <c r="J275" s="7">
        <v>30722.839999999967</v>
      </c>
      <c r="K275" s="8">
        <v>8.487504134236909E-2</v>
      </c>
    </row>
    <row r="276" spans="1:11" x14ac:dyDescent="0.3">
      <c r="A276" s="5" t="s">
        <v>45</v>
      </c>
      <c r="B276" s="6">
        <v>40234</v>
      </c>
      <c r="C276" s="5">
        <v>9</v>
      </c>
      <c r="D276" s="5">
        <v>2</v>
      </c>
      <c r="E276" s="5">
        <v>2010</v>
      </c>
      <c r="F276" s="5" t="s">
        <v>23</v>
      </c>
      <c r="G276" s="5" t="s">
        <v>8</v>
      </c>
      <c r="H276" s="7">
        <v>132529</v>
      </c>
      <c r="I276" s="7">
        <v>139302.38</v>
      </c>
      <c r="J276" s="7">
        <v>6773.3800000000047</v>
      </c>
      <c r="K276" s="8">
        <v>5.1108663009605482E-2</v>
      </c>
    </row>
    <row r="277" spans="1:11" x14ac:dyDescent="0.3">
      <c r="A277" s="5" t="s">
        <v>45</v>
      </c>
      <c r="B277" s="6">
        <v>40234</v>
      </c>
      <c r="C277" s="5">
        <v>9</v>
      </c>
      <c r="D277" s="5">
        <v>2</v>
      </c>
      <c r="E277" s="5">
        <v>2010</v>
      </c>
      <c r="F277" s="5" t="s">
        <v>24</v>
      </c>
      <c r="G277" s="5" t="s">
        <v>8</v>
      </c>
      <c r="H277" s="7">
        <v>114008</v>
      </c>
      <c r="I277" s="7">
        <v>122302.85</v>
      </c>
      <c r="J277" s="7">
        <v>8294.8500000000058</v>
      </c>
      <c r="K277" s="8">
        <v>7.2756736369377642E-2</v>
      </c>
    </row>
    <row r="278" spans="1:11" x14ac:dyDescent="0.3">
      <c r="A278" s="5" t="s">
        <v>45</v>
      </c>
      <c r="B278" s="6">
        <v>40234</v>
      </c>
      <c r="C278" s="5">
        <v>9</v>
      </c>
      <c r="D278" s="5">
        <v>2</v>
      </c>
      <c r="E278" s="5">
        <v>2010</v>
      </c>
      <c r="F278" s="5" t="s">
        <v>25</v>
      </c>
      <c r="G278" s="5" t="s">
        <v>8</v>
      </c>
      <c r="H278" s="7">
        <v>17623.349999999999</v>
      </c>
      <c r="I278" s="7">
        <v>20086.009999999998</v>
      </c>
      <c r="J278" s="7">
        <v>2462.66</v>
      </c>
      <c r="K278" s="8">
        <v>0.1397384719704256</v>
      </c>
    </row>
    <row r="279" spans="1:11" x14ac:dyDescent="0.3">
      <c r="A279" s="5" t="s">
        <v>45</v>
      </c>
      <c r="B279" s="6">
        <v>40234</v>
      </c>
      <c r="C279" s="5">
        <v>9</v>
      </c>
      <c r="D279" s="5">
        <v>2</v>
      </c>
      <c r="E279" s="5">
        <v>2010</v>
      </c>
      <c r="F279" s="5" t="s">
        <v>26</v>
      </c>
      <c r="G279" s="5" t="s">
        <v>10</v>
      </c>
      <c r="H279" s="7">
        <v>11670.88</v>
      </c>
      <c r="I279" s="7">
        <v>13100.04</v>
      </c>
      <c r="J279" s="7">
        <v>1429.1600000000017</v>
      </c>
      <c r="K279" s="8">
        <v>0.12245520474891369</v>
      </c>
    </row>
    <row r="280" spans="1:11" x14ac:dyDescent="0.3">
      <c r="A280" s="5" t="s">
        <v>45</v>
      </c>
      <c r="B280" s="6">
        <v>40234</v>
      </c>
      <c r="C280" s="5">
        <v>9</v>
      </c>
      <c r="D280" s="5">
        <v>2</v>
      </c>
      <c r="E280" s="5">
        <v>2010</v>
      </c>
      <c r="F280" s="5" t="s">
        <v>27</v>
      </c>
      <c r="G280" s="5" t="s">
        <v>10</v>
      </c>
      <c r="H280" s="7">
        <v>199939.67</v>
      </c>
      <c r="I280" s="7">
        <v>227027.08</v>
      </c>
      <c r="J280" s="7">
        <v>27087.409999999974</v>
      </c>
      <c r="K280" s="8">
        <v>0.13547791691363686</v>
      </c>
    </row>
    <row r="281" spans="1:11" x14ac:dyDescent="0.3">
      <c r="A281" s="5" t="s">
        <v>45</v>
      </c>
      <c r="B281" s="6">
        <v>40234</v>
      </c>
      <c r="C281" s="5">
        <v>9</v>
      </c>
      <c r="D281" s="5">
        <v>2</v>
      </c>
      <c r="E281" s="5">
        <v>2010</v>
      </c>
      <c r="F281" s="5" t="s">
        <v>28</v>
      </c>
      <c r="G281" s="5" t="s">
        <v>10</v>
      </c>
      <c r="H281" s="7">
        <v>127030.16</v>
      </c>
      <c r="I281" s="7">
        <v>139079.98000000001</v>
      </c>
      <c r="J281" s="7">
        <v>12049.820000000007</v>
      </c>
      <c r="K281" s="8">
        <v>9.4857945546160116E-2</v>
      </c>
    </row>
    <row r="282" spans="1:11" x14ac:dyDescent="0.3">
      <c r="A282" s="5" t="s">
        <v>45</v>
      </c>
      <c r="B282" s="6">
        <v>40234</v>
      </c>
      <c r="C282" s="5">
        <v>9</v>
      </c>
      <c r="D282" s="5">
        <v>2</v>
      </c>
      <c r="E282" s="5">
        <v>2010</v>
      </c>
      <c r="F282" s="5" t="s">
        <v>29</v>
      </c>
      <c r="G282" s="5" t="s">
        <v>10</v>
      </c>
      <c r="H282" s="7">
        <v>604649.57999999996</v>
      </c>
      <c r="I282" s="7">
        <v>666842.62</v>
      </c>
      <c r="J282" s="7">
        <v>62193.040000000037</v>
      </c>
      <c r="K282" s="8">
        <v>0.10285798925056731</v>
      </c>
    </row>
    <row r="283" spans="1:11" x14ac:dyDescent="0.3">
      <c r="A283" s="5" t="s">
        <v>45</v>
      </c>
      <c r="B283" s="6">
        <v>40234</v>
      </c>
      <c r="C283" s="5">
        <v>9</v>
      </c>
      <c r="D283" s="5">
        <v>2</v>
      </c>
      <c r="E283" s="5">
        <v>2010</v>
      </c>
      <c r="F283" s="5" t="s">
        <v>30</v>
      </c>
      <c r="G283" s="5" t="s">
        <v>10</v>
      </c>
      <c r="H283" s="7">
        <v>147344.78</v>
      </c>
      <c r="I283" s="7">
        <v>166509.49</v>
      </c>
      <c r="J283" s="7">
        <v>19164.709999999992</v>
      </c>
      <c r="K283" s="8">
        <v>0.13006711198048546</v>
      </c>
    </row>
    <row r="284" spans="1:11" x14ac:dyDescent="0.3">
      <c r="A284" s="5" t="s">
        <v>45</v>
      </c>
      <c r="B284" s="6">
        <v>40234</v>
      </c>
      <c r="C284" s="5">
        <v>9</v>
      </c>
      <c r="D284" s="5">
        <v>2</v>
      </c>
      <c r="E284" s="5">
        <v>2010</v>
      </c>
      <c r="F284" s="5" t="s">
        <v>31</v>
      </c>
      <c r="G284" s="5" t="s">
        <v>7</v>
      </c>
      <c r="H284" s="7">
        <v>18844.43</v>
      </c>
      <c r="I284" s="7">
        <v>20951.830000000002</v>
      </c>
      <c r="J284" s="7">
        <v>2107.4000000000015</v>
      </c>
      <c r="K284" s="8">
        <v>0.11183145364439261</v>
      </c>
    </row>
    <row r="285" spans="1:11" x14ac:dyDescent="0.3">
      <c r="A285" s="5" t="s">
        <v>45</v>
      </c>
      <c r="B285" s="6">
        <v>40234</v>
      </c>
      <c r="C285" s="5">
        <v>9</v>
      </c>
      <c r="D285" s="5">
        <v>2</v>
      </c>
      <c r="E285" s="5">
        <v>2010</v>
      </c>
      <c r="F285" s="5" t="s">
        <v>32</v>
      </c>
      <c r="G285" s="5" t="s">
        <v>7</v>
      </c>
      <c r="H285" s="7">
        <v>25499.63</v>
      </c>
      <c r="I285" s="7">
        <v>29318.54</v>
      </c>
      <c r="J285" s="7">
        <v>3818.91</v>
      </c>
      <c r="K285" s="8">
        <v>0.1497633495074242</v>
      </c>
    </row>
    <row r="286" spans="1:11" x14ac:dyDescent="0.3">
      <c r="A286" s="5" t="s">
        <v>45</v>
      </c>
      <c r="B286" s="6">
        <v>40234</v>
      </c>
      <c r="C286" s="5">
        <v>9</v>
      </c>
      <c r="D286" s="5">
        <v>2</v>
      </c>
      <c r="E286" s="5">
        <v>2010</v>
      </c>
      <c r="F286" s="5" t="s">
        <v>33</v>
      </c>
      <c r="G286" s="5" t="s">
        <v>7</v>
      </c>
      <c r="H286" s="7">
        <v>206847.61</v>
      </c>
      <c r="I286" s="7">
        <v>285104.69</v>
      </c>
      <c r="J286" s="7">
        <v>78257.080000000016</v>
      </c>
      <c r="K286" s="8">
        <v>0.37833204840993823</v>
      </c>
    </row>
    <row r="287" spans="1:11" x14ac:dyDescent="0.3">
      <c r="A287" s="5" t="s">
        <v>45</v>
      </c>
      <c r="B287" s="6">
        <v>40234</v>
      </c>
      <c r="C287" s="5">
        <v>9</v>
      </c>
      <c r="D287" s="5">
        <v>2</v>
      </c>
      <c r="E287" s="5">
        <v>2010</v>
      </c>
      <c r="F287" s="5" t="s">
        <v>34</v>
      </c>
      <c r="G287" s="5" t="s">
        <v>7</v>
      </c>
      <c r="H287" s="7">
        <v>152</v>
      </c>
      <c r="I287" s="7">
        <v>190</v>
      </c>
      <c r="J287" s="7">
        <v>38</v>
      </c>
      <c r="K287" s="8">
        <v>0.25</v>
      </c>
    </row>
    <row r="288" spans="1:11" x14ac:dyDescent="0.3">
      <c r="A288" s="5" t="s">
        <v>45</v>
      </c>
      <c r="B288" s="6">
        <v>40234</v>
      </c>
      <c r="C288" s="5">
        <v>9</v>
      </c>
      <c r="D288" s="5">
        <v>2</v>
      </c>
      <c r="E288" s="5">
        <v>2010</v>
      </c>
      <c r="F288" s="5" t="s">
        <v>35</v>
      </c>
      <c r="G288" s="5" t="s">
        <v>11</v>
      </c>
      <c r="H288" s="7">
        <v>3625.88</v>
      </c>
      <c r="I288" s="7">
        <v>4712.5600000000004</v>
      </c>
      <c r="J288" s="7">
        <v>1086.6800000000003</v>
      </c>
      <c r="K288" s="8">
        <v>0.29970103809282167</v>
      </c>
    </row>
    <row r="289" spans="1:11" x14ac:dyDescent="0.3">
      <c r="A289" s="5" t="s">
        <v>45</v>
      </c>
      <c r="B289" s="6">
        <v>40234</v>
      </c>
      <c r="C289" s="5">
        <v>9</v>
      </c>
      <c r="D289" s="5">
        <v>2</v>
      </c>
      <c r="E289" s="5">
        <v>2010</v>
      </c>
      <c r="F289" s="5" t="s">
        <v>36</v>
      </c>
      <c r="G289" s="5" t="s">
        <v>11</v>
      </c>
      <c r="H289" s="7">
        <v>139079.62</v>
      </c>
      <c r="I289" s="7">
        <v>150205.19</v>
      </c>
      <c r="J289" s="7">
        <v>11125.570000000007</v>
      </c>
      <c r="K289" s="8">
        <v>7.9994250775203488E-2</v>
      </c>
    </row>
    <row r="290" spans="1:11" x14ac:dyDescent="0.3">
      <c r="A290" s="5" t="s">
        <v>45</v>
      </c>
      <c r="B290" s="6">
        <v>40234</v>
      </c>
      <c r="C290" s="5">
        <v>9</v>
      </c>
      <c r="D290" s="5">
        <v>2</v>
      </c>
      <c r="E290" s="5">
        <v>2010</v>
      </c>
      <c r="F290" s="5" t="s">
        <v>37</v>
      </c>
      <c r="G290" s="5" t="s">
        <v>11</v>
      </c>
      <c r="H290" s="7">
        <v>332840.43</v>
      </c>
      <c r="I290" s="7">
        <v>354010.24</v>
      </c>
      <c r="J290" s="7">
        <v>21169.809999999998</v>
      </c>
      <c r="K290" s="8">
        <v>6.3603481103542608E-2</v>
      </c>
    </row>
    <row r="291" spans="1:11" x14ac:dyDescent="0.3">
      <c r="A291" s="5" t="s">
        <v>45</v>
      </c>
      <c r="B291" s="6">
        <v>40234</v>
      </c>
      <c r="C291" s="5">
        <v>9</v>
      </c>
      <c r="D291" s="5">
        <v>2</v>
      </c>
      <c r="E291" s="5">
        <v>2010</v>
      </c>
      <c r="F291" s="5" t="s">
        <v>38</v>
      </c>
      <c r="G291" s="5" t="s">
        <v>11</v>
      </c>
      <c r="H291" s="7">
        <v>276529.51</v>
      </c>
      <c r="I291" s="7">
        <v>291452.48</v>
      </c>
      <c r="J291" s="7">
        <v>14922.969999999972</v>
      </c>
      <c r="K291" s="8">
        <v>5.3965198867925425E-2</v>
      </c>
    </row>
    <row r="292" spans="1:11" x14ac:dyDescent="0.3">
      <c r="A292" s="5" t="s">
        <v>45</v>
      </c>
      <c r="B292" s="6">
        <v>40235</v>
      </c>
      <c r="C292" s="5">
        <v>9</v>
      </c>
      <c r="D292" s="5">
        <v>2</v>
      </c>
      <c r="E292" s="5">
        <v>2010</v>
      </c>
      <c r="F292" s="5" t="s">
        <v>14</v>
      </c>
      <c r="G292" s="5" t="s">
        <v>6</v>
      </c>
      <c r="H292" s="7">
        <v>11137</v>
      </c>
      <c r="I292" s="7">
        <v>13336.84</v>
      </c>
      <c r="J292" s="7">
        <v>2199.84</v>
      </c>
      <c r="K292" s="8">
        <v>0.19752536589745892</v>
      </c>
    </row>
    <row r="293" spans="1:11" x14ac:dyDescent="0.3">
      <c r="A293" s="5" t="s">
        <v>45</v>
      </c>
      <c r="B293" s="6">
        <v>40235</v>
      </c>
      <c r="C293" s="5">
        <v>9</v>
      </c>
      <c r="D293" s="5">
        <v>2</v>
      </c>
      <c r="E293" s="5">
        <v>2010</v>
      </c>
      <c r="F293" s="5" t="s">
        <v>15</v>
      </c>
      <c r="G293" s="5" t="s">
        <v>6</v>
      </c>
      <c r="H293" s="7">
        <v>293940.44</v>
      </c>
      <c r="I293" s="7">
        <v>376639.23</v>
      </c>
      <c r="J293" s="7">
        <v>82698.789999999979</v>
      </c>
      <c r="K293" s="8">
        <v>0.28134539772751233</v>
      </c>
    </row>
    <row r="294" spans="1:11" x14ac:dyDescent="0.3">
      <c r="A294" s="5" t="s">
        <v>45</v>
      </c>
      <c r="B294" s="6">
        <v>40235</v>
      </c>
      <c r="C294" s="5">
        <v>9</v>
      </c>
      <c r="D294" s="5">
        <v>2</v>
      </c>
      <c r="E294" s="5">
        <v>2010</v>
      </c>
      <c r="F294" s="5" t="s">
        <v>16</v>
      </c>
      <c r="G294" s="5" t="s">
        <v>6</v>
      </c>
      <c r="H294" s="7">
        <v>90714.35</v>
      </c>
      <c r="I294" s="7">
        <v>99805.5</v>
      </c>
      <c r="J294" s="7">
        <v>9091.1499999999942</v>
      </c>
      <c r="K294" s="8">
        <v>0.10021733055464757</v>
      </c>
    </row>
    <row r="295" spans="1:11" x14ac:dyDescent="0.3">
      <c r="A295" s="5" t="s">
        <v>45</v>
      </c>
      <c r="B295" s="6">
        <v>40235</v>
      </c>
      <c r="C295" s="5">
        <v>9</v>
      </c>
      <c r="D295" s="5">
        <v>2</v>
      </c>
      <c r="E295" s="5">
        <v>2010</v>
      </c>
      <c r="F295" s="5" t="s">
        <v>17</v>
      </c>
      <c r="G295" s="5" t="s">
        <v>6</v>
      </c>
      <c r="H295" s="7">
        <v>574</v>
      </c>
      <c r="I295" s="7">
        <v>659.94</v>
      </c>
      <c r="J295" s="7">
        <v>85.940000000000055</v>
      </c>
      <c r="K295" s="8">
        <v>0.14972125435540079</v>
      </c>
    </row>
    <row r="296" spans="1:11" x14ac:dyDescent="0.3">
      <c r="A296" s="5" t="s">
        <v>45</v>
      </c>
      <c r="B296" s="6">
        <v>40235</v>
      </c>
      <c r="C296" s="5">
        <v>9</v>
      </c>
      <c r="D296" s="5">
        <v>2</v>
      </c>
      <c r="E296" s="5">
        <v>2010</v>
      </c>
      <c r="F296" s="5" t="s">
        <v>18</v>
      </c>
      <c r="G296" s="5" t="s">
        <v>6</v>
      </c>
      <c r="H296" s="7">
        <v>3345.61</v>
      </c>
      <c r="I296" s="7">
        <v>3679.91</v>
      </c>
      <c r="J296" s="7">
        <v>334.29999999999973</v>
      </c>
      <c r="K296" s="8">
        <v>9.9921987320697778E-2</v>
      </c>
    </row>
    <row r="297" spans="1:11" x14ac:dyDescent="0.3">
      <c r="A297" s="5" t="s">
        <v>45</v>
      </c>
      <c r="B297" s="6">
        <v>40235</v>
      </c>
      <c r="C297" s="5">
        <v>9</v>
      </c>
      <c r="D297" s="5">
        <v>2</v>
      </c>
      <c r="E297" s="5">
        <v>2010</v>
      </c>
      <c r="F297" s="5" t="s">
        <v>19</v>
      </c>
      <c r="G297" s="5" t="s">
        <v>5</v>
      </c>
      <c r="H297" s="7">
        <v>180884.37</v>
      </c>
      <c r="I297" s="7">
        <v>197663.6</v>
      </c>
      <c r="J297" s="7">
        <v>16779.23000000001</v>
      </c>
      <c r="K297" s="8">
        <v>9.2762188352702946E-2</v>
      </c>
    </row>
    <row r="298" spans="1:11" x14ac:dyDescent="0.3">
      <c r="A298" s="5" t="s">
        <v>45</v>
      </c>
      <c r="B298" s="6">
        <v>40235</v>
      </c>
      <c r="C298" s="5">
        <v>9</v>
      </c>
      <c r="D298" s="5">
        <v>2</v>
      </c>
      <c r="E298" s="5">
        <v>2010</v>
      </c>
      <c r="F298" s="5" t="s">
        <v>5</v>
      </c>
      <c r="G298" s="5" t="s">
        <v>5</v>
      </c>
      <c r="H298" s="7">
        <v>609869.49</v>
      </c>
      <c r="I298" s="7">
        <v>644887.81000000006</v>
      </c>
      <c r="J298" s="7">
        <v>35018.320000000065</v>
      </c>
      <c r="K298" s="8">
        <v>5.7419366887823925E-2</v>
      </c>
    </row>
    <row r="299" spans="1:11" x14ac:dyDescent="0.3">
      <c r="A299" s="5" t="s">
        <v>45</v>
      </c>
      <c r="B299" s="6">
        <v>40235</v>
      </c>
      <c r="C299" s="5">
        <v>9</v>
      </c>
      <c r="D299" s="5">
        <v>2</v>
      </c>
      <c r="E299" s="5">
        <v>2010</v>
      </c>
      <c r="F299" s="5" t="s">
        <v>20</v>
      </c>
      <c r="G299" s="5" t="s">
        <v>5</v>
      </c>
      <c r="H299" s="7">
        <v>140906.16</v>
      </c>
      <c r="I299" s="7">
        <v>155201.1</v>
      </c>
      <c r="J299" s="7">
        <v>14294.940000000002</v>
      </c>
      <c r="K299" s="8">
        <v>0.10145007145180879</v>
      </c>
    </row>
    <row r="300" spans="1:11" x14ac:dyDescent="0.3">
      <c r="A300" s="5" t="s">
        <v>45</v>
      </c>
      <c r="B300" s="6">
        <v>40235</v>
      </c>
      <c r="C300" s="5">
        <v>9</v>
      </c>
      <c r="D300" s="5">
        <v>2</v>
      </c>
      <c r="E300" s="5">
        <v>2010</v>
      </c>
      <c r="F300" s="5" t="s">
        <v>21</v>
      </c>
      <c r="G300" s="5" t="s">
        <v>5</v>
      </c>
      <c r="H300" s="7">
        <v>259567.82</v>
      </c>
      <c r="I300" s="7">
        <v>277659.78999999998</v>
      </c>
      <c r="J300" s="7">
        <v>18091.969999999972</v>
      </c>
      <c r="K300" s="8">
        <v>6.970035807982658E-2</v>
      </c>
    </row>
    <row r="301" spans="1:11" x14ac:dyDescent="0.3">
      <c r="A301" s="5" t="s">
        <v>45</v>
      </c>
      <c r="B301" s="6">
        <v>40235</v>
      </c>
      <c r="C301" s="5">
        <v>9</v>
      </c>
      <c r="D301" s="5">
        <v>2</v>
      </c>
      <c r="E301" s="5">
        <v>2010</v>
      </c>
      <c r="F301" s="5" t="s">
        <v>22</v>
      </c>
      <c r="G301" s="5" t="s">
        <v>8</v>
      </c>
      <c r="H301" s="7">
        <v>515369.44</v>
      </c>
      <c r="I301" s="7">
        <v>555258.99</v>
      </c>
      <c r="J301" s="7">
        <v>39889.549999999988</v>
      </c>
      <c r="K301" s="8">
        <v>7.7399913351478486E-2</v>
      </c>
    </row>
    <row r="302" spans="1:11" x14ac:dyDescent="0.3">
      <c r="A302" s="5" t="s">
        <v>45</v>
      </c>
      <c r="B302" s="6">
        <v>40235</v>
      </c>
      <c r="C302" s="5">
        <v>9</v>
      </c>
      <c r="D302" s="5">
        <v>2</v>
      </c>
      <c r="E302" s="5">
        <v>2010</v>
      </c>
      <c r="F302" s="5" t="s">
        <v>23</v>
      </c>
      <c r="G302" s="5" t="s">
        <v>8</v>
      </c>
      <c r="H302" s="7">
        <v>148709.67000000001</v>
      </c>
      <c r="I302" s="7">
        <v>157455.53</v>
      </c>
      <c r="J302" s="7">
        <v>8745.859999999986</v>
      </c>
      <c r="K302" s="8">
        <v>5.8811642847435446E-2</v>
      </c>
    </row>
    <row r="303" spans="1:11" x14ac:dyDescent="0.3">
      <c r="A303" s="5" t="s">
        <v>45</v>
      </c>
      <c r="B303" s="6">
        <v>40235</v>
      </c>
      <c r="C303" s="5">
        <v>9</v>
      </c>
      <c r="D303" s="5">
        <v>2</v>
      </c>
      <c r="E303" s="5">
        <v>2010</v>
      </c>
      <c r="F303" s="5" t="s">
        <v>24</v>
      </c>
      <c r="G303" s="5" t="s">
        <v>8</v>
      </c>
      <c r="H303" s="7">
        <v>170026</v>
      </c>
      <c r="I303" s="7">
        <v>180638.71</v>
      </c>
      <c r="J303" s="7">
        <v>10612.709999999992</v>
      </c>
      <c r="K303" s="8">
        <v>6.2418159575594274E-2</v>
      </c>
    </row>
    <row r="304" spans="1:11" x14ac:dyDescent="0.3">
      <c r="A304" s="5" t="s">
        <v>45</v>
      </c>
      <c r="B304" s="6">
        <v>40235</v>
      </c>
      <c r="C304" s="5">
        <v>9</v>
      </c>
      <c r="D304" s="5">
        <v>2</v>
      </c>
      <c r="E304" s="5">
        <v>2010</v>
      </c>
      <c r="F304" s="5" t="s">
        <v>25</v>
      </c>
      <c r="G304" s="5" t="s">
        <v>8</v>
      </c>
      <c r="H304" s="7">
        <v>11812.05</v>
      </c>
      <c r="I304" s="7">
        <v>13751.43</v>
      </c>
      <c r="J304" s="7">
        <v>1939.380000000001</v>
      </c>
      <c r="K304" s="8">
        <v>0.16418657218687704</v>
      </c>
    </row>
    <row r="305" spans="1:11" x14ac:dyDescent="0.3">
      <c r="A305" s="5" t="s">
        <v>45</v>
      </c>
      <c r="B305" s="6">
        <v>40235</v>
      </c>
      <c r="C305" s="5">
        <v>9</v>
      </c>
      <c r="D305" s="5">
        <v>2</v>
      </c>
      <c r="E305" s="5">
        <v>2010</v>
      </c>
      <c r="F305" s="5" t="s">
        <v>26</v>
      </c>
      <c r="G305" s="5" t="s">
        <v>10</v>
      </c>
      <c r="H305" s="7">
        <v>21332.48</v>
      </c>
      <c r="I305" s="7">
        <v>23806.3</v>
      </c>
      <c r="J305" s="7">
        <v>2473.8199999999997</v>
      </c>
      <c r="K305" s="8">
        <v>0.11596495109804392</v>
      </c>
    </row>
    <row r="306" spans="1:11" x14ac:dyDescent="0.3">
      <c r="A306" s="5" t="s">
        <v>45</v>
      </c>
      <c r="B306" s="6">
        <v>40235</v>
      </c>
      <c r="C306" s="5">
        <v>9</v>
      </c>
      <c r="D306" s="5">
        <v>2</v>
      </c>
      <c r="E306" s="5">
        <v>2010</v>
      </c>
      <c r="F306" s="5" t="s">
        <v>27</v>
      </c>
      <c r="G306" s="5" t="s">
        <v>10</v>
      </c>
      <c r="H306" s="7">
        <v>204127.54</v>
      </c>
      <c r="I306" s="7">
        <v>231372.36</v>
      </c>
      <c r="J306" s="7">
        <v>27244.819999999978</v>
      </c>
      <c r="K306" s="8">
        <v>0.13346959454858456</v>
      </c>
    </row>
    <row r="307" spans="1:11" x14ac:dyDescent="0.3">
      <c r="A307" s="5" t="s">
        <v>45</v>
      </c>
      <c r="B307" s="6">
        <v>40235</v>
      </c>
      <c r="C307" s="5">
        <v>9</v>
      </c>
      <c r="D307" s="5">
        <v>2</v>
      </c>
      <c r="E307" s="5">
        <v>2010</v>
      </c>
      <c r="F307" s="5" t="s">
        <v>28</v>
      </c>
      <c r="G307" s="5" t="s">
        <v>10</v>
      </c>
      <c r="H307" s="7">
        <v>132290.63</v>
      </c>
      <c r="I307" s="7">
        <v>148690.76</v>
      </c>
      <c r="J307" s="7">
        <v>16400.130000000005</v>
      </c>
      <c r="K307" s="8">
        <v>0.1239704580740148</v>
      </c>
    </row>
    <row r="308" spans="1:11" x14ac:dyDescent="0.3">
      <c r="A308" s="5" t="s">
        <v>45</v>
      </c>
      <c r="B308" s="6">
        <v>40235</v>
      </c>
      <c r="C308" s="5">
        <v>9</v>
      </c>
      <c r="D308" s="5">
        <v>2</v>
      </c>
      <c r="E308" s="5">
        <v>2010</v>
      </c>
      <c r="F308" s="5" t="s">
        <v>29</v>
      </c>
      <c r="G308" s="5" t="s">
        <v>10</v>
      </c>
      <c r="H308" s="7">
        <v>767931.22</v>
      </c>
      <c r="I308" s="7">
        <v>838292.24</v>
      </c>
      <c r="J308" s="7">
        <v>70361.020000000019</v>
      </c>
      <c r="K308" s="8">
        <v>9.1624117066109151E-2</v>
      </c>
    </row>
    <row r="309" spans="1:11" x14ac:dyDescent="0.3">
      <c r="A309" s="5" t="s">
        <v>45</v>
      </c>
      <c r="B309" s="6">
        <v>40235</v>
      </c>
      <c r="C309" s="5">
        <v>9</v>
      </c>
      <c r="D309" s="5">
        <v>2</v>
      </c>
      <c r="E309" s="5">
        <v>2010</v>
      </c>
      <c r="F309" s="5" t="s">
        <v>30</v>
      </c>
      <c r="G309" s="5" t="s">
        <v>10</v>
      </c>
      <c r="H309" s="7">
        <v>175042.88</v>
      </c>
      <c r="I309" s="7">
        <v>197855.79</v>
      </c>
      <c r="J309" s="7">
        <v>22812.910000000003</v>
      </c>
      <c r="K309" s="8">
        <v>0.13032755174046498</v>
      </c>
    </row>
    <row r="310" spans="1:11" x14ac:dyDescent="0.3">
      <c r="A310" s="5" t="s">
        <v>45</v>
      </c>
      <c r="B310" s="6">
        <v>40235</v>
      </c>
      <c r="C310" s="5">
        <v>9</v>
      </c>
      <c r="D310" s="5">
        <v>2</v>
      </c>
      <c r="E310" s="5">
        <v>2010</v>
      </c>
      <c r="F310" s="5" t="s">
        <v>31</v>
      </c>
      <c r="G310" s="5" t="s">
        <v>7</v>
      </c>
      <c r="H310" s="7">
        <v>40572.639999999999</v>
      </c>
      <c r="I310" s="7">
        <v>52398.04</v>
      </c>
      <c r="J310" s="7">
        <v>11825.400000000001</v>
      </c>
      <c r="K310" s="8">
        <v>0.29146242393889088</v>
      </c>
    </row>
    <row r="311" spans="1:11" x14ac:dyDescent="0.3">
      <c r="A311" s="5" t="s">
        <v>45</v>
      </c>
      <c r="B311" s="6">
        <v>40235</v>
      </c>
      <c r="C311" s="5">
        <v>9</v>
      </c>
      <c r="D311" s="5">
        <v>2</v>
      </c>
      <c r="E311" s="5">
        <v>2010</v>
      </c>
      <c r="F311" s="5" t="s">
        <v>32</v>
      </c>
      <c r="G311" s="5" t="s">
        <v>7</v>
      </c>
      <c r="H311" s="7">
        <v>30923.360000000001</v>
      </c>
      <c r="I311" s="7">
        <v>35557.86</v>
      </c>
      <c r="J311" s="7">
        <v>4634.5</v>
      </c>
      <c r="K311" s="8">
        <v>0.14987051859823772</v>
      </c>
    </row>
    <row r="312" spans="1:11" x14ac:dyDescent="0.3">
      <c r="A312" s="5" t="s">
        <v>45</v>
      </c>
      <c r="B312" s="6">
        <v>40235</v>
      </c>
      <c r="C312" s="5">
        <v>9</v>
      </c>
      <c r="D312" s="5">
        <v>2</v>
      </c>
      <c r="E312" s="5">
        <v>2010</v>
      </c>
      <c r="F312" s="5" t="s">
        <v>33</v>
      </c>
      <c r="G312" s="5" t="s">
        <v>7</v>
      </c>
      <c r="H312" s="7">
        <v>264900</v>
      </c>
      <c r="I312" s="7">
        <v>361122.57</v>
      </c>
      <c r="J312" s="7">
        <v>96222.57</v>
      </c>
      <c r="K312" s="8">
        <v>0.36324110985277464</v>
      </c>
    </row>
    <row r="313" spans="1:11" x14ac:dyDescent="0.3">
      <c r="A313" s="5" t="s">
        <v>45</v>
      </c>
      <c r="B313" s="6">
        <v>40235</v>
      </c>
      <c r="C313" s="5">
        <v>9</v>
      </c>
      <c r="D313" s="5">
        <v>2</v>
      </c>
      <c r="E313" s="5">
        <v>2010</v>
      </c>
      <c r="F313" s="5" t="s">
        <v>34</v>
      </c>
      <c r="G313" s="5" t="s">
        <v>7</v>
      </c>
      <c r="H313" s="7">
        <v>304</v>
      </c>
      <c r="I313" s="7">
        <v>379.97</v>
      </c>
      <c r="J313" s="7">
        <v>75.970000000000027</v>
      </c>
      <c r="K313" s="8">
        <v>0.24990131578947378</v>
      </c>
    </row>
    <row r="314" spans="1:11" x14ac:dyDescent="0.3">
      <c r="A314" s="5" t="s">
        <v>45</v>
      </c>
      <c r="B314" s="6">
        <v>40235</v>
      </c>
      <c r="C314" s="5">
        <v>9</v>
      </c>
      <c r="D314" s="5">
        <v>2</v>
      </c>
      <c r="E314" s="5">
        <v>2010</v>
      </c>
      <c r="F314" s="5" t="s">
        <v>35</v>
      </c>
      <c r="G314" s="5" t="s">
        <v>11</v>
      </c>
      <c r="H314" s="7">
        <v>2417.36</v>
      </c>
      <c r="I314" s="7">
        <v>3140.76</v>
      </c>
      <c r="J314" s="7">
        <v>723.40000000000009</v>
      </c>
      <c r="K314" s="8">
        <v>0.29925207664559689</v>
      </c>
    </row>
    <row r="315" spans="1:11" x14ac:dyDescent="0.3">
      <c r="A315" s="5" t="s">
        <v>45</v>
      </c>
      <c r="B315" s="6">
        <v>40235</v>
      </c>
      <c r="C315" s="5">
        <v>9</v>
      </c>
      <c r="D315" s="5">
        <v>2</v>
      </c>
      <c r="E315" s="5">
        <v>2010</v>
      </c>
      <c r="F315" s="5" t="s">
        <v>36</v>
      </c>
      <c r="G315" s="5" t="s">
        <v>11</v>
      </c>
      <c r="H315" s="7">
        <v>212600.47</v>
      </c>
      <c r="I315" s="7">
        <v>229845.71</v>
      </c>
      <c r="J315" s="7">
        <v>17245.239999999991</v>
      </c>
      <c r="K315" s="8">
        <v>8.111571907625599E-2</v>
      </c>
    </row>
    <row r="316" spans="1:11" x14ac:dyDescent="0.3">
      <c r="A316" s="5" t="s">
        <v>45</v>
      </c>
      <c r="B316" s="6">
        <v>40235</v>
      </c>
      <c r="C316" s="5">
        <v>9</v>
      </c>
      <c r="D316" s="5">
        <v>2</v>
      </c>
      <c r="E316" s="5">
        <v>2010</v>
      </c>
      <c r="F316" s="5" t="s">
        <v>37</v>
      </c>
      <c r="G316" s="5" t="s">
        <v>11</v>
      </c>
      <c r="H316" s="7">
        <v>437579.45</v>
      </c>
      <c r="I316" s="7">
        <v>468929.17</v>
      </c>
      <c r="J316" s="7">
        <v>31349.719999999972</v>
      </c>
      <c r="K316" s="8">
        <v>7.1643492398923148E-2</v>
      </c>
    </row>
    <row r="317" spans="1:11" x14ac:dyDescent="0.3">
      <c r="A317" s="5" t="s">
        <v>45</v>
      </c>
      <c r="B317" s="6">
        <v>40235</v>
      </c>
      <c r="C317" s="5">
        <v>9</v>
      </c>
      <c r="D317" s="5">
        <v>2</v>
      </c>
      <c r="E317" s="5">
        <v>2010</v>
      </c>
      <c r="F317" s="5" t="s">
        <v>38</v>
      </c>
      <c r="G317" s="5" t="s">
        <v>11</v>
      </c>
      <c r="H317" s="7">
        <v>323699.8</v>
      </c>
      <c r="I317" s="7">
        <v>346235.14</v>
      </c>
      <c r="J317" s="7">
        <v>22535.340000000026</v>
      </c>
      <c r="K317" s="8">
        <v>6.9618022624666515E-2</v>
      </c>
    </row>
    <row r="318" spans="1:11" x14ac:dyDescent="0.3">
      <c r="A318" s="5" t="s">
        <v>45</v>
      </c>
      <c r="B318" s="6">
        <v>40236</v>
      </c>
      <c r="C318" s="5">
        <v>9</v>
      </c>
      <c r="D318" s="5">
        <v>2</v>
      </c>
      <c r="E318" s="5">
        <v>2010</v>
      </c>
      <c r="F318" s="5" t="s">
        <v>14</v>
      </c>
      <c r="G318" s="5" t="s">
        <v>6</v>
      </c>
      <c r="H318" s="7">
        <v>17763</v>
      </c>
      <c r="I318" s="7">
        <v>20968.72</v>
      </c>
      <c r="J318" s="7">
        <v>3205.7200000000012</v>
      </c>
      <c r="K318" s="8">
        <v>0.18047176715644886</v>
      </c>
    </row>
    <row r="319" spans="1:11" x14ac:dyDescent="0.3">
      <c r="A319" s="5" t="s">
        <v>45</v>
      </c>
      <c r="B319" s="6">
        <v>40236</v>
      </c>
      <c r="C319" s="5">
        <v>9</v>
      </c>
      <c r="D319" s="5">
        <v>2</v>
      </c>
      <c r="E319" s="5">
        <v>2010</v>
      </c>
      <c r="F319" s="5" t="s">
        <v>15</v>
      </c>
      <c r="G319" s="5" t="s">
        <v>6</v>
      </c>
      <c r="H319" s="7">
        <v>436323.15</v>
      </c>
      <c r="I319" s="7">
        <v>547153.72</v>
      </c>
      <c r="J319" s="7">
        <v>110830.56999999995</v>
      </c>
      <c r="K319" s="8">
        <v>0.25401029030891425</v>
      </c>
    </row>
    <row r="320" spans="1:11" x14ac:dyDescent="0.3">
      <c r="A320" s="5" t="s">
        <v>45</v>
      </c>
      <c r="B320" s="6">
        <v>40236</v>
      </c>
      <c r="C320" s="5">
        <v>9</v>
      </c>
      <c r="D320" s="5">
        <v>2</v>
      </c>
      <c r="E320" s="5">
        <v>2010</v>
      </c>
      <c r="F320" s="5" t="s">
        <v>16</v>
      </c>
      <c r="G320" s="5" t="s">
        <v>6</v>
      </c>
      <c r="H320" s="7">
        <v>115746.68</v>
      </c>
      <c r="I320" s="7">
        <v>128050.55</v>
      </c>
      <c r="J320" s="7">
        <v>12303.87000000001</v>
      </c>
      <c r="K320" s="8">
        <v>0.10629998199516401</v>
      </c>
    </row>
    <row r="321" spans="1:11" x14ac:dyDescent="0.3">
      <c r="A321" s="5" t="s">
        <v>45</v>
      </c>
      <c r="B321" s="6">
        <v>40236</v>
      </c>
      <c r="C321" s="5">
        <v>9</v>
      </c>
      <c r="D321" s="5">
        <v>2</v>
      </c>
      <c r="E321" s="5">
        <v>2010</v>
      </c>
      <c r="F321" s="5" t="s">
        <v>17</v>
      </c>
      <c r="G321" s="5" t="s">
        <v>6</v>
      </c>
      <c r="H321" s="7">
        <v>1148</v>
      </c>
      <c r="I321" s="7">
        <v>1245.33</v>
      </c>
      <c r="J321" s="7">
        <v>97.329999999999927</v>
      </c>
      <c r="K321" s="8">
        <v>8.4782229965156733E-2</v>
      </c>
    </row>
    <row r="322" spans="1:11" x14ac:dyDescent="0.3">
      <c r="A322" s="5" t="s">
        <v>45</v>
      </c>
      <c r="B322" s="6">
        <v>40236</v>
      </c>
      <c r="C322" s="5">
        <v>9</v>
      </c>
      <c r="D322" s="5">
        <v>2</v>
      </c>
      <c r="E322" s="5">
        <v>2010</v>
      </c>
      <c r="F322" s="5" t="s">
        <v>18</v>
      </c>
      <c r="G322" s="5" t="s">
        <v>6</v>
      </c>
      <c r="H322" s="7">
        <v>7715.74</v>
      </c>
      <c r="I322" s="7">
        <v>8292.1200000000008</v>
      </c>
      <c r="J322" s="7">
        <v>576.38000000000102</v>
      </c>
      <c r="K322" s="8">
        <v>7.4701843245106883E-2</v>
      </c>
    </row>
    <row r="323" spans="1:11" x14ac:dyDescent="0.3">
      <c r="A323" s="5" t="s">
        <v>45</v>
      </c>
      <c r="B323" s="6">
        <v>40236</v>
      </c>
      <c r="C323" s="5">
        <v>9</v>
      </c>
      <c r="D323" s="5">
        <v>2</v>
      </c>
      <c r="E323" s="5">
        <v>2010</v>
      </c>
      <c r="F323" s="5" t="s">
        <v>19</v>
      </c>
      <c r="G323" s="5" t="s">
        <v>5</v>
      </c>
      <c r="H323" s="7">
        <v>294964.28000000003</v>
      </c>
      <c r="I323" s="7">
        <v>323077.96000000002</v>
      </c>
      <c r="J323" s="7">
        <v>28113.679999999993</v>
      </c>
      <c r="K323" s="8">
        <v>9.5312151017065486E-2</v>
      </c>
    </row>
    <row r="324" spans="1:11" x14ac:dyDescent="0.3">
      <c r="A324" s="5" t="s">
        <v>45</v>
      </c>
      <c r="B324" s="6">
        <v>40236</v>
      </c>
      <c r="C324" s="5">
        <v>9</v>
      </c>
      <c r="D324" s="5">
        <v>2</v>
      </c>
      <c r="E324" s="5">
        <v>2010</v>
      </c>
      <c r="F324" s="5" t="s">
        <v>5</v>
      </c>
      <c r="G324" s="5" t="s">
        <v>5</v>
      </c>
      <c r="H324" s="7">
        <v>1062826.78</v>
      </c>
      <c r="I324" s="7">
        <v>1124032.76</v>
      </c>
      <c r="J324" s="7">
        <v>61205.979999999981</v>
      </c>
      <c r="K324" s="8">
        <v>5.7587916631155998E-2</v>
      </c>
    </row>
    <row r="325" spans="1:11" x14ac:dyDescent="0.3">
      <c r="A325" s="5" t="s">
        <v>45</v>
      </c>
      <c r="B325" s="6">
        <v>40236</v>
      </c>
      <c r="C325" s="5">
        <v>9</v>
      </c>
      <c r="D325" s="5">
        <v>2</v>
      </c>
      <c r="E325" s="5">
        <v>2010</v>
      </c>
      <c r="F325" s="5" t="s">
        <v>20</v>
      </c>
      <c r="G325" s="5" t="s">
        <v>5</v>
      </c>
      <c r="H325" s="7">
        <v>247331.75</v>
      </c>
      <c r="I325" s="7">
        <v>271430.34000000003</v>
      </c>
      <c r="J325" s="7">
        <v>24098.590000000026</v>
      </c>
      <c r="K325" s="8">
        <v>9.7434276028047453E-2</v>
      </c>
    </row>
    <row r="326" spans="1:11" x14ac:dyDescent="0.3">
      <c r="A326" s="5" t="s">
        <v>45</v>
      </c>
      <c r="B326" s="6">
        <v>40236</v>
      </c>
      <c r="C326" s="5">
        <v>9</v>
      </c>
      <c r="D326" s="5">
        <v>2</v>
      </c>
      <c r="E326" s="5">
        <v>2010</v>
      </c>
      <c r="F326" s="5" t="s">
        <v>21</v>
      </c>
      <c r="G326" s="5" t="s">
        <v>5</v>
      </c>
      <c r="H326" s="7">
        <v>328847.46999999997</v>
      </c>
      <c r="I326" s="7">
        <v>344126.33</v>
      </c>
      <c r="J326" s="7">
        <v>15278.860000000044</v>
      </c>
      <c r="K326" s="8">
        <v>4.6461844453296375E-2</v>
      </c>
    </row>
    <row r="327" spans="1:11" x14ac:dyDescent="0.3">
      <c r="A327" s="5" t="s">
        <v>45</v>
      </c>
      <c r="B327" s="6">
        <v>40236</v>
      </c>
      <c r="C327" s="5">
        <v>9</v>
      </c>
      <c r="D327" s="5">
        <v>2</v>
      </c>
      <c r="E327" s="5">
        <v>2010</v>
      </c>
      <c r="F327" s="5" t="s">
        <v>22</v>
      </c>
      <c r="G327" s="5" t="s">
        <v>8</v>
      </c>
      <c r="H327" s="7">
        <v>558773.92000000004</v>
      </c>
      <c r="I327" s="7">
        <v>610429.99</v>
      </c>
      <c r="J327" s="7">
        <v>51656.069999999949</v>
      </c>
      <c r="K327" s="8">
        <v>9.2445384709436584E-2</v>
      </c>
    </row>
    <row r="328" spans="1:11" x14ac:dyDescent="0.3">
      <c r="A328" s="5" t="s">
        <v>45</v>
      </c>
      <c r="B328" s="6">
        <v>40236</v>
      </c>
      <c r="C328" s="5">
        <v>9</v>
      </c>
      <c r="D328" s="5">
        <v>2</v>
      </c>
      <c r="E328" s="5">
        <v>2010</v>
      </c>
      <c r="F328" s="5" t="s">
        <v>23</v>
      </c>
      <c r="G328" s="5" t="s">
        <v>8</v>
      </c>
      <c r="H328" s="7">
        <v>235396.96</v>
      </c>
      <c r="I328" s="7">
        <v>246346.22</v>
      </c>
      <c r="J328" s="7">
        <v>10949.260000000009</v>
      </c>
      <c r="K328" s="8">
        <v>4.651402465010597E-2</v>
      </c>
    </row>
    <row r="329" spans="1:11" x14ac:dyDescent="0.3">
      <c r="A329" s="5" t="s">
        <v>45</v>
      </c>
      <c r="B329" s="6">
        <v>40236</v>
      </c>
      <c r="C329" s="5">
        <v>9</v>
      </c>
      <c r="D329" s="5">
        <v>2</v>
      </c>
      <c r="E329" s="5">
        <v>2010</v>
      </c>
      <c r="F329" s="5" t="s">
        <v>24</v>
      </c>
      <c r="G329" s="5" t="s">
        <v>8</v>
      </c>
      <c r="H329" s="7">
        <v>287561</v>
      </c>
      <c r="I329" s="7">
        <v>305181.48</v>
      </c>
      <c r="J329" s="7">
        <v>17620.479999999981</v>
      </c>
      <c r="K329" s="8">
        <v>6.1275624997826482E-2</v>
      </c>
    </row>
    <row r="330" spans="1:11" x14ac:dyDescent="0.3">
      <c r="A330" s="5" t="s">
        <v>45</v>
      </c>
      <c r="B330" s="6">
        <v>40236</v>
      </c>
      <c r="C330" s="5">
        <v>9</v>
      </c>
      <c r="D330" s="5">
        <v>2</v>
      </c>
      <c r="E330" s="5">
        <v>2010</v>
      </c>
      <c r="F330" s="5" t="s">
        <v>25</v>
      </c>
      <c r="G330" s="5" t="s">
        <v>8</v>
      </c>
      <c r="H330" s="7">
        <v>31548.15</v>
      </c>
      <c r="I330" s="7">
        <v>34143.160000000003</v>
      </c>
      <c r="J330" s="7">
        <v>2595.010000000002</v>
      </c>
      <c r="K330" s="8">
        <v>8.2255536378519872E-2</v>
      </c>
    </row>
    <row r="331" spans="1:11" x14ac:dyDescent="0.3">
      <c r="A331" s="5" t="s">
        <v>45</v>
      </c>
      <c r="B331" s="6">
        <v>40236</v>
      </c>
      <c r="C331" s="5">
        <v>9</v>
      </c>
      <c r="D331" s="5">
        <v>2</v>
      </c>
      <c r="E331" s="5">
        <v>2010</v>
      </c>
      <c r="F331" s="5" t="s">
        <v>26</v>
      </c>
      <c r="G331" s="5" t="s">
        <v>10</v>
      </c>
      <c r="H331" s="7">
        <v>48039.61</v>
      </c>
      <c r="I331" s="7">
        <v>52953.65</v>
      </c>
      <c r="J331" s="7">
        <v>4914.0400000000009</v>
      </c>
      <c r="K331" s="8">
        <v>0.10229142159980067</v>
      </c>
    </row>
    <row r="332" spans="1:11" x14ac:dyDescent="0.3">
      <c r="A332" s="5" t="s">
        <v>45</v>
      </c>
      <c r="B332" s="6">
        <v>40236</v>
      </c>
      <c r="C332" s="5">
        <v>9</v>
      </c>
      <c r="D332" s="5">
        <v>2</v>
      </c>
      <c r="E332" s="5">
        <v>2010</v>
      </c>
      <c r="F332" s="5" t="s">
        <v>27</v>
      </c>
      <c r="G332" s="5" t="s">
        <v>10</v>
      </c>
      <c r="H332" s="7">
        <v>311908.98</v>
      </c>
      <c r="I332" s="7">
        <v>353817.42</v>
      </c>
      <c r="J332" s="7">
        <v>41908.44</v>
      </c>
      <c r="K332" s="8">
        <v>0.13436112034991748</v>
      </c>
    </row>
    <row r="333" spans="1:11" x14ac:dyDescent="0.3">
      <c r="A333" s="5" t="s">
        <v>45</v>
      </c>
      <c r="B333" s="6">
        <v>40236</v>
      </c>
      <c r="C333" s="5">
        <v>9</v>
      </c>
      <c r="D333" s="5">
        <v>2</v>
      </c>
      <c r="E333" s="5">
        <v>2010</v>
      </c>
      <c r="F333" s="5" t="s">
        <v>28</v>
      </c>
      <c r="G333" s="5" t="s">
        <v>10</v>
      </c>
      <c r="H333" s="7">
        <v>248834.68</v>
      </c>
      <c r="I333" s="7">
        <v>282645.28000000003</v>
      </c>
      <c r="J333" s="7">
        <v>33810.600000000035</v>
      </c>
      <c r="K333" s="8">
        <v>0.13587575493898213</v>
      </c>
    </row>
    <row r="334" spans="1:11" x14ac:dyDescent="0.3">
      <c r="A334" s="5" t="s">
        <v>45</v>
      </c>
      <c r="B334" s="6">
        <v>40236</v>
      </c>
      <c r="C334" s="5">
        <v>9</v>
      </c>
      <c r="D334" s="5">
        <v>2</v>
      </c>
      <c r="E334" s="5">
        <v>2010</v>
      </c>
      <c r="F334" s="5" t="s">
        <v>29</v>
      </c>
      <c r="G334" s="5" t="s">
        <v>10</v>
      </c>
      <c r="H334" s="7">
        <v>1327410.24</v>
      </c>
      <c r="I334" s="7">
        <v>1441230.35</v>
      </c>
      <c r="J334" s="7">
        <v>113820.1100000001</v>
      </c>
      <c r="K334" s="8">
        <v>8.5745993642477925E-2</v>
      </c>
    </row>
    <row r="335" spans="1:11" x14ac:dyDescent="0.3">
      <c r="A335" s="5" t="s">
        <v>45</v>
      </c>
      <c r="B335" s="6">
        <v>40236</v>
      </c>
      <c r="C335" s="5">
        <v>9</v>
      </c>
      <c r="D335" s="5">
        <v>2</v>
      </c>
      <c r="E335" s="5">
        <v>2010</v>
      </c>
      <c r="F335" s="5" t="s">
        <v>30</v>
      </c>
      <c r="G335" s="5" t="s">
        <v>10</v>
      </c>
      <c r="H335" s="7">
        <v>324515.48</v>
      </c>
      <c r="I335" s="7">
        <v>365103.74</v>
      </c>
      <c r="J335" s="7">
        <v>40588.260000000009</v>
      </c>
      <c r="K335" s="8">
        <v>0.12507341714484627</v>
      </c>
    </row>
    <row r="336" spans="1:11" x14ac:dyDescent="0.3">
      <c r="A336" s="5" t="s">
        <v>45</v>
      </c>
      <c r="B336" s="6">
        <v>40236</v>
      </c>
      <c r="C336" s="5">
        <v>9</v>
      </c>
      <c r="D336" s="5">
        <v>2</v>
      </c>
      <c r="E336" s="5">
        <v>2010</v>
      </c>
      <c r="F336" s="5" t="s">
        <v>31</v>
      </c>
      <c r="G336" s="5" t="s">
        <v>7</v>
      </c>
      <c r="H336" s="7">
        <v>62729.48</v>
      </c>
      <c r="I336" s="7">
        <v>80188.62</v>
      </c>
      <c r="J336" s="7">
        <v>17459.139999999992</v>
      </c>
      <c r="K336" s="8">
        <v>0.27832432215283776</v>
      </c>
    </row>
    <row r="337" spans="1:11" x14ac:dyDescent="0.3">
      <c r="A337" s="5" t="s">
        <v>45</v>
      </c>
      <c r="B337" s="6">
        <v>40236</v>
      </c>
      <c r="C337" s="5">
        <v>9</v>
      </c>
      <c r="D337" s="5">
        <v>2</v>
      </c>
      <c r="E337" s="5">
        <v>2010</v>
      </c>
      <c r="F337" s="5" t="s">
        <v>32</v>
      </c>
      <c r="G337" s="5" t="s">
        <v>7</v>
      </c>
      <c r="H337" s="7">
        <v>53030.97</v>
      </c>
      <c r="I337" s="7">
        <v>60948.23</v>
      </c>
      <c r="J337" s="7">
        <v>7917.260000000002</v>
      </c>
      <c r="K337" s="8">
        <v>0.14929502515228368</v>
      </c>
    </row>
    <row r="338" spans="1:11" x14ac:dyDescent="0.3">
      <c r="A338" s="5" t="s">
        <v>45</v>
      </c>
      <c r="B338" s="6">
        <v>40236</v>
      </c>
      <c r="C338" s="5">
        <v>9</v>
      </c>
      <c r="D338" s="5">
        <v>2</v>
      </c>
      <c r="E338" s="5">
        <v>2010</v>
      </c>
      <c r="F338" s="5" t="s">
        <v>33</v>
      </c>
      <c r="G338" s="5" t="s">
        <v>7</v>
      </c>
      <c r="H338" s="7">
        <v>311334.46999999997</v>
      </c>
      <c r="I338" s="7">
        <v>427832.33</v>
      </c>
      <c r="J338" s="7">
        <v>116497.86000000004</v>
      </c>
      <c r="K338" s="8">
        <v>0.37418876233010773</v>
      </c>
    </row>
    <row r="339" spans="1:11" x14ac:dyDescent="0.3">
      <c r="A339" s="5" t="s">
        <v>45</v>
      </c>
      <c r="B339" s="6">
        <v>40236</v>
      </c>
      <c r="C339" s="5">
        <v>9</v>
      </c>
      <c r="D339" s="5">
        <v>2</v>
      </c>
      <c r="E339" s="5">
        <v>2010</v>
      </c>
      <c r="F339" s="5" t="s">
        <v>34</v>
      </c>
      <c r="G339" s="5" t="s">
        <v>7</v>
      </c>
      <c r="H339" s="7">
        <v>684</v>
      </c>
      <c r="I339" s="7">
        <v>854.94</v>
      </c>
      <c r="J339" s="7">
        <v>170.94000000000005</v>
      </c>
      <c r="K339" s="8">
        <v>0.24991228070175447</v>
      </c>
    </row>
    <row r="340" spans="1:11" x14ac:dyDescent="0.3">
      <c r="A340" s="5" t="s">
        <v>45</v>
      </c>
      <c r="B340" s="6">
        <v>40236</v>
      </c>
      <c r="C340" s="5">
        <v>9</v>
      </c>
      <c r="D340" s="5">
        <v>2</v>
      </c>
      <c r="E340" s="5">
        <v>2010</v>
      </c>
      <c r="F340" s="5" t="s">
        <v>35</v>
      </c>
      <c r="G340" s="5" t="s">
        <v>11</v>
      </c>
      <c r="H340" s="7">
        <v>8859.33</v>
      </c>
      <c r="I340" s="7">
        <v>10619.65</v>
      </c>
      <c r="J340" s="7">
        <v>1760.3199999999997</v>
      </c>
      <c r="K340" s="8">
        <v>0.19869674117568706</v>
      </c>
    </row>
    <row r="341" spans="1:11" x14ac:dyDescent="0.3">
      <c r="A341" s="5" t="s">
        <v>45</v>
      </c>
      <c r="B341" s="6">
        <v>40236</v>
      </c>
      <c r="C341" s="5">
        <v>9</v>
      </c>
      <c r="D341" s="5">
        <v>2</v>
      </c>
      <c r="E341" s="5">
        <v>2010</v>
      </c>
      <c r="F341" s="5" t="s">
        <v>36</v>
      </c>
      <c r="G341" s="5" t="s">
        <v>11</v>
      </c>
      <c r="H341" s="7">
        <v>324090.87</v>
      </c>
      <c r="I341" s="7">
        <v>352065.09</v>
      </c>
      <c r="J341" s="7">
        <v>27974.22000000003</v>
      </c>
      <c r="K341" s="8">
        <v>8.6315976750594769E-2</v>
      </c>
    </row>
    <row r="342" spans="1:11" x14ac:dyDescent="0.3">
      <c r="A342" s="5" t="s">
        <v>45</v>
      </c>
      <c r="B342" s="6">
        <v>40236</v>
      </c>
      <c r="C342" s="5">
        <v>9</v>
      </c>
      <c r="D342" s="5">
        <v>2</v>
      </c>
      <c r="E342" s="5">
        <v>2010</v>
      </c>
      <c r="F342" s="5" t="s">
        <v>37</v>
      </c>
      <c r="G342" s="5" t="s">
        <v>11</v>
      </c>
      <c r="H342" s="7">
        <v>701342.17</v>
      </c>
      <c r="I342" s="7">
        <v>749182.4</v>
      </c>
      <c r="J342" s="7">
        <v>47840.229999999981</v>
      </c>
      <c r="K342" s="8">
        <v>6.8212396240197537E-2</v>
      </c>
    </row>
    <row r="343" spans="1:11" x14ac:dyDescent="0.3">
      <c r="A343" s="5" t="s">
        <v>45</v>
      </c>
      <c r="B343" s="6">
        <v>40236</v>
      </c>
      <c r="C343" s="5">
        <v>9</v>
      </c>
      <c r="D343" s="5">
        <v>2</v>
      </c>
      <c r="E343" s="5">
        <v>2010</v>
      </c>
      <c r="F343" s="5" t="s">
        <v>38</v>
      </c>
      <c r="G343" s="5" t="s">
        <v>11</v>
      </c>
      <c r="H343" s="7">
        <v>624773.87</v>
      </c>
      <c r="I343" s="7">
        <v>669348.12</v>
      </c>
      <c r="J343" s="7">
        <v>44574.25</v>
      </c>
      <c r="K343" s="8">
        <v>7.1344613051759029E-2</v>
      </c>
    </row>
    <row r="344" spans="1:11" x14ac:dyDescent="0.3">
      <c r="A344" s="5" t="s">
        <v>45</v>
      </c>
      <c r="B344" s="6">
        <v>40237</v>
      </c>
      <c r="C344" s="5">
        <v>10</v>
      </c>
      <c r="D344" s="5">
        <v>2</v>
      </c>
      <c r="E344" s="5">
        <v>2010</v>
      </c>
      <c r="F344" s="5" t="s">
        <v>14</v>
      </c>
      <c r="G344" s="5" t="s">
        <v>6</v>
      </c>
      <c r="H344" s="7">
        <v>11817</v>
      </c>
      <c r="I344" s="7">
        <v>14321.02</v>
      </c>
      <c r="J344" s="7">
        <v>2504.0200000000004</v>
      </c>
      <c r="K344" s="8">
        <v>0.21189980536515193</v>
      </c>
    </row>
    <row r="345" spans="1:11" x14ac:dyDescent="0.3">
      <c r="A345" s="5" t="s">
        <v>45</v>
      </c>
      <c r="B345" s="6">
        <v>40237</v>
      </c>
      <c r="C345" s="5">
        <v>10</v>
      </c>
      <c r="D345" s="5">
        <v>2</v>
      </c>
      <c r="E345" s="5">
        <v>2010</v>
      </c>
      <c r="F345" s="5" t="s">
        <v>15</v>
      </c>
      <c r="G345" s="5" t="s">
        <v>6</v>
      </c>
      <c r="H345" s="7">
        <v>329690.63</v>
      </c>
      <c r="I345" s="7">
        <v>388452.2</v>
      </c>
      <c r="J345" s="7">
        <v>58761.570000000007</v>
      </c>
      <c r="K345" s="8">
        <v>0.17823245386136696</v>
      </c>
    </row>
    <row r="346" spans="1:11" x14ac:dyDescent="0.3">
      <c r="A346" s="5" t="s">
        <v>45</v>
      </c>
      <c r="B346" s="6">
        <v>40237</v>
      </c>
      <c r="C346" s="5">
        <v>10</v>
      </c>
      <c r="D346" s="5">
        <v>2</v>
      </c>
      <c r="E346" s="5">
        <v>2010</v>
      </c>
      <c r="F346" s="5" t="s">
        <v>16</v>
      </c>
      <c r="G346" s="5" t="s">
        <v>6</v>
      </c>
      <c r="H346" s="7">
        <v>123045.16</v>
      </c>
      <c r="I346" s="7">
        <v>134057.79</v>
      </c>
      <c r="J346" s="7">
        <v>11012.630000000005</v>
      </c>
      <c r="K346" s="8">
        <v>8.9500716647448825E-2</v>
      </c>
    </row>
    <row r="347" spans="1:11" x14ac:dyDescent="0.3">
      <c r="A347" s="5" t="s">
        <v>45</v>
      </c>
      <c r="B347" s="6">
        <v>40237</v>
      </c>
      <c r="C347" s="5">
        <v>10</v>
      </c>
      <c r="D347" s="5">
        <v>2</v>
      </c>
      <c r="E347" s="5">
        <v>2010</v>
      </c>
      <c r="F347" s="5" t="s">
        <v>17</v>
      </c>
      <c r="G347" s="5" t="s">
        <v>6</v>
      </c>
      <c r="H347" s="7">
        <v>1722</v>
      </c>
      <c r="I347" s="7">
        <v>1905.4</v>
      </c>
      <c r="J347" s="7">
        <v>183.40000000000009</v>
      </c>
      <c r="K347" s="8">
        <v>0.10650406504065046</v>
      </c>
    </row>
    <row r="348" spans="1:11" x14ac:dyDescent="0.3">
      <c r="A348" s="5" t="s">
        <v>45</v>
      </c>
      <c r="B348" s="6">
        <v>40237</v>
      </c>
      <c r="C348" s="5">
        <v>10</v>
      </c>
      <c r="D348" s="5">
        <v>2</v>
      </c>
      <c r="E348" s="5">
        <v>2010</v>
      </c>
      <c r="F348" s="5" t="s">
        <v>18</v>
      </c>
      <c r="G348" s="5" t="s">
        <v>6</v>
      </c>
      <c r="H348" s="7">
        <v>5856.74</v>
      </c>
      <c r="I348" s="7">
        <v>6694.03</v>
      </c>
      <c r="J348" s="7">
        <v>837.29</v>
      </c>
      <c r="K348" s="8">
        <v>0.14296178420076697</v>
      </c>
    </row>
    <row r="349" spans="1:11" x14ac:dyDescent="0.3">
      <c r="A349" s="5" t="s">
        <v>45</v>
      </c>
      <c r="B349" s="6">
        <v>40237</v>
      </c>
      <c r="C349" s="5">
        <v>10</v>
      </c>
      <c r="D349" s="5">
        <v>2</v>
      </c>
      <c r="E349" s="5">
        <v>2010</v>
      </c>
      <c r="F349" s="5" t="s">
        <v>19</v>
      </c>
      <c r="G349" s="5" t="s">
        <v>5</v>
      </c>
      <c r="H349" s="7">
        <v>272385.71999999997</v>
      </c>
      <c r="I349" s="7">
        <v>299131.07</v>
      </c>
      <c r="J349" s="7">
        <v>26745.350000000035</v>
      </c>
      <c r="K349" s="8">
        <v>9.8189251624497931E-2</v>
      </c>
    </row>
    <row r="350" spans="1:11" x14ac:dyDescent="0.3">
      <c r="A350" s="5" t="s">
        <v>45</v>
      </c>
      <c r="B350" s="6">
        <v>40237</v>
      </c>
      <c r="C350" s="5">
        <v>10</v>
      </c>
      <c r="D350" s="5">
        <v>2</v>
      </c>
      <c r="E350" s="5">
        <v>2010</v>
      </c>
      <c r="F350" s="5" t="s">
        <v>5</v>
      </c>
      <c r="G350" s="5" t="s">
        <v>5</v>
      </c>
      <c r="H350" s="7">
        <v>857116.99</v>
      </c>
      <c r="I350" s="7">
        <v>906037.04</v>
      </c>
      <c r="J350" s="7">
        <v>48920.050000000047</v>
      </c>
      <c r="K350" s="8">
        <v>5.7075114098485022E-2</v>
      </c>
    </row>
    <row r="351" spans="1:11" x14ac:dyDescent="0.3">
      <c r="A351" s="5" t="s">
        <v>45</v>
      </c>
      <c r="B351" s="6">
        <v>40237</v>
      </c>
      <c r="C351" s="5">
        <v>10</v>
      </c>
      <c r="D351" s="5">
        <v>2</v>
      </c>
      <c r="E351" s="5">
        <v>2010</v>
      </c>
      <c r="F351" s="5" t="s">
        <v>20</v>
      </c>
      <c r="G351" s="5" t="s">
        <v>5</v>
      </c>
      <c r="H351" s="7">
        <v>163017.35</v>
      </c>
      <c r="I351" s="7">
        <v>180191.69</v>
      </c>
      <c r="J351" s="7">
        <v>17174.339999999997</v>
      </c>
      <c r="K351" s="8">
        <v>0.10535283514300776</v>
      </c>
    </row>
    <row r="352" spans="1:11" x14ac:dyDescent="0.3">
      <c r="A352" s="5" t="s">
        <v>45</v>
      </c>
      <c r="B352" s="6">
        <v>40237</v>
      </c>
      <c r="C352" s="5">
        <v>10</v>
      </c>
      <c r="D352" s="5">
        <v>2</v>
      </c>
      <c r="E352" s="5">
        <v>2010</v>
      </c>
      <c r="F352" s="5" t="s">
        <v>21</v>
      </c>
      <c r="G352" s="5" t="s">
        <v>5</v>
      </c>
      <c r="H352" s="7">
        <v>310995.18</v>
      </c>
      <c r="I352" s="7">
        <v>326740.82</v>
      </c>
      <c r="J352" s="7">
        <v>15745.640000000014</v>
      </c>
      <c r="K352" s="8">
        <v>5.0629852205426512E-2</v>
      </c>
    </row>
    <row r="353" spans="1:11" x14ac:dyDescent="0.3">
      <c r="A353" s="5" t="s">
        <v>45</v>
      </c>
      <c r="B353" s="6">
        <v>40237</v>
      </c>
      <c r="C353" s="5">
        <v>10</v>
      </c>
      <c r="D353" s="5">
        <v>2</v>
      </c>
      <c r="E353" s="5">
        <v>2010</v>
      </c>
      <c r="F353" s="5" t="s">
        <v>22</v>
      </c>
      <c r="G353" s="5" t="s">
        <v>8</v>
      </c>
      <c r="H353" s="7">
        <v>352615.96</v>
      </c>
      <c r="I353" s="7">
        <v>394492.68</v>
      </c>
      <c r="J353" s="7">
        <v>41876.719999999972</v>
      </c>
      <c r="K353" s="8">
        <v>0.11876013779977505</v>
      </c>
    </row>
    <row r="354" spans="1:11" x14ac:dyDescent="0.3">
      <c r="A354" s="5" t="s">
        <v>45</v>
      </c>
      <c r="B354" s="6">
        <v>40237</v>
      </c>
      <c r="C354" s="5">
        <v>10</v>
      </c>
      <c r="D354" s="5">
        <v>2</v>
      </c>
      <c r="E354" s="5">
        <v>2010</v>
      </c>
      <c r="F354" s="5" t="s">
        <v>23</v>
      </c>
      <c r="G354" s="5" t="s">
        <v>8</v>
      </c>
      <c r="H354" s="7">
        <v>174497.5</v>
      </c>
      <c r="I354" s="7">
        <v>182922.62</v>
      </c>
      <c r="J354" s="7">
        <v>8425.1199999999953</v>
      </c>
      <c r="K354" s="8">
        <v>4.8282181693147443E-2</v>
      </c>
    </row>
    <row r="355" spans="1:11" x14ac:dyDescent="0.3">
      <c r="A355" s="5" t="s">
        <v>45</v>
      </c>
      <c r="B355" s="6">
        <v>40237</v>
      </c>
      <c r="C355" s="5">
        <v>10</v>
      </c>
      <c r="D355" s="5">
        <v>2</v>
      </c>
      <c r="E355" s="5">
        <v>2010</v>
      </c>
      <c r="F355" s="5" t="s">
        <v>24</v>
      </c>
      <c r="G355" s="5" t="s">
        <v>8</v>
      </c>
      <c r="H355" s="7">
        <v>225206</v>
      </c>
      <c r="I355" s="7">
        <v>238611.67</v>
      </c>
      <c r="J355" s="7">
        <v>13405.670000000013</v>
      </c>
      <c r="K355" s="8">
        <v>5.9526255961208904E-2</v>
      </c>
    </row>
    <row r="356" spans="1:11" x14ac:dyDescent="0.3">
      <c r="A356" s="5" t="s">
        <v>45</v>
      </c>
      <c r="B356" s="6">
        <v>40237</v>
      </c>
      <c r="C356" s="5">
        <v>10</v>
      </c>
      <c r="D356" s="5">
        <v>2</v>
      </c>
      <c r="E356" s="5">
        <v>2010</v>
      </c>
      <c r="F356" s="5" t="s">
        <v>25</v>
      </c>
      <c r="G356" s="5" t="s">
        <v>8</v>
      </c>
      <c r="H356" s="7">
        <v>18062.349999999999</v>
      </c>
      <c r="I356" s="7">
        <v>20048.68</v>
      </c>
      <c r="J356" s="7">
        <v>1986.3300000000017</v>
      </c>
      <c r="K356" s="8">
        <v>0.10997074024144156</v>
      </c>
    </row>
    <row r="357" spans="1:11" x14ac:dyDescent="0.3">
      <c r="A357" s="5" t="s">
        <v>45</v>
      </c>
      <c r="B357" s="6">
        <v>40237</v>
      </c>
      <c r="C357" s="5">
        <v>10</v>
      </c>
      <c r="D357" s="5">
        <v>2</v>
      </c>
      <c r="E357" s="5">
        <v>2010</v>
      </c>
      <c r="F357" s="5" t="s">
        <v>26</v>
      </c>
      <c r="G357" s="5" t="s">
        <v>10</v>
      </c>
      <c r="H357" s="7">
        <v>47043.89</v>
      </c>
      <c r="I357" s="7">
        <v>52041.07</v>
      </c>
      <c r="J357" s="7">
        <v>4997.18</v>
      </c>
      <c r="K357" s="8">
        <v>0.10622378378998847</v>
      </c>
    </row>
    <row r="358" spans="1:11" x14ac:dyDescent="0.3">
      <c r="A358" s="5" t="s">
        <v>45</v>
      </c>
      <c r="B358" s="6">
        <v>40237</v>
      </c>
      <c r="C358" s="5">
        <v>10</v>
      </c>
      <c r="D358" s="5">
        <v>2</v>
      </c>
      <c r="E358" s="5">
        <v>2010</v>
      </c>
      <c r="F358" s="5" t="s">
        <v>27</v>
      </c>
      <c r="G358" s="5" t="s">
        <v>10</v>
      </c>
      <c r="H358" s="7">
        <v>203092.1</v>
      </c>
      <c r="I358" s="7">
        <v>230525.75</v>
      </c>
      <c r="J358" s="7">
        <v>27433.649999999994</v>
      </c>
      <c r="K358" s="8">
        <v>0.13507984800984377</v>
      </c>
    </row>
    <row r="359" spans="1:11" x14ac:dyDescent="0.3">
      <c r="A359" s="5" t="s">
        <v>45</v>
      </c>
      <c r="B359" s="6">
        <v>40237</v>
      </c>
      <c r="C359" s="5">
        <v>10</v>
      </c>
      <c r="D359" s="5">
        <v>2</v>
      </c>
      <c r="E359" s="5">
        <v>2010</v>
      </c>
      <c r="F359" s="5" t="s">
        <v>28</v>
      </c>
      <c r="G359" s="5" t="s">
        <v>10</v>
      </c>
      <c r="H359" s="7">
        <v>222376.74</v>
      </c>
      <c r="I359" s="7">
        <v>251740.48</v>
      </c>
      <c r="J359" s="7">
        <v>29363.74000000002</v>
      </c>
      <c r="K359" s="8">
        <v>0.13204501513962305</v>
      </c>
    </row>
    <row r="360" spans="1:11" x14ac:dyDescent="0.3">
      <c r="A360" s="5" t="s">
        <v>45</v>
      </c>
      <c r="B360" s="6">
        <v>40237</v>
      </c>
      <c r="C360" s="5">
        <v>10</v>
      </c>
      <c r="D360" s="5">
        <v>2</v>
      </c>
      <c r="E360" s="5">
        <v>2010</v>
      </c>
      <c r="F360" s="5" t="s">
        <v>29</v>
      </c>
      <c r="G360" s="5" t="s">
        <v>10</v>
      </c>
      <c r="H360" s="7">
        <v>996003.64</v>
      </c>
      <c r="I360" s="7">
        <v>1081746.32</v>
      </c>
      <c r="J360" s="7">
        <v>85742.680000000051</v>
      </c>
      <c r="K360" s="8">
        <v>8.6086713498356338E-2</v>
      </c>
    </row>
    <row r="361" spans="1:11" x14ac:dyDescent="0.3">
      <c r="A361" s="5" t="s">
        <v>45</v>
      </c>
      <c r="B361" s="6">
        <v>40237</v>
      </c>
      <c r="C361" s="5">
        <v>10</v>
      </c>
      <c r="D361" s="5">
        <v>2</v>
      </c>
      <c r="E361" s="5">
        <v>2010</v>
      </c>
      <c r="F361" s="5" t="s">
        <v>30</v>
      </c>
      <c r="G361" s="5" t="s">
        <v>10</v>
      </c>
      <c r="H361" s="7">
        <v>257754.72</v>
      </c>
      <c r="I361" s="7">
        <v>289270.59999999998</v>
      </c>
      <c r="J361" s="7">
        <v>31515.879999999976</v>
      </c>
      <c r="K361" s="8">
        <v>0.12227081622404422</v>
      </c>
    </row>
    <row r="362" spans="1:11" x14ac:dyDescent="0.3">
      <c r="A362" s="5" t="s">
        <v>45</v>
      </c>
      <c r="B362" s="6">
        <v>40237</v>
      </c>
      <c r="C362" s="5">
        <v>10</v>
      </c>
      <c r="D362" s="5">
        <v>2</v>
      </c>
      <c r="E362" s="5">
        <v>2010</v>
      </c>
      <c r="F362" s="5" t="s">
        <v>31</v>
      </c>
      <c r="G362" s="5" t="s">
        <v>7</v>
      </c>
      <c r="H362" s="7">
        <v>48571.040000000001</v>
      </c>
      <c r="I362" s="7">
        <v>65139.6</v>
      </c>
      <c r="J362" s="7">
        <v>16568.559999999998</v>
      </c>
      <c r="K362" s="8">
        <v>0.34112014072583163</v>
      </c>
    </row>
    <row r="363" spans="1:11" x14ac:dyDescent="0.3">
      <c r="A363" s="5" t="s">
        <v>45</v>
      </c>
      <c r="B363" s="6">
        <v>40237</v>
      </c>
      <c r="C363" s="5">
        <v>10</v>
      </c>
      <c r="D363" s="5">
        <v>2</v>
      </c>
      <c r="E363" s="5">
        <v>2010</v>
      </c>
      <c r="F363" s="5" t="s">
        <v>32</v>
      </c>
      <c r="G363" s="5" t="s">
        <v>7</v>
      </c>
      <c r="H363" s="7">
        <v>21923.78</v>
      </c>
      <c r="I363" s="7">
        <v>25207.58</v>
      </c>
      <c r="J363" s="7">
        <v>3283.8000000000029</v>
      </c>
      <c r="K363" s="8">
        <v>0.14978256486791983</v>
      </c>
    </row>
    <row r="364" spans="1:11" x14ac:dyDescent="0.3">
      <c r="A364" s="5" t="s">
        <v>45</v>
      </c>
      <c r="B364" s="6">
        <v>40237</v>
      </c>
      <c r="C364" s="5">
        <v>10</v>
      </c>
      <c r="D364" s="5">
        <v>2</v>
      </c>
      <c r="E364" s="5">
        <v>2010</v>
      </c>
      <c r="F364" s="5" t="s">
        <v>33</v>
      </c>
      <c r="G364" s="5" t="s">
        <v>7</v>
      </c>
      <c r="H364" s="7">
        <v>251584.18</v>
      </c>
      <c r="I364" s="7">
        <v>351133.85</v>
      </c>
      <c r="J364" s="7">
        <v>99549.669999999984</v>
      </c>
      <c r="K364" s="8">
        <v>0.39569129505678768</v>
      </c>
    </row>
    <row r="365" spans="1:11" x14ac:dyDescent="0.3">
      <c r="A365" s="5" t="s">
        <v>45</v>
      </c>
      <c r="B365" s="6">
        <v>40237</v>
      </c>
      <c r="C365" s="5">
        <v>10</v>
      </c>
      <c r="D365" s="5">
        <v>2</v>
      </c>
      <c r="E365" s="5">
        <v>2010</v>
      </c>
      <c r="F365" s="5" t="s">
        <v>35</v>
      </c>
      <c r="G365" s="5" t="s">
        <v>11</v>
      </c>
      <c r="H365" s="7">
        <v>2546.84</v>
      </c>
      <c r="I365" s="7">
        <v>3310.34</v>
      </c>
      <c r="J365" s="7">
        <v>763.5</v>
      </c>
      <c r="K365" s="8">
        <v>0.29978326082517942</v>
      </c>
    </row>
    <row r="366" spans="1:11" x14ac:dyDescent="0.3">
      <c r="A366" s="5" t="s">
        <v>45</v>
      </c>
      <c r="B366" s="6">
        <v>40237</v>
      </c>
      <c r="C366" s="5">
        <v>10</v>
      </c>
      <c r="D366" s="5">
        <v>2</v>
      </c>
      <c r="E366" s="5">
        <v>2010</v>
      </c>
      <c r="F366" s="5" t="s">
        <v>36</v>
      </c>
      <c r="G366" s="5" t="s">
        <v>11</v>
      </c>
      <c r="H366" s="7">
        <v>295130.57</v>
      </c>
      <c r="I366" s="7">
        <v>320771.61</v>
      </c>
      <c r="J366" s="7">
        <v>25641.039999999979</v>
      </c>
      <c r="K366" s="8">
        <v>8.6880325545401746E-2</v>
      </c>
    </row>
    <row r="367" spans="1:11" x14ac:dyDescent="0.3">
      <c r="A367" s="5" t="s">
        <v>45</v>
      </c>
      <c r="B367" s="6">
        <v>40237</v>
      </c>
      <c r="C367" s="5">
        <v>10</v>
      </c>
      <c r="D367" s="5">
        <v>2</v>
      </c>
      <c r="E367" s="5">
        <v>2010</v>
      </c>
      <c r="F367" s="5" t="s">
        <v>37</v>
      </c>
      <c r="G367" s="5" t="s">
        <v>11</v>
      </c>
      <c r="H367" s="7">
        <v>649890.51</v>
      </c>
      <c r="I367" s="7">
        <v>691151.77</v>
      </c>
      <c r="J367" s="7">
        <v>41261.260000000009</v>
      </c>
      <c r="K367" s="8">
        <v>6.348955610999768E-2</v>
      </c>
    </row>
    <row r="368" spans="1:11" x14ac:dyDescent="0.3">
      <c r="A368" s="5" t="s">
        <v>45</v>
      </c>
      <c r="B368" s="6">
        <v>40237</v>
      </c>
      <c r="C368" s="5">
        <v>10</v>
      </c>
      <c r="D368" s="5">
        <v>2</v>
      </c>
      <c r="E368" s="5">
        <v>2010</v>
      </c>
      <c r="F368" s="5" t="s">
        <v>38</v>
      </c>
      <c r="G368" s="5" t="s">
        <v>11</v>
      </c>
      <c r="H368" s="7">
        <v>530764.89</v>
      </c>
      <c r="I368" s="7">
        <v>566254.27</v>
      </c>
      <c r="J368" s="7">
        <v>35489.380000000005</v>
      </c>
      <c r="K368" s="8">
        <v>6.686459611147226E-2</v>
      </c>
    </row>
    <row r="369" spans="1:11" x14ac:dyDescent="0.3">
      <c r="A369" s="5" t="s">
        <v>45</v>
      </c>
      <c r="B369" s="6">
        <v>40238</v>
      </c>
      <c r="C369" s="5">
        <v>10</v>
      </c>
      <c r="D369" s="5">
        <v>3</v>
      </c>
      <c r="E369" s="5">
        <v>2010</v>
      </c>
      <c r="F369" s="5" t="s">
        <v>14</v>
      </c>
      <c r="G369" s="5" t="s">
        <v>6</v>
      </c>
      <c r="H369" s="7">
        <v>10589</v>
      </c>
      <c r="I369" s="7">
        <v>12785.49</v>
      </c>
      <c r="J369" s="7">
        <v>2196.4899999999998</v>
      </c>
      <c r="K369" s="8">
        <v>0.20743129662857682</v>
      </c>
    </row>
    <row r="370" spans="1:11" x14ac:dyDescent="0.3">
      <c r="A370" s="5" t="s">
        <v>45</v>
      </c>
      <c r="B370" s="6">
        <v>40238</v>
      </c>
      <c r="C370" s="5">
        <v>10</v>
      </c>
      <c r="D370" s="5">
        <v>3</v>
      </c>
      <c r="E370" s="5">
        <v>2010</v>
      </c>
      <c r="F370" s="5" t="s">
        <v>15</v>
      </c>
      <c r="G370" s="5" t="s">
        <v>6</v>
      </c>
      <c r="H370" s="7">
        <v>243506.39</v>
      </c>
      <c r="I370" s="7">
        <v>304767.34000000003</v>
      </c>
      <c r="J370" s="7">
        <v>61260.950000000012</v>
      </c>
      <c r="K370" s="8">
        <v>0.25157840827092876</v>
      </c>
    </row>
    <row r="371" spans="1:11" x14ac:dyDescent="0.3">
      <c r="A371" s="5" t="s">
        <v>45</v>
      </c>
      <c r="B371" s="6">
        <v>40238</v>
      </c>
      <c r="C371" s="5">
        <v>10</v>
      </c>
      <c r="D371" s="5">
        <v>3</v>
      </c>
      <c r="E371" s="5">
        <v>2010</v>
      </c>
      <c r="F371" s="5" t="s">
        <v>16</v>
      </c>
      <c r="G371" s="5" t="s">
        <v>6</v>
      </c>
      <c r="H371" s="7">
        <v>83668.160000000003</v>
      </c>
      <c r="I371" s="7">
        <v>92377.33</v>
      </c>
      <c r="J371" s="7">
        <v>8709.1699999999983</v>
      </c>
      <c r="K371" s="8">
        <v>0.10409180744503044</v>
      </c>
    </row>
    <row r="372" spans="1:11" x14ac:dyDescent="0.3">
      <c r="A372" s="5" t="s">
        <v>45</v>
      </c>
      <c r="B372" s="6">
        <v>40238</v>
      </c>
      <c r="C372" s="5">
        <v>10</v>
      </c>
      <c r="D372" s="5">
        <v>3</v>
      </c>
      <c r="E372" s="5">
        <v>2010</v>
      </c>
      <c r="F372" s="5" t="s">
        <v>17</v>
      </c>
      <c r="G372" s="5" t="s">
        <v>6</v>
      </c>
      <c r="H372" s="7">
        <v>574</v>
      </c>
      <c r="I372" s="7">
        <v>585.14</v>
      </c>
      <c r="J372" s="7">
        <v>11.139999999999986</v>
      </c>
      <c r="K372" s="8">
        <v>1.9407665505226455E-2</v>
      </c>
    </row>
    <row r="373" spans="1:11" x14ac:dyDescent="0.3">
      <c r="A373" s="5" t="s">
        <v>45</v>
      </c>
      <c r="B373" s="6">
        <v>40238</v>
      </c>
      <c r="C373" s="5">
        <v>10</v>
      </c>
      <c r="D373" s="5">
        <v>3</v>
      </c>
      <c r="E373" s="5">
        <v>2010</v>
      </c>
      <c r="F373" s="5" t="s">
        <v>18</v>
      </c>
      <c r="G373" s="5" t="s">
        <v>6</v>
      </c>
      <c r="H373" s="7">
        <v>771.87</v>
      </c>
      <c r="I373" s="7">
        <v>872.98</v>
      </c>
      <c r="J373" s="7">
        <v>101.11000000000001</v>
      </c>
      <c r="K373" s="8">
        <v>0.13099356109189372</v>
      </c>
    </row>
    <row r="374" spans="1:11" x14ac:dyDescent="0.3">
      <c r="A374" s="5" t="s">
        <v>45</v>
      </c>
      <c r="B374" s="6">
        <v>40238</v>
      </c>
      <c r="C374" s="5">
        <v>10</v>
      </c>
      <c r="D374" s="5">
        <v>3</v>
      </c>
      <c r="E374" s="5">
        <v>2010</v>
      </c>
      <c r="F374" s="5" t="s">
        <v>19</v>
      </c>
      <c r="G374" s="5" t="s">
        <v>5</v>
      </c>
      <c r="H374" s="7">
        <v>213120.71</v>
      </c>
      <c r="I374" s="7">
        <v>231841.35</v>
      </c>
      <c r="J374" s="7">
        <v>18720.640000000014</v>
      </c>
      <c r="K374" s="8">
        <v>8.7840548203879459E-2</v>
      </c>
    </row>
    <row r="375" spans="1:11" x14ac:dyDescent="0.3">
      <c r="A375" s="5" t="s">
        <v>45</v>
      </c>
      <c r="B375" s="6">
        <v>40238</v>
      </c>
      <c r="C375" s="5">
        <v>10</v>
      </c>
      <c r="D375" s="5">
        <v>3</v>
      </c>
      <c r="E375" s="5">
        <v>2010</v>
      </c>
      <c r="F375" s="5" t="s">
        <v>5</v>
      </c>
      <c r="G375" s="5" t="s">
        <v>5</v>
      </c>
      <c r="H375" s="7">
        <v>551200.81000000006</v>
      </c>
      <c r="I375" s="7">
        <v>582902.43999999994</v>
      </c>
      <c r="J375" s="7">
        <v>31701.629999999888</v>
      </c>
      <c r="K375" s="8">
        <v>5.7513758007721148E-2</v>
      </c>
    </row>
    <row r="376" spans="1:11" x14ac:dyDescent="0.3">
      <c r="A376" s="5" t="s">
        <v>45</v>
      </c>
      <c r="B376" s="6">
        <v>40238</v>
      </c>
      <c r="C376" s="5">
        <v>10</v>
      </c>
      <c r="D376" s="5">
        <v>3</v>
      </c>
      <c r="E376" s="5">
        <v>2010</v>
      </c>
      <c r="F376" s="5" t="s">
        <v>20</v>
      </c>
      <c r="G376" s="5" t="s">
        <v>5</v>
      </c>
      <c r="H376" s="7">
        <v>126250.05</v>
      </c>
      <c r="I376" s="7">
        <v>139042.82999999999</v>
      </c>
      <c r="J376" s="7">
        <v>12792.779999999984</v>
      </c>
      <c r="K376" s="8">
        <v>0.10132891036478785</v>
      </c>
    </row>
    <row r="377" spans="1:11" x14ac:dyDescent="0.3">
      <c r="A377" s="5" t="s">
        <v>45</v>
      </c>
      <c r="B377" s="6">
        <v>40238</v>
      </c>
      <c r="C377" s="5">
        <v>10</v>
      </c>
      <c r="D377" s="5">
        <v>3</v>
      </c>
      <c r="E377" s="5">
        <v>2010</v>
      </c>
      <c r="F377" s="5" t="s">
        <v>21</v>
      </c>
      <c r="G377" s="5" t="s">
        <v>5</v>
      </c>
      <c r="H377" s="7">
        <v>187501.4</v>
      </c>
      <c r="I377" s="7">
        <v>199828.12</v>
      </c>
      <c r="J377" s="7">
        <v>12326.720000000001</v>
      </c>
      <c r="K377" s="8">
        <v>6.5742015792948749E-2</v>
      </c>
    </row>
    <row r="378" spans="1:11" x14ac:dyDescent="0.3">
      <c r="A378" s="5" t="s">
        <v>45</v>
      </c>
      <c r="B378" s="6">
        <v>40238</v>
      </c>
      <c r="C378" s="5">
        <v>10</v>
      </c>
      <c r="D378" s="5">
        <v>3</v>
      </c>
      <c r="E378" s="5">
        <v>2010</v>
      </c>
      <c r="F378" s="5" t="s">
        <v>22</v>
      </c>
      <c r="G378" s="5" t="s">
        <v>8</v>
      </c>
      <c r="H378" s="7">
        <v>220186.96</v>
      </c>
      <c r="I378" s="7">
        <v>247514.62</v>
      </c>
      <c r="J378" s="7">
        <v>27327.660000000003</v>
      </c>
      <c r="K378" s="8">
        <v>0.12411116443952905</v>
      </c>
    </row>
    <row r="379" spans="1:11" x14ac:dyDescent="0.3">
      <c r="A379" s="5" t="s">
        <v>45</v>
      </c>
      <c r="B379" s="6">
        <v>40238</v>
      </c>
      <c r="C379" s="5">
        <v>10</v>
      </c>
      <c r="D379" s="5">
        <v>3</v>
      </c>
      <c r="E379" s="5">
        <v>2010</v>
      </c>
      <c r="F379" s="5" t="s">
        <v>23</v>
      </c>
      <c r="G379" s="5" t="s">
        <v>8</v>
      </c>
      <c r="H379" s="7">
        <v>123318.36</v>
      </c>
      <c r="I379" s="7">
        <v>129391.86</v>
      </c>
      <c r="J379" s="7">
        <v>6073.5</v>
      </c>
      <c r="K379" s="8">
        <v>4.9250573880483005E-2</v>
      </c>
    </row>
    <row r="380" spans="1:11" x14ac:dyDescent="0.3">
      <c r="A380" s="5" t="s">
        <v>45</v>
      </c>
      <c r="B380" s="6">
        <v>40238</v>
      </c>
      <c r="C380" s="5">
        <v>10</v>
      </c>
      <c r="D380" s="5">
        <v>3</v>
      </c>
      <c r="E380" s="5">
        <v>2010</v>
      </c>
      <c r="F380" s="5" t="s">
        <v>24</v>
      </c>
      <c r="G380" s="5" t="s">
        <v>8</v>
      </c>
      <c r="H380" s="7">
        <v>108929</v>
      </c>
      <c r="I380" s="7">
        <v>117304.31</v>
      </c>
      <c r="J380" s="7">
        <v>8375.3099999999977</v>
      </c>
      <c r="K380" s="8">
        <v>7.6887789293943742E-2</v>
      </c>
    </row>
    <row r="381" spans="1:11" x14ac:dyDescent="0.3">
      <c r="A381" s="5" t="s">
        <v>45</v>
      </c>
      <c r="B381" s="6">
        <v>40238</v>
      </c>
      <c r="C381" s="5">
        <v>10</v>
      </c>
      <c r="D381" s="5">
        <v>3</v>
      </c>
      <c r="E381" s="5">
        <v>2010</v>
      </c>
      <c r="F381" s="5" t="s">
        <v>25</v>
      </c>
      <c r="G381" s="5" t="s">
        <v>8</v>
      </c>
      <c r="H381" s="7">
        <v>21065.35</v>
      </c>
      <c r="I381" s="7">
        <v>24277.31</v>
      </c>
      <c r="J381" s="7">
        <v>3211.9600000000028</v>
      </c>
      <c r="K381" s="8">
        <v>0.15247598544529301</v>
      </c>
    </row>
    <row r="382" spans="1:11" x14ac:dyDescent="0.3">
      <c r="A382" s="5" t="s">
        <v>45</v>
      </c>
      <c r="B382" s="6">
        <v>40238</v>
      </c>
      <c r="C382" s="5">
        <v>10</v>
      </c>
      <c r="D382" s="5">
        <v>3</v>
      </c>
      <c r="E382" s="5">
        <v>2010</v>
      </c>
      <c r="F382" s="5" t="s">
        <v>26</v>
      </c>
      <c r="G382" s="5" t="s">
        <v>10</v>
      </c>
      <c r="H382" s="7">
        <v>23777.68</v>
      </c>
      <c r="I382" s="7">
        <v>26510.04</v>
      </c>
      <c r="J382" s="7">
        <v>2732.3600000000006</v>
      </c>
      <c r="K382" s="8">
        <v>0.11491280898725194</v>
      </c>
    </row>
    <row r="383" spans="1:11" x14ac:dyDescent="0.3">
      <c r="A383" s="5" t="s">
        <v>45</v>
      </c>
      <c r="B383" s="6">
        <v>40238</v>
      </c>
      <c r="C383" s="5">
        <v>10</v>
      </c>
      <c r="D383" s="5">
        <v>3</v>
      </c>
      <c r="E383" s="5">
        <v>2010</v>
      </c>
      <c r="F383" s="5" t="s">
        <v>27</v>
      </c>
      <c r="G383" s="5" t="s">
        <v>10</v>
      </c>
      <c r="H383" s="7">
        <v>133741.66</v>
      </c>
      <c r="I383" s="7">
        <v>151874.57999999999</v>
      </c>
      <c r="J383" s="7">
        <v>18132.919999999984</v>
      </c>
      <c r="K383" s="8">
        <v>0.13558168786001298</v>
      </c>
    </row>
    <row r="384" spans="1:11" x14ac:dyDescent="0.3">
      <c r="A384" s="5" t="s">
        <v>45</v>
      </c>
      <c r="B384" s="6">
        <v>40238</v>
      </c>
      <c r="C384" s="5">
        <v>10</v>
      </c>
      <c r="D384" s="5">
        <v>3</v>
      </c>
      <c r="E384" s="5">
        <v>2010</v>
      </c>
      <c r="F384" s="5" t="s">
        <v>28</v>
      </c>
      <c r="G384" s="5" t="s">
        <v>10</v>
      </c>
      <c r="H384" s="7">
        <v>100004.22</v>
      </c>
      <c r="I384" s="7">
        <v>109073.02</v>
      </c>
      <c r="J384" s="7">
        <v>9068.8000000000029</v>
      </c>
      <c r="K384" s="8">
        <v>9.0684173127894036E-2</v>
      </c>
    </row>
    <row r="385" spans="1:11" x14ac:dyDescent="0.3">
      <c r="A385" s="5" t="s">
        <v>45</v>
      </c>
      <c r="B385" s="6">
        <v>40238</v>
      </c>
      <c r="C385" s="5">
        <v>10</v>
      </c>
      <c r="D385" s="5">
        <v>3</v>
      </c>
      <c r="E385" s="5">
        <v>2010</v>
      </c>
      <c r="F385" s="5" t="s">
        <v>29</v>
      </c>
      <c r="G385" s="5" t="s">
        <v>10</v>
      </c>
      <c r="H385" s="7">
        <v>584089.53</v>
      </c>
      <c r="I385" s="7">
        <v>631293.13</v>
      </c>
      <c r="J385" s="7">
        <v>47203.599999999977</v>
      </c>
      <c r="K385" s="8">
        <v>8.0815692758608379E-2</v>
      </c>
    </row>
    <row r="386" spans="1:11" x14ac:dyDescent="0.3">
      <c r="A386" s="5" t="s">
        <v>45</v>
      </c>
      <c r="B386" s="6">
        <v>40238</v>
      </c>
      <c r="C386" s="5">
        <v>10</v>
      </c>
      <c r="D386" s="5">
        <v>3</v>
      </c>
      <c r="E386" s="5">
        <v>2010</v>
      </c>
      <c r="F386" s="5" t="s">
        <v>30</v>
      </c>
      <c r="G386" s="5" t="s">
        <v>10</v>
      </c>
      <c r="H386" s="7">
        <v>169126.5</v>
      </c>
      <c r="I386" s="7">
        <v>190345.71</v>
      </c>
      <c r="J386" s="7">
        <v>21219.209999999992</v>
      </c>
      <c r="K386" s="8">
        <v>0.12546354356058922</v>
      </c>
    </row>
    <row r="387" spans="1:11" x14ac:dyDescent="0.3">
      <c r="A387" s="5" t="s">
        <v>45</v>
      </c>
      <c r="B387" s="6">
        <v>40238</v>
      </c>
      <c r="C387" s="5">
        <v>10</v>
      </c>
      <c r="D387" s="5">
        <v>3</v>
      </c>
      <c r="E387" s="5">
        <v>2010</v>
      </c>
      <c r="F387" s="5" t="s">
        <v>31</v>
      </c>
      <c r="G387" s="5" t="s">
        <v>7</v>
      </c>
      <c r="H387" s="7">
        <v>22765.24</v>
      </c>
      <c r="I387" s="7">
        <v>28635.200000000001</v>
      </c>
      <c r="J387" s="7">
        <v>5869.9599999999991</v>
      </c>
      <c r="K387" s="8">
        <v>0.25784749029661003</v>
      </c>
    </row>
    <row r="388" spans="1:11" x14ac:dyDescent="0.3">
      <c r="A388" s="5" t="s">
        <v>45</v>
      </c>
      <c r="B388" s="6">
        <v>40238</v>
      </c>
      <c r="C388" s="5">
        <v>10</v>
      </c>
      <c r="D388" s="5">
        <v>3</v>
      </c>
      <c r="E388" s="5">
        <v>2010</v>
      </c>
      <c r="F388" s="5" t="s">
        <v>32</v>
      </c>
      <c r="G388" s="5" t="s">
        <v>7</v>
      </c>
      <c r="H388" s="7">
        <v>33653.269999999997</v>
      </c>
      <c r="I388" s="7">
        <v>38694.89</v>
      </c>
      <c r="J388" s="7">
        <v>5041.6200000000026</v>
      </c>
      <c r="K388" s="8">
        <v>0.1498107019020738</v>
      </c>
    </row>
    <row r="389" spans="1:11" x14ac:dyDescent="0.3">
      <c r="A389" s="5" t="s">
        <v>45</v>
      </c>
      <c r="B389" s="6">
        <v>40238</v>
      </c>
      <c r="C389" s="5">
        <v>10</v>
      </c>
      <c r="D389" s="5">
        <v>3</v>
      </c>
      <c r="E389" s="5">
        <v>2010</v>
      </c>
      <c r="F389" s="5" t="s">
        <v>33</v>
      </c>
      <c r="G389" s="5" t="s">
        <v>7</v>
      </c>
      <c r="H389" s="7">
        <v>214026.59</v>
      </c>
      <c r="I389" s="7">
        <v>294928.78000000003</v>
      </c>
      <c r="J389" s="7">
        <v>80902.190000000031</v>
      </c>
      <c r="K389" s="8">
        <v>0.3780006493585682</v>
      </c>
    </row>
    <row r="390" spans="1:11" x14ac:dyDescent="0.3">
      <c r="A390" s="5" t="s">
        <v>45</v>
      </c>
      <c r="B390" s="6">
        <v>40238</v>
      </c>
      <c r="C390" s="5">
        <v>10</v>
      </c>
      <c r="D390" s="5">
        <v>3</v>
      </c>
      <c r="E390" s="5">
        <v>2010</v>
      </c>
      <c r="F390" s="5" t="s">
        <v>34</v>
      </c>
      <c r="G390" s="5" t="s">
        <v>7</v>
      </c>
      <c r="H390" s="7">
        <v>1064</v>
      </c>
      <c r="I390" s="7">
        <v>1329.66</v>
      </c>
      <c r="J390" s="7">
        <v>265.66000000000008</v>
      </c>
      <c r="K390" s="8">
        <v>0.24968045112781961</v>
      </c>
    </row>
    <row r="391" spans="1:11" x14ac:dyDescent="0.3">
      <c r="A391" s="5" t="s">
        <v>45</v>
      </c>
      <c r="B391" s="6">
        <v>40238</v>
      </c>
      <c r="C391" s="5">
        <v>10</v>
      </c>
      <c r="D391" s="5">
        <v>3</v>
      </c>
      <c r="E391" s="5">
        <v>2010</v>
      </c>
      <c r="F391" s="5" t="s">
        <v>35</v>
      </c>
      <c r="G391" s="5" t="s">
        <v>11</v>
      </c>
      <c r="H391" s="7">
        <v>2985.76</v>
      </c>
      <c r="I391" s="7">
        <v>3880.67</v>
      </c>
      <c r="J391" s="7">
        <v>894.90999999999985</v>
      </c>
      <c r="K391" s="8">
        <v>0.29972603290284544</v>
      </c>
    </row>
    <row r="392" spans="1:11" x14ac:dyDescent="0.3">
      <c r="A392" s="5" t="s">
        <v>45</v>
      </c>
      <c r="B392" s="6">
        <v>40238</v>
      </c>
      <c r="C392" s="5">
        <v>10</v>
      </c>
      <c r="D392" s="5">
        <v>3</v>
      </c>
      <c r="E392" s="5">
        <v>2010</v>
      </c>
      <c r="F392" s="5" t="s">
        <v>36</v>
      </c>
      <c r="G392" s="5" t="s">
        <v>11</v>
      </c>
      <c r="H392" s="7">
        <v>176764.33</v>
      </c>
      <c r="I392" s="7">
        <v>194698.85</v>
      </c>
      <c r="J392" s="7">
        <v>17934.520000000019</v>
      </c>
      <c r="K392" s="8">
        <v>0.10146006267214669</v>
      </c>
    </row>
    <row r="393" spans="1:11" x14ac:dyDescent="0.3">
      <c r="A393" s="5" t="s">
        <v>45</v>
      </c>
      <c r="B393" s="6">
        <v>40238</v>
      </c>
      <c r="C393" s="5">
        <v>10</v>
      </c>
      <c r="D393" s="5">
        <v>3</v>
      </c>
      <c r="E393" s="5">
        <v>2010</v>
      </c>
      <c r="F393" s="5" t="s">
        <v>37</v>
      </c>
      <c r="G393" s="5" t="s">
        <v>11</v>
      </c>
      <c r="H393" s="7">
        <v>321844.78000000003</v>
      </c>
      <c r="I393" s="7">
        <v>344675.83</v>
      </c>
      <c r="J393" s="7">
        <v>22831.049999999988</v>
      </c>
      <c r="K393" s="8">
        <v>7.0938077665885974E-2</v>
      </c>
    </row>
    <row r="394" spans="1:11" x14ac:dyDescent="0.3">
      <c r="A394" s="5" t="s">
        <v>45</v>
      </c>
      <c r="B394" s="6">
        <v>40238</v>
      </c>
      <c r="C394" s="5">
        <v>10</v>
      </c>
      <c r="D394" s="5">
        <v>3</v>
      </c>
      <c r="E394" s="5">
        <v>2010</v>
      </c>
      <c r="F394" s="5" t="s">
        <v>38</v>
      </c>
      <c r="G394" s="5" t="s">
        <v>11</v>
      </c>
      <c r="H394" s="7">
        <v>310456.84000000003</v>
      </c>
      <c r="I394" s="7">
        <v>333220.32</v>
      </c>
      <c r="J394" s="7">
        <v>22763.479999999981</v>
      </c>
      <c r="K394" s="8">
        <v>7.3322526892949047E-2</v>
      </c>
    </row>
    <row r="395" spans="1:11" x14ac:dyDescent="0.3">
      <c r="A395" s="5" t="s">
        <v>45</v>
      </c>
      <c r="B395" s="6">
        <v>40239</v>
      </c>
      <c r="C395" s="5">
        <v>10</v>
      </c>
      <c r="D395" s="5">
        <v>3</v>
      </c>
      <c r="E395" s="5">
        <v>2010</v>
      </c>
      <c r="F395" s="5" t="s">
        <v>14</v>
      </c>
      <c r="G395" s="5" t="s">
        <v>6</v>
      </c>
      <c r="H395" s="7">
        <v>9122</v>
      </c>
      <c r="I395" s="7">
        <v>11057.5</v>
      </c>
      <c r="J395" s="7">
        <v>1935.5</v>
      </c>
      <c r="K395" s="8">
        <v>0.21217934663450996</v>
      </c>
    </row>
    <row r="396" spans="1:11" x14ac:dyDescent="0.3">
      <c r="A396" s="5" t="s">
        <v>45</v>
      </c>
      <c r="B396" s="6">
        <v>40239</v>
      </c>
      <c r="C396" s="5">
        <v>10</v>
      </c>
      <c r="D396" s="5">
        <v>3</v>
      </c>
      <c r="E396" s="5">
        <v>2010</v>
      </c>
      <c r="F396" s="5" t="s">
        <v>15</v>
      </c>
      <c r="G396" s="5" t="s">
        <v>6</v>
      </c>
      <c r="H396" s="7">
        <v>211905.6</v>
      </c>
      <c r="I396" s="7">
        <v>263658.59999999998</v>
      </c>
      <c r="J396" s="7">
        <v>51752.999999999971</v>
      </c>
      <c r="K396" s="8">
        <v>0.24422667451921973</v>
      </c>
    </row>
    <row r="397" spans="1:11" x14ac:dyDescent="0.3">
      <c r="A397" s="5" t="s">
        <v>45</v>
      </c>
      <c r="B397" s="6">
        <v>40239</v>
      </c>
      <c r="C397" s="5">
        <v>10</v>
      </c>
      <c r="D397" s="5">
        <v>3</v>
      </c>
      <c r="E397" s="5">
        <v>2010</v>
      </c>
      <c r="F397" s="5" t="s">
        <v>16</v>
      </c>
      <c r="G397" s="5" t="s">
        <v>6</v>
      </c>
      <c r="H397" s="7">
        <v>78123.960000000006</v>
      </c>
      <c r="I397" s="7">
        <v>86181.29</v>
      </c>
      <c r="J397" s="7">
        <v>8057.3299999999872</v>
      </c>
      <c r="K397" s="8">
        <v>0.10313519693574144</v>
      </c>
    </row>
    <row r="398" spans="1:11" x14ac:dyDescent="0.3">
      <c r="A398" s="5" t="s">
        <v>45</v>
      </c>
      <c r="B398" s="6">
        <v>40239</v>
      </c>
      <c r="C398" s="5">
        <v>10</v>
      </c>
      <c r="D398" s="5">
        <v>3</v>
      </c>
      <c r="E398" s="5">
        <v>2010</v>
      </c>
      <c r="F398" s="5" t="s">
        <v>17</v>
      </c>
      <c r="G398" s="5" t="s">
        <v>6</v>
      </c>
      <c r="H398" s="7">
        <v>3290</v>
      </c>
      <c r="I398" s="7">
        <v>3633.19</v>
      </c>
      <c r="J398" s="7">
        <v>343.19000000000005</v>
      </c>
      <c r="K398" s="8">
        <v>0.1043130699088146</v>
      </c>
    </row>
    <row r="399" spans="1:11" x14ac:dyDescent="0.3">
      <c r="A399" s="5" t="s">
        <v>45</v>
      </c>
      <c r="B399" s="6">
        <v>40239</v>
      </c>
      <c r="C399" s="5">
        <v>10</v>
      </c>
      <c r="D399" s="5">
        <v>3</v>
      </c>
      <c r="E399" s="5">
        <v>2010</v>
      </c>
      <c r="F399" s="5" t="s">
        <v>18</v>
      </c>
      <c r="G399" s="5" t="s">
        <v>6</v>
      </c>
      <c r="H399" s="7">
        <v>4955.4799999999996</v>
      </c>
      <c r="I399" s="7">
        <v>5623.05</v>
      </c>
      <c r="J399" s="7">
        <v>667.57000000000062</v>
      </c>
      <c r="K399" s="8">
        <v>0.13471348890521215</v>
      </c>
    </row>
    <row r="400" spans="1:11" x14ac:dyDescent="0.3">
      <c r="A400" s="5" t="s">
        <v>45</v>
      </c>
      <c r="B400" s="6">
        <v>40239</v>
      </c>
      <c r="C400" s="5">
        <v>10</v>
      </c>
      <c r="D400" s="5">
        <v>3</v>
      </c>
      <c r="E400" s="5">
        <v>2010</v>
      </c>
      <c r="F400" s="5" t="s">
        <v>19</v>
      </c>
      <c r="G400" s="5" t="s">
        <v>5</v>
      </c>
      <c r="H400" s="7">
        <v>146737.57</v>
      </c>
      <c r="I400" s="7">
        <v>161318.49</v>
      </c>
      <c r="J400" s="7">
        <v>14580.919999999984</v>
      </c>
      <c r="K400" s="8">
        <v>9.9367326309138027E-2</v>
      </c>
    </row>
    <row r="401" spans="1:11" x14ac:dyDescent="0.3">
      <c r="A401" s="5" t="s">
        <v>45</v>
      </c>
      <c r="B401" s="6">
        <v>40239</v>
      </c>
      <c r="C401" s="5">
        <v>10</v>
      </c>
      <c r="D401" s="5">
        <v>3</v>
      </c>
      <c r="E401" s="5">
        <v>2010</v>
      </c>
      <c r="F401" s="5" t="s">
        <v>5</v>
      </c>
      <c r="G401" s="5" t="s">
        <v>5</v>
      </c>
      <c r="H401" s="7">
        <v>628435.97</v>
      </c>
      <c r="I401" s="7">
        <v>659036.64</v>
      </c>
      <c r="J401" s="7">
        <v>30600.670000000042</v>
      </c>
      <c r="K401" s="8">
        <v>4.8693377624453998E-2</v>
      </c>
    </row>
    <row r="402" spans="1:11" x14ac:dyDescent="0.3">
      <c r="A402" s="5" t="s">
        <v>45</v>
      </c>
      <c r="B402" s="6">
        <v>40239</v>
      </c>
      <c r="C402" s="5">
        <v>10</v>
      </c>
      <c r="D402" s="5">
        <v>3</v>
      </c>
      <c r="E402" s="5">
        <v>2010</v>
      </c>
      <c r="F402" s="5" t="s">
        <v>20</v>
      </c>
      <c r="G402" s="5" t="s">
        <v>5</v>
      </c>
      <c r="H402" s="7">
        <v>139692.85999999999</v>
      </c>
      <c r="I402" s="7">
        <v>153296.20000000001</v>
      </c>
      <c r="J402" s="7">
        <v>13603.340000000026</v>
      </c>
      <c r="K402" s="8">
        <v>9.7380352868428832E-2</v>
      </c>
    </row>
    <row r="403" spans="1:11" x14ac:dyDescent="0.3">
      <c r="A403" s="5" t="s">
        <v>45</v>
      </c>
      <c r="B403" s="6">
        <v>40239</v>
      </c>
      <c r="C403" s="5">
        <v>10</v>
      </c>
      <c r="D403" s="5">
        <v>3</v>
      </c>
      <c r="E403" s="5">
        <v>2010</v>
      </c>
      <c r="F403" s="5" t="s">
        <v>21</v>
      </c>
      <c r="G403" s="5" t="s">
        <v>5</v>
      </c>
      <c r="H403" s="7">
        <v>220947.20000000001</v>
      </c>
      <c r="I403" s="7">
        <v>231906.06</v>
      </c>
      <c r="J403" s="7">
        <v>10958.859999999986</v>
      </c>
      <c r="K403" s="8">
        <v>4.9599451814732139E-2</v>
      </c>
    </row>
    <row r="404" spans="1:11" x14ac:dyDescent="0.3">
      <c r="A404" s="5" t="s">
        <v>45</v>
      </c>
      <c r="B404" s="6">
        <v>40239</v>
      </c>
      <c r="C404" s="5">
        <v>10</v>
      </c>
      <c r="D404" s="5">
        <v>3</v>
      </c>
      <c r="E404" s="5">
        <v>2010</v>
      </c>
      <c r="F404" s="5" t="s">
        <v>22</v>
      </c>
      <c r="G404" s="5" t="s">
        <v>8</v>
      </c>
      <c r="H404" s="7">
        <v>431696.85</v>
      </c>
      <c r="I404" s="7">
        <v>464874.01</v>
      </c>
      <c r="J404" s="7">
        <v>33177.160000000033</v>
      </c>
      <c r="K404" s="8">
        <v>7.6852911945037433E-2</v>
      </c>
    </row>
    <row r="405" spans="1:11" x14ac:dyDescent="0.3">
      <c r="A405" s="5" t="s">
        <v>45</v>
      </c>
      <c r="B405" s="6">
        <v>40239</v>
      </c>
      <c r="C405" s="5">
        <v>10</v>
      </c>
      <c r="D405" s="5">
        <v>3</v>
      </c>
      <c r="E405" s="5">
        <v>2010</v>
      </c>
      <c r="F405" s="5" t="s">
        <v>23</v>
      </c>
      <c r="G405" s="5" t="s">
        <v>8</v>
      </c>
      <c r="H405" s="7">
        <v>134272.4</v>
      </c>
      <c r="I405" s="7">
        <v>140203.74</v>
      </c>
      <c r="J405" s="7">
        <v>5931.3399999999965</v>
      </c>
      <c r="K405" s="8">
        <v>4.4173932989951745E-2</v>
      </c>
    </row>
    <row r="406" spans="1:11" x14ac:dyDescent="0.3">
      <c r="A406" s="5" t="s">
        <v>45</v>
      </c>
      <c r="B406" s="6">
        <v>40239</v>
      </c>
      <c r="C406" s="5">
        <v>10</v>
      </c>
      <c r="D406" s="5">
        <v>3</v>
      </c>
      <c r="E406" s="5">
        <v>2010</v>
      </c>
      <c r="F406" s="5" t="s">
        <v>24</v>
      </c>
      <c r="G406" s="5" t="s">
        <v>8</v>
      </c>
      <c r="H406" s="7">
        <v>102248</v>
      </c>
      <c r="I406" s="7">
        <v>108789.09</v>
      </c>
      <c r="J406" s="7">
        <v>6541.0899999999965</v>
      </c>
      <c r="K406" s="8">
        <v>6.3972791643846297E-2</v>
      </c>
    </row>
    <row r="407" spans="1:11" x14ac:dyDescent="0.3">
      <c r="A407" s="5" t="s">
        <v>45</v>
      </c>
      <c r="B407" s="6">
        <v>40239</v>
      </c>
      <c r="C407" s="5">
        <v>10</v>
      </c>
      <c r="D407" s="5">
        <v>3</v>
      </c>
      <c r="E407" s="5">
        <v>2010</v>
      </c>
      <c r="F407" s="5" t="s">
        <v>25</v>
      </c>
      <c r="G407" s="5" t="s">
        <v>8</v>
      </c>
      <c r="H407" s="7">
        <v>15914.65</v>
      </c>
      <c r="I407" s="7">
        <v>18631.21</v>
      </c>
      <c r="J407" s="7">
        <v>2716.5599999999995</v>
      </c>
      <c r="K407" s="8">
        <v>0.17069555409638287</v>
      </c>
    </row>
    <row r="408" spans="1:11" x14ac:dyDescent="0.3">
      <c r="A408" s="5" t="s">
        <v>45</v>
      </c>
      <c r="B408" s="6">
        <v>40239</v>
      </c>
      <c r="C408" s="5">
        <v>10</v>
      </c>
      <c r="D408" s="5">
        <v>3</v>
      </c>
      <c r="E408" s="5">
        <v>2010</v>
      </c>
      <c r="F408" s="5" t="s">
        <v>26</v>
      </c>
      <c r="G408" s="5" t="s">
        <v>10</v>
      </c>
      <c r="H408" s="7">
        <v>21238.39</v>
      </c>
      <c r="I408" s="7">
        <v>23713.59</v>
      </c>
      <c r="J408" s="7">
        <v>2475.2000000000007</v>
      </c>
      <c r="K408" s="8">
        <v>0.116543673979054</v>
      </c>
    </row>
    <row r="409" spans="1:11" x14ac:dyDescent="0.3">
      <c r="A409" s="5" t="s">
        <v>45</v>
      </c>
      <c r="B409" s="6">
        <v>40239</v>
      </c>
      <c r="C409" s="5">
        <v>10</v>
      </c>
      <c r="D409" s="5">
        <v>3</v>
      </c>
      <c r="E409" s="5">
        <v>2010</v>
      </c>
      <c r="F409" s="5" t="s">
        <v>27</v>
      </c>
      <c r="G409" s="5" t="s">
        <v>10</v>
      </c>
      <c r="H409" s="7">
        <v>143892.20000000001</v>
      </c>
      <c r="I409" s="7">
        <v>162921.97</v>
      </c>
      <c r="J409" s="7">
        <v>19029.76999999999</v>
      </c>
      <c r="K409" s="8">
        <v>0.1322501845131285</v>
      </c>
    </row>
    <row r="410" spans="1:11" x14ac:dyDescent="0.3">
      <c r="A410" s="5" t="s">
        <v>45</v>
      </c>
      <c r="B410" s="6">
        <v>40239</v>
      </c>
      <c r="C410" s="5">
        <v>10</v>
      </c>
      <c r="D410" s="5">
        <v>3</v>
      </c>
      <c r="E410" s="5">
        <v>2010</v>
      </c>
      <c r="F410" s="5" t="s">
        <v>28</v>
      </c>
      <c r="G410" s="5" t="s">
        <v>10</v>
      </c>
      <c r="H410" s="7">
        <v>81706.399999999994</v>
      </c>
      <c r="I410" s="7">
        <v>90633.19</v>
      </c>
      <c r="J410" s="7">
        <v>8926.7900000000081</v>
      </c>
      <c r="K410" s="8">
        <v>0.10925447700547336</v>
      </c>
    </row>
    <row r="411" spans="1:11" x14ac:dyDescent="0.3">
      <c r="A411" s="5" t="s">
        <v>45</v>
      </c>
      <c r="B411" s="6">
        <v>40239</v>
      </c>
      <c r="C411" s="5">
        <v>10</v>
      </c>
      <c r="D411" s="5">
        <v>3</v>
      </c>
      <c r="E411" s="5">
        <v>2010</v>
      </c>
      <c r="F411" s="5" t="s">
        <v>29</v>
      </c>
      <c r="G411" s="5" t="s">
        <v>10</v>
      </c>
      <c r="H411" s="7">
        <v>604561.85</v>
      </c>
      <c r="I411" s="7">
        <v>657315.19999999995</v>
      </c>
      <c r="J411" s="7">
        <v>52753.349999999977</v>
      </c>
      <c r="K411" s="8">
        <v>8.725881396584978E-2</v>
      </c>
    </row>
    <row r="412" spans="1:11" x14ac:dyDescent="0.3">
      <c r="A412" s="5" t="s">
        <v>45</v>
      </c>
      <c r="B412" s="6">
        <v>40239</v>
      </c>
      <c r="C412" s="5">
        <v>10</v>
      </c>
      <c r="D412" s="5">
        <v>3</v>
      </c>
      <c r="E412" s="5">
        <v>2010</v>
      </c>
      <c r="F412" s="5" t="s">
        <v>30</v>
      </c>
      <c r="G412" s="5" t="s">
        <v>10</v>
      </c>
      <c r="H412" s="7">
        <v>152954.14000000001</v>
      </c>
      <c r="I412" s="7">
        <v>172948.93</v>
      </c>
      <c r="J412" s="7">
        <v>19994.789999999979</v>
      </c>
      <c r="K412" s="8">
        <v>0.13072408501005581</v>
      </c>
    </row>
    <row r="413" spans="1:11" x14ac:dyDescent="0.3">
      <c r="A413" s="5" t="s">
        <v>45</v>
      </c>
      <c r="B413" s="6">
        <v>40239</v>
      </c>
      <c r="C413" s="5">
        <v>10</v>
      </c>
      <c r="D413" s="5">
        <v>3</v>
      </c>
      <c r="E413" s="5">
        <v>2010</v>
      </c>
      <c r="F413" s="5" t="s">
        <v>9</v>
      </c>
      <c r="G413" s="5" t="s">
        <v>9</v>
      </c>
      <c r="H413" s="7">
        <v>120</v>
      </c>
      <c r="I413" s="7">
        <v>153</v>
      </c>
      <c r="J413" s="7">
        <v>33</v>
      </c>
      <c r="K413" s="8">
        <v>0.27500000000000002</v>
      </c>
    </row>
    <row r="414" spans="1:11" x14ac:dyDescent="0.3">
      <c r="A414" s="5" t="s">
        <v>45</v>
      </c>
      <c r="B414" s="6">
        <v>40239</v>
      </c>
      <c r="C414" s="5">
        <v>10</v>
      </c>
      <c r="D414" s="5">
        <v>3</v>
      </c>
      <c r="E414" s="5">
        <v>2010</v>
      </c>
      <c r="F414" s="5" t="s">
        <v>31</v>
      </c>
      <c r="G414" s="5" t="s">
        <v>7</v>
      </c>
      <c r="H414" s="7">
        <v>18955.96</v>
      </c>
      <c r="I414" s="7">
        <v>25597.31</v>
      </c>
      <c r="J414" s="7">
        <v>6641.3500000000022</v>
      </c>
      <c r="K414" s="8">
        <v>0.3503568270876285</v>
      </c>
    </row>
    <row r="415" spans="1:11" x14ac:dyDescent="0.3">
      <c r="A415" s="5" t="s">
        <v>45</v>
      </c>
      <c r="B415" s="6">
        <v>40239</v>
      </c>
      <c r="C415" s="5">
        <v>10</v>
      </c>
      <c r="D415" s="5">
        <v>3</v>
      </c>
      <c r="E415" s="5">
        <v>2010</v>
      </c>
      <c r="F415" s="5" t="s">
        <v>32</v>
      </c>
      <c r="G415" s="5" t="s">
        <v>7</v>
      </c>
      <c r="H415" s="7">
        <v>29720.04</v>
      </c>
      <c r="I415" s="7">
        <v>34170.46</v>
      </c>
      <c r="J415" s="7">
        <v>4450.4199999999983</v>
      </c>
      <c r="K415" s="8">
        <v>0.14974475135295909</v>
      </c>
    </row>
    <row r="416" spans="1:11" x14ac:dyDescent="0.3">
      <c r="A416" s="5" t="s">
        <v>45</v>
      </c>
      <c r="B416" s="6">
        <v>40239</v>
      </c>
      <c r="C416" s="5">
        <v>10</v>
      </c>
      <c r="D416" s="5">
        <v>3</v>
      </c>
      <c r="E416" s="5">
        <v>2010</v>
      </c>
      <c r="F416" s="5" t="s">
        <v>33</v>
      </c>
      <c r="G416" s="5" t="s">
        <v>7</v>
      </c>
      <c r="H416" s="7">
        <v>228530.9</v>
      </c>
      <c r="I416" s="7">
        <v>317710.43</v>
      </c>
      <c r="J416" s="7">
        <v>89179.53</v>
      </c>
      <c r="K416" s="8">
        <v>0.39022963634239399</v>
      </c>
    </row>
    <row r="417" spans="1:11" x14ac:dyDescent="0.3">
      <c r="A417" s="5" t="s">
        <v>45</v>
      </c>
      <c r="B417" s="6">
        <v>40239</v>
      </c>
      <c r="C417" s="5">
        <v>10</v>
      </c>
      <c r="D417" s="5">
        <v>3</v>
      </c>
      <c r="E417" s="5">
        <v>2010</v>
      </c>
      <c r="F417" s="5" t="s">
        <v>34</v>
      </c>
      <c r="G417" s="5" t="s">
        <v>7</v>
      </c>
      <c r="H417" s="7">
        <v>760</v>
      </c>
      <c r="I417" s="7">
        <v>949.92</v>
      </c>
      <c r="J417" s="7">
        <v>189.91999999999996</v>
      </c>
      <c r="K417" s="8">
        <v>0.2498947368421052</v>
      </c>
    </row>
    <row r="418" spans="1:11" x14ac:dyDescent="0.3">
      <c r="A418" s="5" t="s">
        <v>45</v>
      </c>
      <c r="B418" s="6">
        <v>40239</v>
      </c>
      <c r="C418" s="5">
        <v>10</v>
      </c>
      <c r="D418" s="5">
        <v>3</v>
      </c>
      <c r="E418" s="5">
        <v>2010</v>
      </c>
      <c r="F418" s="5" t="s">
        <v>35</v>
      </c>
      <c r="G418" s="5" t="s">
        <v>11</v>
      </c>
      <c r="H418" s="7">
        <v>2235.6</v>
      </c>
      <c r="I418" s="7">
        <v>2905.26</v>
      </c>
      <c r="J418" s="7">
        <v>669.66000000000031</v>
      </c>
      <c r="K418" s="8">
        <v>0.29954374664519606</v>
      </c>
    </row>
    <row r="419" spans="1:11" x14ac:dyDescent="0.3">
      <c r="A419" s="5" t="s">
        <v>45</v>
      </c>
      <c r="B419" s="6">
        <v>40239</v>
      </c>
      <c r="C419" s="5">
        <v>10</v>
      </c>
      <c r="D419" s="5">
        <v>3</v>
      </c>
      <c r="E419" s="5">
        <v>2010</v>
      </c>
      <c r="F419" s="5" t="s">
        <v>36</v>
      </c>
      <c r="G419" s="5" t="s">
        <v>11</v>
      </c>
      <c r="H419" s="7">
        <v>166041.75</v>
      </c>
      <c r="I419" s="7">
        <v>182528.08</v>
      </c>
      <c r="J419" s="7">
        <v>16486.329999999987</v>
      </c>
      <c r="K419" s="8">
        <v>9.9290268863102119E-2</v>
      </c>
    </row>
    <row r="420" spans="1:11" x14ac:dyDescent="0.3">
      <c r="A420" s="5" t="s">
        <v>45</v>
      </c>
      <c r="B420" s="6">
        <v>40239</v>
      </c>
      <c r="C420" s="5">
        <v>10</v>
      </c>
      <c r="D420" s="5">
        <v>3</v>
      </c>
      <c r="E420" s="5">
        <v>2010</v>
      </c>
      <c r="F420" s="5" t="s">
        <v>37</v>
      </c>
      <c r="G420" s="5" t="s">
        <v>11</v>
      </c>
      <c r="H420" s="7">
        <v>280755.58</v>
      </c>
      <c r="I420" s="7">
        <v>303860.92</v>
      </c>
      <c r="J420" s="7">
        <v>23105.339999999967</v>
      </c>
      <c r="K420" s="8">
        <v>8.2296992992979753E-2</v>
      </c>
    </row>
    <row r="421" spans="1:11" x14ac:dyDescent="0.3">
      <c r="A421" s="5" t="s">
        <v>45</v>
      </c>
      <c r="B421" s="6">
        <v>40239</v>
      </c>
      <c r="C421" s="5">
        <v>10</v>
      </c>
      <c r="D421" s="5">
        <v>3</v>
      </c>
      <c r="E421" s="5">
        <v>2010</v>
      </c>
      <c r="F421" s="5" t="s">
        <v>38</v>
      </c>
      <c r="G421" s="5" t="s">
        <v>11</v>
      </c>
      <c r="H421" s="7">
        <v>298076.09999999998</v>
      </c>
      <c r="I421" s="7">
        <v>312833.44</v>
      </c>
      <c r="J421" s="7">
        <v>14757.340000000026</v>
      </c>
      <c r="K421" s="8">
        <v>4.9508632191578014E-2</v>
      </c>
    </row>
    <row r="422" spans="1:11" x14ac:dyDescent="0.3">
      <c r="A422" s="5" t="s">
        <v>45</v>
      </c>
      <c r="B422" s="6">
        <v>40240</v>
      </c>
      <c r="C422" s="5">
        <v>10</v>
      </c>
      <c r="D422" s="5">
        <v>3</v>
      </c>
      <c r="E422" s="5">
        <v>2010</v>
      </c>
      <c r="F422" s="5" t="s">
        <v>14</v>
      </c>
      <c r="G422" s="5" t="s">
        <v>6</v>
      </c>
      <c r="H422" s="7">
        <v>9102</v>
      </c>
      <c r="I422" s="7">
        <v>11212.65</v>
      </c>
      <c r="J422" s="7">
        <v>2110.6499999999996</v>
      </c>
      <c r="K422" s="8">
        <v>0.23188859591298611</v>
      </c>
    </row>
    <row r="423" spans="1:11" x14ac:dyDescent="0.3">
      <c r="A423" s="5" t="s">
        <v>45</v>
      </c>
      <c r="B423" s="6">
        <v>40240</v>
      </c>
      <c r="C423" s="5">
        <v>10</v>
      </c>
      <c r="D423" s="5">
        <v>3</v>
      </c>
      <c r="E423" s="5">
        <v>2010</v>
      </c>
      <c r="F423" s="5" t="s">
        <v>15</v>
      </c>
      <c r="G423" s="5" t="s">
        <v>6</v>
      </c>
      <c r="H423" s="7">
        <v>229182.96</v>
      </c>
      <c r="I423" s="7">
        <v>298283.75</v>
      </c>
      <c r="J423" s="7">
        <v>69100.790000000008</v>
      </c>
      <c r="K423" s="8">
        <v>0.30150928323816051</v>
      </c>
    </row>
    <row r="424" spans="1:11" x14ac:dyDescent="0.3">
      <c r="A424" s="5" t="s">
        <v>45</v>
      </c>
      <c r="B424" s="6">
        <v>40240</v>
      </c>
      <c r="C424" s="5">
        <v>10</v>
      </c>
      <c r="D424" s="5">
        <v>3</v>
      </c>
      <c r="E424" s="5">
        <v>2010</v>
      </c>
      <c r="F424" s="5" t="s">
        <v>16</v>
      </c>
      <c r="G424" s="5" t="s">
        <v>6</v>
      </c>
      <c r="H424" s="7">
        <v>134099.4</v>
      </c>
      <c r="I424" s="7">
        <v>147975.70000000001</v>
      </c>
      <c r="J424" s="7">
        <v>13876.300000000017</v>
      </c>
      <c r="K424" s="8">
        <v>0.10347771876682534</v>
      </c>
    </row>
    <row r="425" spans="1:11" x14ac:dyDescent="0.3">
      <c r="A425" s="5" t="s">
        <v>45</v>
      </c>
      <c r="B425" s="6">
        <v>40240</v>
      </c>
      <c r="C425" s="5">
        <v>10</v>
      </c>
      <c r="D425" s="5">
        <v>3</v>
      </c>
      <c r="E425" s="5">
        <v>2010</v>
      </c>
      <c r="F425" s="5" t="s">
        <v>17</v>
      </c>
      <c r="G425" s="5" t="s">
        <v>6</v>
      </c>
      <c r="H425" s="7">
        <v>2982</v>
      </c>
      <c r="I425" s="7">
        <v>3115.53</v>
      </c>
      <c r="J425" s="7">
        <v>133.5300000000002</v>
      </c>
      <c r="K425" s="8">
        <v>4.4778672032193226E-2</v>
      </c>
    </row>
    <row r="426" spans="1:11" x14ac:dyDescent="0.3">
      <c r="A426" s="5" t="s">
        <v>45</v>
      </c>
      <c r="B426" s="6">
        <v>40240</v>
      </c>
      <c r="C426" s="5">
        <v>10</v>
      </c>
      <c r="D426" s="5">
        <v>3</v>
      </c>
      <c r="E426" s="5">
        <v>2010</v>
      </c>
      <c r="F426" s="5" t="s">
        <v>18</v>
      </c>
      <c r="G426" s="5" t="s">
        <v>6</v>
      </c>
      <c r="H426" s="7">
        <v>5102.87</v>
      </c>
      <c r="I426" s="7">
        <v>5761.6</v>
      </c>
      <c r="J426" s="7">
        <v>658.73000000000047</v>
      </c>
      <c r="K426" s="8">
        <v>0.1290901002769031</v>
      </c>
    </row>
    <row r="427" spans="1:11" x14ac:dyDescent="0.3">
      <c r="A427" s="5" t="s">
        <v>45</v>
      </c>
      <c r="B427" s="6">
        <v>40240</v>
      </c>
      <c r="C427" s="5">
        <v>10</v>
      </c>
      <c r="D427" s="5">
        <v>3</v>
      </c>
      <c r="E427" s="5">
        <v>2010</v>
      </c>
      <c r="F427" s="5" t="s">
        <v>19</v>
      </c>
      <c r="G427" s="5" t="s">
        <v>5</v>
      </c>
      <c r="H427" s="7">
        <v>143539.46</v>
      </c>
      <c r="I427" s="7">
        <v>158273.42000000001</v>
      </c>
      <c r="J427" s="7">
        <v>14733.960000000021</v>
      </c>
      <c r="K427" s="8">
        <v>0.10264745318116719</v>
      </c>
    </row>
    <row r="428" spans="1:11" x14ac:dyDescent="0.3">
      <c r="A428" s="5" t="s">
        <v>45</v>
      </c>
      <c r="B428" s="6">
        <v>40240</v>
      </c>
      <c r="C428" s="5">
        <v>10</v>
      </c>
      <c r="D428" s="5">
        <v>3</v>
      </c>
      <c r="E428" s="5">
        <v>2010</v>
      </c>
      <c r="F428" s="5" t="s">
        <v>5</v>
      </c>
      <c r="G428" s="5" t="s">
        <v>5</v>
      </c>
      <c r="H428" s="7">
        <v>493034</v>
      </c>
      <c r="I428" s="7">
        <v>524818.46</v>
      </c>
      <c r="J428" s="7">
        <v>31784.459999999963</v>
      </c>
      <c r="K428" s="8">
        <v>6.4467075292981749E-2</v>
      </c>
    </row>
    <row r="429" spans="1:11" x14ac:dyDescent="0.3">
      <c r="A429" s="5" t="s">
        <v>45</v>
      </c>
      <c r="B429" s="6">
        <v>40240</v>
      </c>
      <c r="C429" s="5">
        <v>10</v>
      </c>
      <c r="D429" s="5">
        <v>3</v>
      </c>
      <c r="E429" s="5">
        <v>2010</v>
      </c>
      <c r="F429" s="5" t="s">
        <v>20</v>
      </c>
      <c r="G429" s="5" t="s">
        <v>5</v>
      </c>
      <c r="H429" s="7">
        <v>144706.82999999999</v>
      </c>
      <c r="I429" s="7">
        <v>158156.07999999999</v>
      </c>
      <c r="J429" s="7">
        <v>13449.25</v>
      </c>
      <c r="K429" s="8">
        <v>9.2941362892131632E-2</v>
      </c>
    </row>
    <row r="430" spans="1:11" x14ac:dyDescent="0.3">
      <c r="A430" s="5" t="s">
        <v>45</v>
      </c>
      <c r="B430" s="6">
        <v>40240</v>
      </c>
      <c r="C430" s="5">
        <v>10</v>
      </c>
      <c r="D430" s="5">
        <v>3</v>
      </c>
      <c r="E430" s="5">
        <v>2010</v>
      </c>
      <c r="F430" s="5" t="s">
        <v>21</v>
      </c>
      <c r="G430" s="5" t="s">
        <v>5</v>
      </c>
      <c r="H430" s="7">
        <v>219920.4</v>
      </c>
      <c r="I430" s="7">
        <v>234533.16</v>
      </c>
      <c r="J430" s="7">
        <v>14612.760000000009</v>
      </c>
      <c r="K430" s="8">
        <v>6.6445677617901794E-2</v>
      </c>
    </row>
    <row r="431" spans="1:11" x14ac:dyDescent="0.3">
      <c r="A431" s="5" t="s">
        <v>45</v>
      </c>
      <c r="B431" s="6">
        <v>40240</v>
      </c>
      <c r="C431" s="5">
        <v>10</v>
      </c>
      <c r="D431" s="5">
        <v>3</v>
      </c>
      <c r="E431" s="5">
        <v>2010</v>
      </c>
      <c r="F431" s="5" t="s">
        <v>22</v>
      </c>
      <c r="G431" s="5" t="s">
        <v>8</v>
      </c>
      <c r="H431" s="7">
        <v>421951.1</v>
      </c>
      <c r="I431" s="7">
        <v>454895.18</v>
      </c>
      <c r="J431" s="7">
        <v>32944.080000000016</v>
      </c>
      <c r="K431" s="8">
        <v>7.8075587431813823E-2</v>
      </c>
    </row>
    <row r="432" spans="1:11" x14ac:dyDescent="0.3">
      <c r="A432" s="5" t="s">
        <v>45</v>
      </c>
      <c r="B432" s="6">
        <v>40240</v>
      </c>
      <c r="C432" s="5">
        <v>10</v>
      </c>
      <c r="D432" s="5">
        <v>3</v>
      </c>
      <c r="E432" s="5">
        <v>2010</v>
      </c>
      <c r="F432" s="5" t="s">
        <v>23</v>
      </c>
      <c r="G432" s="5" t="s">
        <v>8</v>
      </c>
      <c r="H432" s="7">
        <v>121549.2</v>
      </c>
      <c r="I432" s="7">
        <v>126442.54</v>
      </c>
      <c r="J432" s="7">
        <v>4893.3399999999965</v>
      </c>
      <c r="K432" s="8">
        <v>4.0258101246244293E-2</v>
      </c>
    </row>
    <row r="433" spans="1:11" x14ac:dyDescent="0.3">
      <c r="A433" s="5" t="s">
        <v>45</v>
      </c>
      <c r="B433" s="6">
        <v>40240</v>
      </c>
      <c r="C433" s="5">
        <v>10</v>
      </c>
      <c r="D433" s="5">
        <v>3</v>
      </c>
      <c r="E433" s="5">
        <v>2010</v>
      </c>
      <c r="F433" s="5" t="s">
        <v>24</v>
      </c>
      <c r="G433" s="5" t="s">
        <v>8</v>
      </c>
      <c r="H433" s="7">
        <v>128926.75</v>
      </c>
      <c r="I433" s="7">
        <v>137020.26999999999</v>
      </c>
      <c r="J433" s="7">
        <v>8093.5199999999895</v>
      </c>
      <c r="K433" s="8">
        <v>6.2776111241460666E-2</v>
      </c>
    </row>
    <row r="434" spans="1:11" x14ac:dyDescent="0.3">
      <c r="A434" s="5" t="s">
        <v>45</v>
      </c>
      <c r="B434" s="6">
        <v>40240</v>
      </c>
      <c r="C434" s="5">
        <v>10</v>
      </c>
      <c r="D434" s="5">
        <v>3</v>
      </c>
      <c r="E434" s="5">
        <v>2010</v>
      </c>
      <c r="F434" s="5" t="s">
        <v>25</v>
      </c>
      <c r="G434" s="5" t="s">
        <v>8</v>
      </c>
      <c r="H434" s="7">
        <v>23258.25</v>
      </c>
      <c r="I434" s="7">
        <v>25756.51</v>
      </c>
      <c r="J434" s="7">
        <v>2498.2599999999984</v>
      </c>
      <c r="K434" s="8">
        <v>0.10741392839100097</v>
      </c>
    </row>
    <row r="435" spans="1:11" x14ac:dyDescent="0.3">
      <c r="A435" s="5" t="s">
        <v>45</v>
      </c>
      <c r="B435" s="6">
        <v>40240</v>
      </c>
      <c r="C435" s="5">
        <v>10</v>
      </c>
      <c r="D435" s="5">
        <v>3</v>
      </c>
      <c r="E435" s="5">
        <v>2010</v>
      </c>
      <c r="F435" s="5" t="s">
        <v>26</v>
      </c>
      <c r="G435" s="5" t="s">
        <v>10</v>
      </c>
      <c r="H435" s="7">
        <v>22395.89</v>
      </c>
      <c r="I435" s="7">
        <v>25148.63</v>
      </c>
      <c r="J435" s="7">
        <v>2752.7400000000016</v>
      </c>
      <c r="K435" s="8">
        <v>0.12291273086267175</v>
      </c>
    </row>
    <row r="436" spans="1:11" x14ac:dyDescent="0.3">
      <c r="A436" s="5" t="s">
        <v>45</v>
      </c>
      <c r="B436" s="6">
        <v>40240</v>
      </c>
      <c r="C436" s="5">
        <v>10</v>
      </c>
      <c r="D436" s="5">
        <v>3</v>
      </c>
      <c r="E436" s="5">
        <v>2010</v>
      </c>
      <c r="F436" s="5" t="s">
        <v>27</v>
      </c>
      <c r="G436" s="5" t="s">
        <v>10</v>
      </c>
      <c r="H436" s="7">
        <v>138346.09</v>
      </c>
      <c r="I436" s="7">
        <v>156610.37</v>
      </c>
      <c r="J436" s="7">
        <v>18264.28</v>
      </c>
      <c r="K436" s="8">
        <v>0.13201876540204352</v>
      </c>
    </row>
    <row r="437" spans="1:11" x14ac:dyDescent="0.3">
      <c r="A437" s="5" t="s">
        <v>45</v>
      </c>
      <c r="B437" s="6">
        <v>40240</v>
      </c>
      <c r="C437" s="5">
        <v>10</v>
      </c>
      <c r="D437" s="5">
        <v>3</v>
      </c>
      <c r="E437" s="5">
        <v>2010</v>
      </c>
      <c r="F437" s="5" t="s">
        <v>28</v>
      </c>
      <c r="G437" s="5" t="s">
        <v>10</v>
      </c>
      <c r="H437" s="7">
        <v>126432.15</v>
      </c>
      <c r="I437" s="7">
        <v>144321.96</v>
      </c>
      <c r="J437" s="7">
        <v>17889.809999999998</v>
      </c>
      <c r="K437" s="8">
        <v>0.141497316940351</v>
      </c>
    </row>
    <row r="438" spans="1:11" x14ac:dyDescent="0.3">
      <c r="A438" s="5" t="s">
        <v>45</v>
      </c>
      <c r="B438" s="6">
        <v>40240</v>
      </c>
      <c r="C438" s="5">
        <v>10</v>
      </c>
      <c r="D438" s="5">
        <v>3</v>
      </c>
      <c r="E438" s="5">
        <v>2010</v>
      </c>
      <c r="F438" s="5" t="s">
        <v>29</v>
      </c>
      <c r="G438" s="5" t="s">
        <v>10</v>
      </c>
      <c r="H438" s="7">
        <v>670182.13</v>
      </c>
      <c r="I438" s="7">
        <v>728417.97</v>
      </c>
      <c r="J438" s="7">
        <v>58235.839999999967</v>
      </c>
      <c r="K438" s="8">
        <v>8.6895542857879496E-2</v>
      </c>
    </row>
    <row r="439" spans="1:11" x14ac:dyDescent="0.3">
      <c r="A439" s="5" t="s">
        <v>45</v>
      </c>
      <c r="B439" s="6">
        <v>40240</v>
      </c>
      <c r="C439" s="5">
        <v>10</v>
      </c>
      <c r="D439" s="5">
        <v>3</v>
      </c>
      <c r="E439" s="5">
        <v>2010</v>
      </c>
      <c r="F439" s="5" t="s">
        <v>30</v>
      </c>
      <c r="G439" s="5" t="s">
        <v>10</v>
      </c>
      <c r="H439" s="7">
        <v>171271.16</v>
      </c>
      <c r="I439" s="7">
        <v>193182.61</v>
      </c>
      <c r="J439" s="7">
        <v>21911.449999999983</v>
      </c>
      <c r="K439" s="8">
        <v>0.12793426517342429</v>
      </c>
    </row>
    <row r="440" spans="1:11" x14ac:dyDescent="0.3">
      <c r="A440" s="5" t="s">
        <v>45</v>
      </c>
      <c r="B440" s="6">
        <v>40240</v>
      </c>
      <c r="C440" s="5">
        <v>10</v>
      </c>
      <c r="D440" s="5">
        <v>3</v>
      </c>
      <c r="E440" s="5">
        <v>2010</v>
      </c>
      <c r="F440" s="5" t="s">
        <v>9</v>
      </c>
      <c r="G440" s="5" t="s">
        <v>9</v>
      </c>
      <c r="H440" s="7">
        <v>200</v>
      </c>
      <c r="I440" s="7">
        <v>254.74</v>
      </c>
      <c r="J440" s="7">
        <v>54.740000000000009</v>
      </c>
      <c r="K440" s="8">
        <v>0.27370000000000005</v>
      </c>
    </row>
    <row r="441" spans="1:11" x14ac:dyDescent="0.3">
      <c r="A441" s="5" t="s">
        <v>45</v>
      </c>
      <c r="B441" s="6">
        <v>40240</v>
      </c>
      <c r="C441" s="5">
        <v>10</v>
      </c>
      <c r="D441" s="5">
        <v>3</v>
      </c>
      <c r="E441" s="5">
        <v>2010</v>
      </c>
      <c r="F441" s="5" t="s">
        <v>31</v>
      </c>
      <c r="G441" s="5" t="s">
        <v>7</v>
      </c>
      <c r="H441" s="7">
        <v>16721.849999999999</v>
      </c>
      <c r="I441" s="7">
        <v>22951.35</v>
      </c>
      <c r="J441" s="7">
        <v>6229.5</v>
      </c>
      <c r="K441" s="8">
        <v>0.37253653154405764</v>
      </c>
    </row>
    <row r="442" spans="1:11" x14ac:dyDescent="0.3">
      <c r="A442" s="5" t="s">
        <v>45</v>
      </c>
      <c r="B442" s="6">
        <v>40240</v>
      </c>
      <c r="C442" s="5">
        <v>10</v>
      </c>
      <c r="D442" s="5">
        <v>3</v>
      </c>
      <c r="E442" s="5">
        <v>2010</v>
      </c>
      <c r="F442" s="5" t="s">
        <v>32</v>
      </c>
      <c r="G442" s="5" t="s">
        <v>7</v>
      </c>
      <c r="H442" s="7">
        <v>29243.88</v>
      </c>
      <c r="I442" s="7">
        <v>33626.69</v>
      </c>
      <c r="J442" s="7">
        <v>4382.8100000000013</v>
      </c>
      <c r="K442" s="8">
        <v>0.14987101574756842</v>
      </c>
    </row>
    <row r="443" spans="1:11" x14ac:dyDescent="0.3">
      <c r="A443" s="5" t="s">
        <v>45</v>
      </c>
      <c r="B443" s="6">
        <v>40240</v>
      </c>
      <c r="C443" s="5">
        <v>10</v>
      </c>
      <c r="D443" s="5">
        <v>3</v>
      </c>
      <c r="E443" s="5">
        <v>2010</v>
      </c>
      <c r="F443" s="5" t="s">
        <v>33</v>
      </c>
      <c r="G443" s="5" t="s">
        <v>7</v>
      </c>
      <c r="H443" s="7">
        <v>244533.34</v>
      </c>
      <c r="I443" s="7">
        <v>336148.36</v>
      </c>
      <c r="J443" s="7">
        <v>91615.01999999999</v>
      </c>
      <c r="K443" s="8">
        <v>0.37465247070195007</v>
      </c>
    </row>
    <row r="444" spans="1:11" x14ac:dyDescent="0.3">
      <c r="A444" s="5" t="s">
        <v>45</v>
      </c>
      <c r="B444" s="6">
        <v>40240</v>
      </c>
      <c r="C444" s="5">
        <v>10</v>
      </c>
      <c r="D444" s="5">
        <v>3</v>
      </c>
      <c r="E444" s="5">
        <v>2010</v>
      </c>
      <c r="F444" s="5" t="s">
        <v>34</v>
      </c>
      <c r="G444" s="5" t="s">
        <v>7</v>
      </c>
      <c r="H444" s="7">
        <v>304</v>
      </c>
      <c r="I444" s="7">
        <v>379.82</v>
      </c>
      <c r="J444" s="7">
        <v>75.819999999999993</v>
      </c>
      <c r="K444" s="8">
        <v>0.24940789473684208</v>
      </c>
    </row>
    <row r="445" spans="1:11" x14ac:dyDescent="0.3">
      <c r="A445" s="5" t="s">
        <v>45</v>
      </c>
      <c r="B445" s="6">
        <v>40240</v>
      </c>
      <c r="C445" s="5">
        <v>10</v>
      </c>
      <c r="D445" s="5">
        <v>3</v>
      </c>
      <c r="E445" s="5">
        <v>2010</v>
      </c>
      <c r="F445" s="5" t="s">
        <v>35</v>
      </c>
      <c r="G445" s="5" t="s">
        <v>11</v>
      </c>
      <c r="H445" s="7">
        <v>1170.32</v>
      </c>
      <c r="I445" s="7">
        <v>1521.16</v>
      </c>
      <c r="J445" s="7">
        <v>350.84000000000015</v>
      </c>
      <c r="K445" s="8">
        <v>0.29978125640850378</v>
      </c>
    </row>
    <row r="446" spans="1:11" x14ac:dyDescent="0.3">
      <c r="A446" s="5" t="s">
        <v>45</v>
      </c>
      <c r="B446" s="6">
        <v>40240</v>
      </c>
      <c r="C446" s="5">
        <v>10</v>
      </c>
      <c r="D446" s="5">
        <v>3</v>
      </c>
      <c r="E446" s="5">
        <v>2010</v>
      </c>
      <c r="F446" s="5" t="s">
        <v>36</v>
      </c>
      <c r="G446" s="5" t="s">
        <v>11</v>
      </c>
      <c r="H446" s="7">
        <v>170407.45</v>
      </c>
      <c r="I446" s="7">
        <v>180499.26</v>
      </c>
      <c r="J446" s="7">
        <v>10091.809999999998</v>
      </c>
      <c r="K446" s="8">
        <v>5.9221647879831529E-2</v>
      </c>
    </row>
    <row r="447" spans="1:11" x14ac:dyDescent="0.3">
      <c r="A447" s="5" t="s">
        <v>45</v>
      </c>
      <c r="B447" s="6">
        <v>40240</v>
      </c>
      <c r="C447" s="5">
        <v>10</v>
      </c>
      <c r="D447" s="5">
        <v>3</v>
      </c>
      <c r="E447" s="5">
        <v>2010</v>
      </c>
      <c r="F447" s="5" t="s">
        <v>37</v>
      </c>
      <c r="G447" s="5" t="s">
        <v>11</v>
      </c>
      <c r="H447" s="7">
        <v>345571.03</v>
      </c>
      <c r="I447" s="7">
        <v>368795.36</v>
      </c>
      <c r="J447" s="7">
        <v>23224.329999999958</v>
      </c>
      <c r="K447" s="8">
        <v>6.7205662465398081E-2</v>
      </c>
    </row>
    <row r="448" spans="1:11" x14ac:dyDescent="0.3">
      <c r="A448" s="5" t="s">
        <v>45</v>
      </c>
      <c r="B448" s="6">
        <v>40240</v>
      </c>
      <c r="C448" s="5">
        <v>10</v>
      </c>
      <c r="D448" s="5">
        <v>3</v>
      </c>
      <c r="E448" s="5">
        <v>2010</v>
      </c>
      <c r="F448" s="5" t="s">
        <v>38</v>
      </c>
      <c r="G448" s="5" t="s">
        <v>11</v>
      </c>
      <c r="H448" s="7">
        <v>276041.37</v>
      </c>
      <c r="I448" s="7">
        <v>284275.58</v>
      </c>
      <c r="J448" s="7">
        <v>8234.210000000021</v>
      </c>
      <c r="K448" s="8">
        <v>2.9829623001798682E-2</v>
      </c>
    </row>
    <row r="449" spans="1:11" x14ac:dyDescent="0.3">
      <c r="A449" s="5" t="s">
        <v>45</v>
      </c>
      <c r="B449" s="6">
        <v>40241</v>
      </c>
      <c r="C449" s="5">
        <v>10</v>
      </c>
      <c r="D449" s="5">
        <v>3</v>
      </c>
      <c r="E449" s="5">
        <v>2010</v>
      </c>
      <c r="F449" s="5" t="s">
        <v>14</v>
      </c>
      <c r="G449" s="5" t="s">
        <v>6</v>
      </c>
      <c r="H449" s="7">
        <v>14948</v>
      </c>
      <c r="I449" s="7">
        <v>18275.37</v>
      </c>
      <c r="J449" s="7">
        <v>3327.369999999999</v>
      </c>
      <c r="K449" s="8">
        <v>0.22259633395772002</v>
      </c>
    </row>
    <row r="450" spans="1:11" x14ac:dyDescent="0.3">
      <c r="A450" s="5" t="s">
        <v>45</v>
      </c>
      <c r="B450" s="6">
        <v>40241</v>
      </c>
      <c r="C450" s="5">
        <v>10</v>
      </c>
      <c r="D450" s="5">
        <v>3</v>
      </c>
      <c r="E450" s="5">
        <v>2010</v>
      </c>
      <c r="F450" s="5" t="s">
        <v>15</v>
      </c>
      <c r="G450" s="5" t="s">
        <v>6</v>
      </c>
      <c r="H450" s="7">
        <v>430786.53</v>
      </c>
      <c r="I450" s="7">
        <v>538271.49</v>
      </c>
      <c r="J450" s="7">
        <v>107484.95999999996</v>
      </c>
      <c r="K450" s="8">
        <v>0.24950863714332006</v>
      </c>
    </row>
    <row r="451" spans="1:11" x14ac:dyDescent="0.3">
      <c r="A451" s="5" t="s">
        <v>45</v>
      </c>
      <c r="B451" s="6">
        <v>40241</v>
      </c>
      <c r="C451" s="5">
        <v>10</v>
      </c>
      <c r="D451" s="5">
        <v>3</v>
      </c>
      <c r="E451" s="5">
        <v>2010</v>
      </c>
      <c r="F451" s="5" t="s">
        <v>16</v>
      </c>
      <c r="G451" s="5" t="s">
        <v>6</v>
      </c>
      <c r="H451" s="7">
        <v>125267.7</v>
      </c>
      <c r="I451" s="7">
        <v>137984.49</v>
      </c>
      <c r="J451" s="7">
        <v>12716.789999999994</v>
      </c>
      <c r="K451" s="8">
        <v>0.10151691138258301</v>
      </c>
    </row>
    <row r="452" spans="1:11" x14ac:dyDescent="0.3">
      <c r="A452" s="5" t="s">
        <v>45</v>
      </c>
      <c r="B452" s="6">
        <v>40241</v>
      </c>
      <c r="C452" s="5">
        <v>10</v>
      </c>
      <c r="D452" s="5">
        <v>3</v>
      </c>
      <c r="E452" s="5">
        <v>2010</v>
      </c>
      <c r="F452" s="5" t="s">
        <v>17</v>
      </c>
      <c r="G452" s="5" t="s">
        <v>6</v>
      </c>
      <c r="H452" s="7">
        <v>1568</v>
      </c>
      <c r="I452" s="7">
        <v>1728.33</v>
      </c>
      <c r="J452" s="7">
        <v>160.32999999999993</v>
      </c>
      <c r="K452" s="8">
        <v>0.10225127551020403</v>
      </c>
    </row>
    <row r="453" spans="1:11" x14ac:dyDescent="0.3">
      <c r="A453" s="5" t="s">
        <v>45</v>
      </c>
      <c r="B453" s="6">
        <v>40241</v>
      </c>
      <c r="C453" s="5">
        <v>10</v>
      </c>
      <c r="D453" s="5">
        <v>3</v>
      </c>
      <c r="E453" s="5">
        <v>2010</v>
      </c>
      <c r="F453" s="5" t="s">
        <v>18</v>
      </c>
      <c r="G453" s="5" t="s">
        <v>6</v>
      </c>
      <c r="H453" s="7">
        <v>4561.74</v>
      </c>
      <c r="I453" s="7">
        <v>5131.3500000000004</v>
      </c>
      <c r="J453" s="7">
        <v>569.61000000000058</v>
      </c>
      <c r="K453" s="8">
        <v>0.1248668271317525</v>
      </c>
    </row>
    <row r="454" spans="1:11" x14ac:dyDescent="0.3">
      <c r="A454" s="5" t="s">
        <v>45</v>
      </c>
      <c r="B454" s="6">
        <v>40241</v>
      </c>
      <c r="C454" s="5">
        <v>10</v>
      </c>
      <c r="D454" s="5">
        <v>3</v>
      </c>
      <c r="E454" s="5">
        <v>2010</v>
      </c>
      <c r="F454" s="5" t="s">
        <v>19</v>
      </c>
      <c r="G454" s="5" t="s">
        <v>5</v>
      </c>
      <c r="H454" s="7">
        <v>203789.1</v>
      </c>
      <c r="I454" s="7">
        <v>226146.17</v>
      </c>
      <c r="J454" s="7">
        <v>22357.070000000007</v>
      </c>
      <c r="K454" s="8">
        <v>0.10970689796461149</v>
      </c>
    </row>
    <row r="455" spans="1:11" x14ac:dyDescent="0.3">
      <c r="A455" s="5" t="s">
        <v>45</v>
      </c>
      <c r="B455" s="6">
        <v>40241</v>
      </c>
      <c r="C455" s="5">
        <v>10</v>
      </c>
      <c r="D455" s="5">
        <v>3</v>
      </c>
      <c r="E455" s="5">
        <v>2010</v>
      </c>
      <c r="F455" s="5" t="s">
        <v>5</v>
      </c>
      <c r="G455" s="5" t="s">
        <v>5</v>
      </c>
      <c r="H455" s="7">
        <v>596552.14</v>
      </c>
      <c r="I455" s="7">
        <v>631996.89</v>
      </c>
      <c r="J455" s="7">
        <v>35444.75</v>
      </c>
      <c r="K455" s="8">
        <v>5.9416013493807936E-2</v>
      </c>
    </row>
    <row r="456" spans="1:11" x14ac:dyDescent="0.3">
      <c r="A456" s="5" t="s">
        <v>45</v>
      </c>
      <c r="B456" s="6">
        <v>40241</v>
      </c>
      <c r="C456" s="5">
        <v>10</v>
      </c>
      <c r="D456" s="5">
        <v>3</v>
      </c>
      <c r="E456" s="5">
        <v>2010</v>
      </c>
      <c r="F456" s="5" t="s">
        <v>20</v>
      </c>
      <c r="G456" s="5" t="s">
        <v>5</v>
      </c>
      <c r="H456" s="7">
        <v>211893.51</v>
      </c>
      <c r="I456" s="7">
        <v>231055.94</v>
      </c>
      <c r="J456" s="7">
        <v>19162.429999999993</v>
      </c>
      <c r="K456" s="8">
        <v>9.0434246900719106E-2</v>
      </c>
    </row>
    <row r="457" spans="1:11" x14ac:dyDescent="0.3">
      <c r="A457" s="5" t="s">
        <v>45</v>
      </c>
      <c r="B457" s="6">
        <v>40241</v>
      </c>
      <c r="C457" s="5">
        <v>10</v>
      </c>
      <c r="D457" s="5">
        <v>3</v>
      </c>
      <c r="E457" s="5">
        <v>2010</v>
      </c>
      <c r="F457" s="5" t="s">
        <v>21</v>
      </c>
      <c r="G457" s="5" t="s">
        <v>5</v>
      </c>
      <c r="H457" s="7">
        <v>211000.8</v>
      </c>
      <c r="I457" s="7">
        <v>227300.6</v>
      </c>
      <c r="J457" s="7">
        <v>16299.800000000017</v>
      </c>
      <c r="K457" s="8">
        <v>7.7249944076041507E-2</v>
      </c>
    </row>
    <row r="458" spans="1:11" x14ac:dyDescent="0.3">
      <c r="A458" s="5" t="s">
        <v>45</v>
      </c>
      <c r="B458" s="6">
        <v>40241</v>
      </c>
      <c r="C458" s="5">
        <v>10</v>
      </c>
      <c r="D458" s="5">
        <v>3</v>
      </c>
      <c r="E458" s="5">
        <v>2010</v>
      </c>
      <c r="F458" s="5" t="s">
        <v>22</v>
      </c>
      <c r="G458" s="5" t="s">
        <v>8</v>
      </c>
      <c r="H458" s="7">
        <v>650929.27</v>
      </c>
      <c r="I458" s="7">
        <v>721193.41</v>
      </c>
      <c r="J458" s="7">
        <v>70264.140000000014</v>
      </c>
      <c r="K458" s="8">
        <v>0.10794435469156274</v>
      </c>
    </row>
    <row r="459" spans="1:11" x14ac:dyDescent="0.3">
      <c r="A459" s="5" t="s">
        <v>45</v>
      </c>
      <c r="B459" s="6">
        <v>40241</v>
      </c>
      <c r="C459" s="5">
        <v>10</v>
      </c>
      <c r="D459" s="5">
        <v>3</v>
      </c>
      <c r="E459" s="5">
        <v>2010</v>
      </c>
      <c r="F459" s="5" t="s">
        <v>23</v>
      </c>
      <c r="G459" s="5" t="s">
        <v>8</v>
      </c>
      <c r="H459" s="7">
        <v>162954.4</v>
      </c>
      <c r="I459" s="7">
        <v>170892.18</v>
      </c>
      <c r="J459" s="7">
        <v>7937.7799999999988</v>
      </c>
      <c r="K459" s="8">
        <v>4.8711664121987498E-2</v>
      </c>
    </row>
    <row r="460" spans="1:11" x14ac:dyDescent="0.3">
      <c r="A460" s="5" t="s">
        <v>45</v>
      </c>
      <c r="B460" s="6">
        <v>40241</v>
      </c>
      <c r="C460" s="5">
        <v>10</v>
      </c>
      <c r="D460" s="5">
        <v>3</v>
      </c>
      <c r="E460" s="5">
        <v>2010</v>
      </c>
      <c r="F460" s="5" t="s">
        <v>24</v>
      </c>
      <c r="G460" s="5" t="s">
        <v>8</v>
      </c>
      <c r="H460" s="7">
        <v>215689.75</v>
      </c>
      <c r="I460" s="7">
        <v>230337.44</v>
      </c>
      <c r="J460" s="7">
        <v>14647.690000000002</v>
      </c>
      <c r="K460" s="8">
        <v>6.7910922980809252E-2</v>
      </c>
    </row>
    <row r="461" spans="1:11" x14ac:dyDescent="0.3">
      <c r="A461" s="5" t="s">
        <v>45</v>
      </c>
      <c r="B461" s="6">
        <v>40241</v>
      </c>
      <c r="C461" s="5">
        <v>10</v>
      </c>
      <c r="D461" s="5">
        <v>3</v>
      </c>
      <c r="E461" s="5">
        <v>2010</v>
      </c>
      <c r="F461" s="5" t="s">
        <v>25</v>
      </c>
      <c r="G461" s="5" t="s">
        <v>8</v>
      </c>
      <c r="H461" s="7">
        <v>24625.1</v>
      </c>
      <c r="I461" s="7">
        <v>27305.59</v>
      </c>
      <c r="J461" s="7">
        <v>2680.4900000000016</v>
      </c>
      <c r="K461" s="8">
        <v>0.10885194374845185</v>
      </c>
    </row>
    <row r="462" spans="1:11" x14ac:dyDescent="0.3">
      <c r="A462" s="5" t="s">
        <v>45</v>
      </c>
      <c r="B462" s="6">
        <v>40241</v>
      </c>
      <c r="C462" s="5">
        <v>10</v>
      </c>
      <c r="D462" s="5">
        <v>3</v>
      </c>
      <c r="E462" s="5">
        <v>2010</v>
      </c>
      <c r="F462" s="5" t="s">
        <v>26</v>
      </c>
      <c r="G462" s="5" t="s">
        <v>10</v>
      </c>
      <c r="H462" s="7">
        <v>28142.84</v>
      </c>
      <c r="I462" s="7">
        <v>31493.41</v>
      </c>
      <c r="J462" s="7">
        <v>3350.5699999999997</v>
      </c>
      <c r="K462" s="8">
        <v>0.11905585932336607</v>
      </c>
    </row>
    <row r="463" spans="1:11" x14ac:dyDescent="0.3">
      <c r="A463" s="5" t="s">
        <v>45</v>
      </c>
      <c r="B463" s="6">
        <v>40241</v>
      </c>
      <c r="C463" s="5">
        <v>10</v>
      </c>
      <c r="D463" s="5">
        <v>3</v>
      </c>
      <c r="E463" s="5">
        <v>2010</v>
      </c>
      <c r="F463" s="5" t="s">
        <v>27</v>
      </c>
      <c r="G463" s="5" t="s">
        <v>10</v>
      </c>
      <c r="H463" s="7">
        <v>253402.53</v>
      </c>
      <c r="I463" s="7">
        <v>287359.74</v>
      </c>
      <c r="J463" s="7">
        <v>33957.209999999992</v>
      </c>
      <c r="K463" s="8">
        <v>0.13400501565631565</v>
      </c>
    </row>
    <row r="464" spans="1:11" x14ac:dyDescent="0.3">
      <c r="A464" s="5" t="s">
        <v>45</v>
      </c>
      <c r="B464" s="6">
        <v>40241</v>
      </c>
      <c r="C464" s="5">
        <v>10</v>
      </c>
      <c r="D464" s="5">
        <v>3</v>
      </c>
      <c r="E464" s="5">
        <v>2010</v>
      </c>
      <c r="F464" s="5" t="s">
        <v>28</v>
      </c>
      <c r="G464" s="5" t="s">
        <v>10</v>
      </c>
      <c r="H464" s="7">
        <v>184067.72</v>
      </c>
      <c r="I464" s="7">
        <v>205958.49</v>
      </c>
      <c r="J464" s="7">
        <v>21890.76999999999</v>
      </c>
      <c r="K464" s="8">
        <v>0.11892780548376429</v>
      </c>
    </row>
    <row r="465" spans="1:11" x14ac:dyDescent="0.3">
      <c r="A465" s="5" t="s">
        <v>45</v>
      </c>
      <c r="B465" s="6">
        <v>40241</v>
      </c>
      <c r="C465" s="5">
        <v>10</v>
      </c>
      <c r="D465" s="5">
        <v>3</v>
      </c>
      <c r="E465" s="5">
        <v>2010</v>
      </c>
      <c r="F465" s="5" t="s">
        <v>29</v>
      </c>
      <c r="G465" s="5" t="s">
        <v>10</v>
      </c>
      <c r="H465" s="7">
        <v>906491.19</v>
      </c>
      <c r="I465" s="7">
        <v>987432.28</v>
      </c>
      <c r="J465" s="7">
        <v>80941.090000000084</v>
      </c>
      <c r="K465" s="8">
        <v>8.9290542360373176E-2</v>
      </c>
    </row>
    <row r="466" spans="1:11" x14ac:dyDescent="0.3">
      <c r="A466" s="5" t="s">
        <v>45</v>
      </c>
      <c r="B466" s="6">
        <v>40241</v>
      </c>
      <c r="C466" s="5">
        <v>10</v>
      </c>
      <c r="D466" s="5">
        <v>3</v>
      </c>
      <c r="E466" s="5">
        <v>2010</v>
      </c>
      <c r="F466" s="5" t="s">
        <v>30</v>
      </c>
      <c r="G466" s="5" t="s">
        <v>10</v>
      </c>
      <c r="H466" s="7">
        <v>226216.44</v>
      </c>
      <c r="I466" s="7">
        <v>254594.39</v>
      </c>
      <c r="J466" s="7">
        <v>28377.950000000012</v>
      </c>
      <c r="K466" s="8">
        <v>0.12544601090884469</v>
      </c>
    </row>
    <row r="467" spans="1:11" x14ac:dyDescent="0.3">
      <c r="A467" s="5" t="s">
        <v>45</v>
      </c>
      <c r="B467" s="6">
        <v>40241</v>
      </c>
      <c r="C467" s="5">
        <v>10</v>
      </c>
      <c r="D467" s="5">
        <v>3</v>
      </c>
      <c r="E467" s="5">
        <v>2010</v>
      </c>
      <c r="F467" s="5" t="s">
        <v>31</v>
      </c>
      <c r="G467" s="5" t="s">
        <v>7</v>
      </c>
      <c r="H467" s="7">
        <v>18883.98</v>
      </c>
      <c r="I467" s="7">
        <v>27728.799999999999</v>
      </c>
      <c r="J467" s="7">
        <v>8844.82</v>
      </c>
      <c r="K467" s="8">
        <v>0.46837689936125754</v>
      </c>
    </row>
    <row r="468" spans="1:11" x14ac:dyDescent="0.3">
      <c r="A468" s="5" t="s">
        <v>45</v>
      </c>
      <c r="B468" s="6">
        <v>40241</v>
      </c>
      <c r="C468" s="5">
        <v>10</v>
      </c>
      <c r="D468" s="5">
        <v>3</v>
      </c>
      <c r="E468" s="5">
        <v>2010</v>
      </c>
      <c r="F468" s="5" t="s">
        <v>32</v>
      </c>
      <c r="G468" s="5" t="s">
        <v>7</v>
      </c>
      <c r="H468" s="7">
        <v>21425.5</v>
      </c>
      <c r="I468" s="7">
        <v>24635.08</v>
      </c>
      <c r="J468" s="7">
        <v>3209.5800000000017</v>
      </c>
      <c r="K468" s="8">
        <v>0.1498018716015963</v>
      </c>
    </row>
    <row r="469" spans="1:11" x14ac:dyDescent="0.3">
      <c r="A469" s="5" t="s">
        <v>45</v>
      </c>
      <c r="B469" s="6">
        <v>40241</v>
      </c>
      <c r="C469" s="5">
        <v>10</v>
      </c>
      <c r="D469" s="5">
        <v>3</v>
      </c>
      <c r="E469" s="5">
        <v>2010</v>
      </c>
      <c r="F469" s="5" t="s">
        <v>33</v>
      </c>
      <c r="G469" s="5" t="s">
        <v>7</v>
      </c>
      <c r="H469" s="7">
        <v>262600.40000000002</v>
      </c>
      <c r="I469" s="7">
        <v>353749.84</v>
      </c>
      <c r="J469" s="7">
        <v>91149.440000000002</v>
      </c>
      <c r="K469" s="8">
        <v>0.3471032031939022</v>
      </c>
    </row>
    <row r="470" spans="1:11" x14ac:dyDescent="0.3">
      <c r="A470" s="5" t="s">
        <v>45</v>
      </c>
      <c r="B470" s="6">
        <v>40241</v>
      </c>
      <c r="C470" s="5">
        <v>10</v>
      </c>
      <c r="D470" s="5">
        <v>3</v>
      </c>
      <c r="E470" s="5">
        <v>2010</v>
      </c>
      <c r="F470" s="5" t="s">
        <v>34</v>
      </c>
      <c r="G470" s="5" t="s">
        <v>7</v>
      </c>
      <c r="H470" s="7">
        <v>1788.31</v>
      </c>
      <c r="I470" s="7">
        <v>2023.47</v>
      </c>
      <c r="J470" s="7">
        <v>235.16000000000008</v>
      </c>
      <c r="K470" s="8">
        <v>0.13149845384748735</v>
      </c>
    </row>
    <row r="471" spans="1:11" x14ac:dyDescent="0.3">
      <c r="A471" s="5" t="s">
        <v>45</v>
      </c>
      <c r="B471" s="6">
        <v>40241</v>
      </c>
      <c r="C471" s="5">
        <v>10</v>
      </c>
      <c r="D471" s="5">
        <v>3</v>
      </c>
      <c r="E471" s="5">
        <v>2010</v>
      </c>
      <c r="F471" s="5" t="s">
        <v>35</v>
      </c>
      <c r="G471" s="5" t="s">
        <v>11</v>
      </c>
      <c r="H471" s="7">
        <v>3600.96</v>
      </c>
      <c r="I471" s="7">
        <v>4680.25</v>
      </c>
      <c r="J471" s="7">
        <v>1079.29</v>
      </c>
      <c r="K471" s="8">
        <v>0.29972285168399537</v>
      </c>
    </row>
    <row r="472" spans="1:11" x14ac:dyDescent="0.3">
      <c r="A472" s="5" t="s">
        <v>45</v>
      </c>
      <c r="B472" s="6">
        <v>40241</v>
      </c>
      <c r="C472" s="5">
        <v>10</v>
      </c>
      <c r="D472" s="5">
        <v>3</v>
      </c>
      <c r="E472" s="5">
        <v>2010</v>
      </c>
      <c r="F472" s="5" t="s">
        <v>36</v>
      </c>
      <c r="G472" s="5" t="s">
        <v>11</v>
      </c>
      <c r="H472" s="7">
        <v>299808.84999999998</v>
      </c>
      <c r="I472" s="7">
        <v>329033.03999999998</v>
      </c>
      <c r="J472" s="7">
        <v>29224.190000000002</v>
      </c>
      <c r="K472" s="8">
        <v>9.7476075172564139E-2</v>
      </c>
    </row>
    <row r="473" spans="1:11" x14ac:dyDescent="0.3">
      <c r="A473" s="5" t="s">
        <v>45</v>
      </c>
      <c r="B473" s="6">
        <v>40241</v>
      </c>
      <c r="C473" s="5">
        <v>10</v>
      </c>
      <c r="D473" s="5">
        <v>3</v>
      </c>
      <c r="E473" s="5">
        <v>2010</v>
      </c>
      <c r="F473" s="5" t="s">
        <v>37</v>
      </c>
      <c r="G473" s="5" t="s">
        <v>11</v>
      </c>
      <c r="H473" s="7">
        <v>454060.23</v>
      </c>
      <c r="I473" s="7">
        <v>482756.08</v>
      </c>
      <c r="J473" s="7">
        <v>28695.850000000035</v>
      </c>
      <c r="K473" s="8">
        <v>6.3198333842186608E-2</v>
      </c>
    </row>
    <row r="474" spans="1:11" x14ac:dyDescent="0.3">
      <c r="A474" s="5" t="s">
        <v>45</v>
      </c>
      <c r="B474" s="6">
        <v>40241</v>
      </c>
      <c r="C474" s="5">
        <v>10</v>
      </c>
      <c r="D474" s="5">
        <v>3</v>
      </c>
      <c r="E474" s="5">
        <v>2010</v>
      </c>
      <c r="F474" s="5" t="s">
        <v>38</v>
      </c>
      <c r="G474" s="5" t="s">
        <v>11</v>
      </c>
      <c r="H474" s="7">
        <v>330676.09000000003</v>
      </c>
      <c r="I474" s="7">
        <v>346369.73</v>
      </c>
      <c r="J474" s="7">
        <v>15693.639999999956</v>
      </c>
      <c r="K474" s="8">
        <v>4.7459252345701662E-2</v>
      </c>
    </row>
    <row r="475" spans="1:11" x14ac:dyDescent="0.3">
      <c r="A475" s="5" t="s">
        <v>45</v>
      </c>
      <c r="B475" s="6">
        <v>40242</v>
      </c>
      <c r="C475" s="5">
        <v>10</v>
      </c>
      <c r="D475" s="5">
        <v>3</v>
      </c>
      <c r="E475" s="5">
        <v>2010</v>
      </c>
      <c r="F475" s="5" t="s">
        <v>14</v>
      </c>
      <c r="G475" s="5" t="s">
        <v>6</v>
      </c>
      <c r="H475" s="7">
        <v>20954</v>
      </c>
      <c r="I475" s="7">
        <v>25446.080000000002</v>
      </c>
      <c r="J475" s="7">
        <v>4492.0800000000017</v>
      </c>
      <c r="K475" s="8">
        <v>0.21437816168750604</v>
      </c>
    </row>
    <row r="476" spans="1:11" x14ac:dyDescent="0.3">
      <c r="A476" s="5" t="s">
        <v>45</v>
      </c>
      <c r="B476" s="6">
        <v>40242</v>
      </c>
      <c r="C476" s="5">
        <v>10</v>
      </c>
      <c r="D476" s="5">
        <v>3</v>
      </c>
      <c r="E476" s="5">
        <v>2010</v>
      </c>
      <c r="F476" s="5" t="s">
        <v>15</v>
      </c>
      <c r="G476" s="5" t="s">
        <v>6</v>
      </c>
      <c r="H476" s="7">
        <v>516130.07</v>
      </c>
      <c r="I476" s="7">
        <v>681468.64</v>
      </c>
      <c r="J476" s="7">
        <v>165338.57</v>
      </c>
      <c r="K476" s="8">
        <v>0.3203428352856868</v>
      </c>
    </row>
    <row r="477" spans="1:11" x14ac:dyDescent="0.3">
      <c r="A477" s="5" t="s">
        <v>45</v>
      </c>
      <c r="B477" s="6">
        <v>40242</v>
      </c>
      <c r="C477" s="5">
        <v>10</v>
      </c>
      <c r="D477" s="5">
        <v>3</v>
      </c>
      <c r="E477" s="5">
        <v>2010</v>
      </c>
      <c r="F477" s="5" t="s">
        <v>16</v>
      </c>
      <c r="G477" s="5" t="s">
        <v>6</v>
      </c>
      <c r="H477" s="7">
        <v>77918.47</v>
      </c>
      <c r="I477" s="7">
        <v>86362.49</v>
      </c>
      <c r="J477" s="7">
        <v>8444.0200000000041</v>
      </c>
      <c r="K477" s="8">
        <v>0.10836994104222021</v>
      </c>
    </row>
    <row r="478" spans="1:11" x14ac:dyDescent="0.3">
      <c r="A478" s="5" t="s">
        <v>45</v>
      </c>
      <c r="B478" s="6">
        <v>40242</v>
      </c>
      <c r="C478" s="5">
        <v>10</v>
      </c>
      <c r="D478" s="5">
        <v>3</v>
      </c>
      <c r="E478" s="5">
        <v>2010</v>
      </c>
      <c r="F478" s="5" t="s">
        <v>17</v>
      </c>
      <c r="G478" s="5" t="s">
        <v>6</v>
      </c>
      <c r="H478" s="7">
        <v>1722</v>
      </c>
      <c r="I478" s="7">
        <v>1905.34</v>
      </c>
      <c r="J478" s="7">
        <v>183.33999999999992</v>
      </c>
      <c r="K478" s="8">
        <v>0.10646922183507544</v>
      </c>
    </row>
    <row r="479" spans="1:11" x14ac:dyDescent="0.3">
      <c r="A479" s="5" t="s">
        <v>45</v>
      </c>
      <c r="B479" s="6">
        <v>40242</v>
      </c>
      <c r="C479" s="5">
        <v>10</v>
      </c>
      <c r="D479" s="5">
        <v>3</v>
      </c>
      <c r="E479" s="5">
        <v>2010</v>
      </c>
      <c r="F479" s="5" t="s">
        <v>18</v>
      </c>
      <c r="G479" s="5" t="s">
        <v>6</v>
      </c>
      <c r="H479" s="7">
        <v>1176</v>
      </c>
      <c r="I479" s="7">
        <v>1313.77</v>
      </c>
      <c r="J479" s="7">
        <v>137.76999999999998</v>
      </c>
      <c r="K479" s="8">
        <v>0.11715136054421767</v>
      </c>
    </row>
    <row r="480" spans="1:11" x14ac:dyDescent="0.3">
      <c r="A480" s="5" t="s">
        <v>45</v>
      </c>
      <c r="B480" s="6">
        <v>40242</v>
      </c>
      <c r="C480" s="5">
        <v>10</v>
      </c>
      <c r="D480" s="5">
        <v>3</v>
      </c>
      <c r="E480" s="5">
        <v>2010</v>
      </c>
      <c r="F480" s="5" t="s">
        <v>19</v>
      </c>
      <c r="G480" s="5" t="s">
        <v>5</v>
      </c>
      <c r="H480" s="7">
        <v>168564.48000000001</v>
      </c>
      <c r="I480" s="7">
        <v>189751.24</v>
      </c>
      <c r="J480" s="7">
        <v>21186.75999999998</v>
      </c>
      <c r="K480" s="8">
        <v>0.12568935044915738</v>
      </c>
    </row>
    <row r="481" spans="1:11" x14ac:dyDescent="0.3">
      <c r="A481" s="5" t="s">
        <v>45</v>
      </c>
      <c r="B481" s="6">
        <v>40242</v>
      </c>
      <c r="C481" s="5">
        <v>10</v>
      </c>
      <c r="D481" s="5">
        <v>3</v>
      </c>
      <c r="E481" s="5">
        <v>2010</v>
      </c>
      <c r="F481" s="5" t="s">
        <v>5</v>
      </c>
      <c r="G481" s="5" t="s">
        <v>5</v>
      </c>
      <c r="H481" s="7">
        <v>671439.43</v>
      </c>
      <c r="I481" s="7">
        <v>707145.69</v>
      </c>
      <c r="J481" s="7">
        <v>35706.259999999893</v>
      </c>
      <c r="K481" s="8">
        <v>5.3178676146558579E-2</v>
      </c>
    </row>
    <row r="482" spans="1:11" x14ac:dyDescent="0.3">
      <c r="A482" s="5" t="s">
        <v>45</v>
      </c>
      <c r="B482" s="6">
        <v>40242</v>
      </c>
      <c r="C482" s="5">
        <v>10</v>
      </c>
      <c r="D482" s="5">
        <v>3</v>
      </c>
      <c r="E482" s="5">
        <v>2010</v>
      </c>
      <c r="F482" s="5" t="s">
        <v>20</v>
      </c>
      <c r="G482" s="5" t="s">
        <v>5</v>
      </c>
      <c r="H482" s="7">
        <v>206049.35</v>
      </c>
      <c r="I482" s="7">
        <v>224889.03</v>
      </c>
      <c r="J482" s="7">
        <v>18839.679999999993</v>
      </c>
      <c r="K482" s="8">
        <v>9.1432853343143244E-2</v>
      </c>
    </row>
    <row r="483" spans="1:11" x14ac:dyDescent="0.3">
      <c r="A483" s="5" t="s">
        <v>45</v>
      </c>
      <c r="B483" s="6">
        <v>40242</v>
      </c>
      <c r="C483" s="5">
        <v>10</v>
      </c>
      <c r="D483" s="5">
        <v>3</v>
      </c>
      <c r="E483" s="5">
        <v>2010</v>
      </c>
      <c r="F483" s="5" t="s">
        <v>21</v>
      </c>
      <c r="G483" s="5" t="s">
        <v>5</v>
      </c>
      <c r="H483" s="7">
        <v>173538.6</v>
      </c>
      <c r="I483" s="7">
        <v>187387.21</v>
      </c>
      <c r="J483" s="7">
        <v>13848.609999999986</v>
      </c>
      <c r="K483" s="8">
        <v>7.9801323740078492E-2</v>
      </c>
    </row>
    <row r="484" spans="1:11" x14ac:dyDescent="0.3">
      <c r="A484" s="5" t="s">
        <v>45</v>
      </c>
      <c r="B484" s="6">
        <v>40242</v>
      </c>
      <c r="C484" s="5">
        <v>10</v>
      </c>
      <c r="D484" s="5">
        <v>3</v>
      </c>
      <c r="E484" s="5">
        <v>2010</v>
      </c>
      <c r="F484" s="5" t="s">
        <v>22</v>
      </c>
      <c r="G484" s="5" t="s">
        <v>8</v>
      </c>
      <c r="H484" s="7">
        <v>815363.41</v>
      </c>
      <c r="I484" s="7">
        <v>903229.93</v>
      </c>
      <c r="J484" s="7">
        <v>87866.520000000019</v>
      </c>
      <c r="K484" s="8">
        <v>0.10776362898109447</v>
      </c>
    </row>
    <row r="485" spans="1:11" x14ac:dyDescent="0.3">
      <c r="A485" s="5" t="s">
        <v>45</v>
      </c>
      <c r="B485" s="6">
        <v>40242</v>
      </c>
      <c r="C485" s="5">
        <v>10</v>
      </c>
      <c r="D485" s="5">
        <v>3</v>
      </c>
      <c r="E485" s="5">
        <v>2010</v>
      </c>
      <c r="F485" s="5" t="s">
        <v>23</v>
      </c>
      <c r="G485" s="5" t="s">
        <v>8</v>
      </c>
      <c r="H485" s="7">
        <v>232320</v>
      </c>
      <c r="I485" s="7">
        <v>243190.37</v>
      </c>
      <c r="J485" s="7">
        <v>10870.369999999995</v>
      </c>
      <c r="K485" s="8">
        <v>4.6790504476584005E-2</v>
      </c>
    </row>
    <row r="486" spans="1:11" x14ac:dyDescent="0.3">
      <c r="A486" s="5" t="s">
        <v>45</v>
      </c>
      <c r="B486" s="6">
        <v>40242</v>
      </c>
      <c r="C486" s="5">
        <v>10</v>
      </c>
      <c r="D486" s="5">
        <v>3</v>
      </c>
      <c r="E486" s="5">
        <v>2010</v>
      </c>
      <c r="F486" s="5" t="s">
        <v>24</v>
      </c>
      <c r="G486" s="5" t="s">
        <v>8</v>
      </c>
      <c r="H486" s="7">
        <v>229029</v>
      </c>
      <c r="I486" s="7">
        <v>244463.22</v>
      </c>
      <c r="J486" s="7">
        <v>15434.220000000001</v>
      </c>
      <c r="K486" s="8">
        <v>6.7389806531050658E-2</v>
      </c>
    </row>
    <row r="487" spans="1:11" x14ac:dyDescent="0.3">
      <c r="A487" s="5" t="s">
        <v>45</v>
      </c>
      <c r="B487" s="6">
        <v>40242</v>
      </c>
      <c r="C487" s="5">
        <v>10</v>
      </c>
      <c r="D487" s="5">
        <v>3</v>
      </c>
      <c r="E487" s="5">
        <v>2010</v>
      </c>
      <c r="F487" s="5" t="s">
        <v>25</v>
      </c>
      <c r="G487" s="5" t="s">
        <v>8</v>
      </c>
      <c r="H487" s="7">
        <v>21364.35</v>
      </c>
      <c r="I487" s="7">
        <v>24363.74</v>
      </c>
      <c r="J487" s="7">
        <v>2999.3900000000031</v>
      </c>
      <c r="K487" s="8">
        <v>0.14039228902353704</v>
      </c>
    </row>
    <row r="488" spans="1:11" x14ac:dyDescent="0.3">
      <c r="A488" s="5" t="s">
        <v>45</v>
      </c>
      <c r="B488" s="6">
        <v>40242</v>
      </c>
      <c r="C488" s="5">
        <v>10</v>
      </c>
      <c r="D488" s="5">
        <v>3</v>
      </c>
      <c r="E488" s="5">
        <v>2010</v>
      </c>
      <c r="F488" s="5" t="s">
        <v>26</v>
      </c>
      <c r="G488" s="5" t="s">
        <v>10</v>
      </c>
      <c r="H488" s="7">
        <v>29297.83</v>
      </c>
      <c r="I488" s="7">
        <v>32392.29</v>
      </c>
      <c r="J488" s="7">
        <v>3094.4599999999991</v>
      </c>
      <c r="K488" s="8">
        <v>0.10562079171051231</v>
      </c>
    </row>
    <row r="489" spans="1:11" x14ac:dyDescent="0.3">
      <c r="A489" s="5" t="s">
        <v>45</v>
      </c>
      <c r="B489" s="6">
        <v>40242</v>
      </c>
      <c r="C489" s="5">
        <v>10</v>
      </c>
      <c r="D489" s="5">
        <v>3</v>
      </c>
      <c r="E489" s="5">
        <v>2010</v>
      </c>
      <c r="F489" s="5" t="s">
        <v>27</v>
      </c>
      <c r="G489" s="5" t="s">
        <v>10</v>
      </c>
      <c r="H489" s="7">
        <v>242205.54</v>
      </c>
      <c r="I489" s="7">
        <v>275132.48</v>
      </c>
      <c r="J489" s="7">
        <v>32926.939999999973</v>
      </c>
      <c r="K489" s="8">
        <v>0.13594627108859678</v>
      </c>
    </row>
    <row r="490" spans="1:11" x14ac:dyDescent="0.3">
      <c r="A490" s="5" t="s">
        <v>45</v>
      </c>
      <c r="B490" s="6">
        <v>40242</v>
      </c>
      <c r="C490" s="5">
        <v>10</v>
      </c>
      <c r="D490" s="5">
        <v>3</v>
      </c>
      <c r="E490" s="5">
        <v>2010</v>
      </c>
      <c r="F490" s="5" t="s">
        <v>28</v>
      </c>
      <c r="G490" s="5" t="s">
        <v>10</v>
      </c>
      <c r="H490" s="7">
        <v>155546.94</v>
      </c>
      <c r="I490" s="7">
        <v>173213.48</v>
      </c>
      <c r="J490" s="7">
        <v>17666.540000000008</v>
      </c>
      <c r="K490" s="8">
        <v>0.11357690482371435</v>
      </c>
    </row>
    <row r="491" spans="1:11" x14ac:dyDescent="0.3">
      <c r="A491" s="5" t="s">
        <v>45</v>
      </c>
      <c r="B491" s="6">
        <v>40242</v>
      </c>
      <c r="C491" s="5">
        <v>10</v>
      </c>
      <c r="D491" s="5">
        <v>3</v>
      </c>
      <c r="E491" s="5">
        <v>2010</v>
      </c>
      <c r="F491" s="5" t="s">
        <v>29</v>
      </c>
      <c r="G491" s="5" t="s">
        <v>10</v>
      </c>
      <c r="H491" s="7">
        <v>933333.3</v>
      </c>
      <c r="I491" s="7">
        <v>1017903.93</v>
      </c>
      <c r="J491" s="7">
        <v>84570.63</v>
      </c>
      <c r="K491" s="8">
        <v>9.0611392521835449E-2</v>
      </c>
    </row>
    <row r="492" spans="1:11" x14ac:dyDescent="0.3">
      <c r="A492" s="5" t="s">
        <v>45</v>
      </c>
      <c r="B492" s="6">
        <v>40242</v>
      </c>
      <c r="C492" s="5">
        <v>10</v>
      </c>
      <c r="D492" s="5">
        <v>3</v>
      </c>
      <c r="E492" s="5">
        <v>2010</v>
      </c>
      <c r="F492" s="5" t="s">
        <v>30</v>
      </c>
      <c r="G492" s="5" t="s">
        <v>10</v>
      </c>
      <c r="H492" s="7">
        <v>220346</v>
      </c>
      <c r="I492" s="7">
        <v>247302.84</v>
      </c>
      <c r="J492" s="7">
        <v>26956.839999999997</v>
      </c>
      <c r="K492" s="8">
        <v>0.12233868552186106</v>
      </c>
    </row>
    <row r="493" spans="1:11" x14ac:dyDescent="0.3">
      <c r="A493" s="5" t="s">
        <v>45</v>
      </c>
      <c r="B493" s="6">
        <v>40242</v>
      </c>
      <c r="C493" s="5">
        <v>10</v>
      </c>
      <c r="D493" s="5">
        <v>3</v>
      </c>
      <c r="E493" s="5">
        <v>2010</v>
      </c>
      <c r="F493" s="5" t="s">
        <v>31</v>
      </c>
      <c r="G493" s="5" t="s">
        <v>7</v>
      </c>
      <c r="H493" s="7">
        <v>50268.74</v>
      </c>
      <c r="I493" s="7">
        <v>61392.480000000003</v>
      </c>
      <c r="J493" s="7">
        <v>11123.740000000005</v>
      </c>
      <c r="K493" s="8">
        <v>0.22128543504372708</v>
      </c>
    </row>
    <row r="494" spans="1:11" x14ac:dyDescent="0.3">
      <c r="A494" s="5" t="s">
        <v>45</v>
      </c>
      <c r="B494" s="6">
        <v>40242</v>
      </c>
      <c r="C494" s="5">
        <v>10</v>
      </c>
      <c r="D494" s="5">
        <v>3</v>
      </c>
      <c r="E494" s="5">
        <v>2010</v>
      </c>
      <c r="F494" s="5" t="s">
        <v>32</v>
      </c>
      <c r="G494" s="5" t="s">
        <v>7</v>
      </c>
      <c r="H494" s="7">
        <v>29626.93</v>
      </c>
      <c r="I494" s="7">
        <v>34066.239999999998</v>
      </c>
      <c r="J494" s="7">
        <v>4439.3099999999977</v>
      </c>
      <c r="K494" s="8">
        <v>0.14984036483024052</v>
      </c>
    </row>
    <row r="495" spans="1:11" x14ac:dyDescent="0.3">
      <c r="A495" s="5" t="s">
        <v>45</v>
      </c>
      <c r="B495" s="6">
        <v>40242</v>
      </c>
      <c r="C495" s="5">
        <v>10</v>
      </c>
      <c r="D495" s="5">
        <v>3</v>
      </c>
      <c r="E495" s="5">
        <v>2010</v>
      </c>
      <c r="F495" s="5" t="s">
        <v>33</v>
      </c>
      <c r="G495" s="5" t="s">
        <v>7</v>
      </c>
      <c r="H495" s="7">
        <v>414614.97</v>
      </c>
      <c r="I495" s="7">
        <v>519221.23</v>
      </c>
      <c r="J495" s="7">
        <v>104606.26000000001</v>
      </c>
      <c r="K495" s="8">
        <v>0.25229735433817069</v>
      </c>
    </row>
    <row r="496" spans="1:11" x14ac:dyDescent="0.3">
      <c r="A496" s="5" t="s">
        <v>45</v>
      </c>
      <c r="B496" s="6">
        <v>40242</v>
      </c>
      <c r="C496" s="5">
        <v>10</v>
      </c>
      <c r="D496" s="5">
        <v>3</v>
      </c>
      <c r="E496" s="5">
        <v>2010</v>
      </c>
      <c r="F496" s="5" t="s">
        <v>34</v>
      </c>
      <c r="G496" s="5" t="s">
        <v>7</v>
      </c>
      <c r="H496" s="7">
        <v>2463.58</v>
      </c>
      <c r="I496" s="7">
        <v>2846.5</v>
      </c>
      <c r="J496" s="7">
        <v>382.92000000000007</v>
      </c>
      <c r="K496" s="8">
        <v>0.1554323383044188</v>
      </c>
    </row>
    <row r="497" spans="1:11" x14ac:dyDescent="0.3">
      <c r="A497" s="5" t="s">
        <v>45</v>
      </c>
      <c r="B497" s="6">
        <v>40242</v>
      </c>
      <c r="C497" s="5">
        <v>10</v>
      </c>
      <c r="D497" s="5">
        <v>3</v>
      </c>
      <c r="E497" s="5">
        <v>2010</v>
      </c>
      <c r="F497" s="5" t="s">
        <v>35</v>
      </c>
      <c r="G497" s="5" t="s">
        <v>11</v>
      </c>
      <c r="H497" s="7">
        <v>3148.84</v>
      </c>
      <c r="I497" s="7">
        <v>4090.85</v>
      </c>
      <c r="J497" s="7">
        <v>942.00999999999976</v>
      </c>
      <c r="K497" s="8">
        <v>0.29916096086177757</v>
      </c>
    </row>
    <row r="498" spans="1:11" x14ac:dyDescent="0.3">
      <c r="A498" s="5" t="s">
        <v>45</v>
      </c>
      <c r="B498" s="6">
        <v>40242</v>
      </c>
      <c r="C498" s="5">
        <v>10</v>
      </c>
      <c r="D498" s="5">
        <v>3</v>
      </c>
      <c r="E498" s="5">
        <v>2010</v>
      </c>
      <c r="F498" s="5" t="s">
        <v>36</v>
      </c>
      <c r="G498" s="5" t="s">
        <v>11</v>
      </c>
      <c r="H498" s="7">
        <v>346356.68</v>
      </c>
      <c r="I498" s="7">
        <v>380218.51</v>
      </c>
      <c r="J498" s="7">
        <v>33861.830000000016</v>
      </c>
      <c r="K498" s="8">
        <v>9.776577717513639E-2</v>
      </c>
    </row>
    <row r="499" spans="1:11" x14ac:dyDescent="0.3">
      <c r="A499" s="5" t="s">
        <v>45</v>
      </c>
      <c r="B499" s="6">
        <v>40242</v>
      </c>
      <c r="C499" s="5">
        <v>10</v>
      </c>
      <c r="D499" s="5">
        <v>3</v>
      </c>
      <c r="E499" s="5">
        <v>2010</v>
      </c>
      <c r="F499" s="5" t="s">
        <v>37</v>
      </c>
      <c r="G499" s="5" t="s">
        <v>11</v>
      </c>
      <c r="H499" s="7">
        <v>352201.46</v>
      </c>
      <c r="I499" s="7">
        <v>378734.01</v>
      </c>
      <c r="J499" s="7">
        <v>26532.549999999988</v>
      </c>
      <c r="K499" s="8">
        <v>7.5333446942553811E-2</v>
      </c>
    </row>
    <row r="500" spans="1:11" x14ac:dyDescent="0.3">
      <c r="A500" s="5" t="s">
        <v>45</v>
      </c>
      <c r="B500" s="6">
        <v>40242</v>
      </c>
      <c r="C500" s="5">
        <v>10</v>
      </c>
      <c r="D500" s="5">
        <v>3</v>
      </c>
      <c r="E500" s="5">
        <v>2010</v>
      </c>
      <c r="F500" s="5" t="s">
        <v>38</v>
      </c>
      <c r="G500" s="5" t="s">
        <v>11</v>
      </c>
      <c r="H500" s="7">
        <v>303832.87</v>
      </c>
      <c r="I500" s="7">
        <v>314650.13</v>
      </c>
      <c r="J500" s="7">
        <v>10817.260000000009</v>
      </c>
      <c r="K500" s="8">
        <v>3.5602665373236309E-2</v>
      </c>
    </row>
    <row r="501" spans="1:11" x14ac:dyDescent="0.3">
      <c r="A501" s="5" t="s">
        <v>45</v>
      </c>
      <c r="B501" s="6">
        <v>40243</v>
      </c>
      <c r="C501" s="5">
        <v>10</v>
      </c>
      <c r="D501" s="5">
        <v>3</v>
      </c>
      <c r="E501" s="5">
        <v>2010</v>
      </c>
      <c r="F501" s="5" t="s">
        <v>14</v>
      </c>
      <c r="G501" s="5" t="s">
        <v>6</v>
      </c>
      <c r="H501" s="7">
        <v>23704</v>
      </c>
      <c r="I501" s="7">
        <v>27720.04</v>
      </c>
      <c r="J501" s="7">
        <v>4016.0400000000009</v>
      </c>
      <c r="K501" s="8">
        <v>0.16942456969287886</v>
      </c>
    </row>
    <row r="502" spans="1:11" x14ac:dyDescent="0.3">
      <c r="A502" s="5" t="s">
        <v>45</v>
      </c>
      <c r="B502" s="6">
        <v>40243</v>
      </c>
      <c r="C502" s="5">
        <v>10</v>
      </c>
      <c r="D502" s="5">
        <v>3</v>
      </c>
      <c r="E502" s="5">
        <v>2010</v>
      </c>
      <c r="F502" s="5" t="s">
        <v>15</v>
      </c>
      <c r="G502" s="5" t="s">
        <v>6</v>
      </c>
      <c r="H502" s="7">
        <v>514918.28</v>
      </c>
      <c r="I502" s="7">
        <v>678121.54</v>
      </c>
      <c r="J502" s="7">
        <v>163203.26</v>
      </c>
      <c r="K502" s="8">
        <v>0.31694982745611594</v>
      </c>
    </row>
    <row r="503" spans="1:11" x14ac:dyDescent="0.3">
      <c r="A503" s="5" t="s">
        <v>45</v>
      </c>
      <c r="B503" s="6">
        <v>40243</v>
      </c>
      <c r="C503" s="5">
        <v>10</v>
      </c>
      <c r="D503" s="5">
        <v>3</v>
      </c>
      <c r="E503" s="5">
        <v>2010</v>
      </c>
      <c r="F503" s="5" t="s">
        <v>16</v>
      </c>
      <c r="G503" s="5" t="s">
        <v>6</v>
      </c>
      <c r="H503" s="7">
        <v>105082.9</v>
      </c>
      <c r="I503" s="7">
        <v>115512.17</v>
      </c>
      <c r="J503" s="7">
        <v>10429.270000000004</v>
      </c>
      <c r="K503" s="8">
        <v>9.9248022275746139E-2</v>
      </c>
    </row>
    <row r="504" spans="1:11" x14ac:dyDescent="0.3">
      <c r="A504" s="5" t="s">
        <v>45</v>
      </c>
      <c r="B504" s="6">
        <v>40243</v>
      </c>
      <c r="C504" s="5">
        <v>10</v>
      </c>
      <c r="D504" s="5">
        <v>3</v>
      </c>
      <c r="E504" s="5">
        <v>2010</v>
      </c>
      <c r="F504" s="5" t="s">
        <v>17</v>
      </c>
      <c r="G504" s="5" t="s">
        <v>6</v>
      </c>
      <c r="H504" s="7">
        <v>3290</v>
      </c>
      <c r="I504" s="7">
        <v>3632.77</v>
      </c>
      <c r="J504" s="7">
        <v>342.77</v>
      </c>
      <c r="K504" s="8">
        <v>0.1041854103343465</v>
      </c>
    </row>
    <row r="505" spans="1:11" x14ac:dyDescent="0.3">
      <c r="A505" s="5" t="s">
        <v>45</v>
      </c>
      <c r="B505" s="6">
        <v>40243</v>
      </c>
      <c r="C505" s="5">
        <v>10</v>
      </c>
      <c r="D505" s="5">
        <v>3</v>
      </c>
      <c r="E505" s="5">
        <v>2010</v>
      </c>
      <c r="F505" s="5" t="s">
        <v>18</v>
      </c>
      <c r="G505" s="5" t="s">
        <v>6</v>
      </c>
      <c r="H505" s="7">
        <v>3191</v>
      </c>
      <c r="I505" s="7">
        <v>3592.17</v>
      </c>
      <c r="J505" s="7">
        <v>401.17000000000007</v>
      </c>
      <c r="K505" s="8">
        <v>0.12571921027890945</v>
      </c>
    </row>
    <row r="506" spans="1:11" x14ac:dyDescent="0.3">
      <c r="A506" s="5" t="s">
        <v>45</v>
      </c>
      <c r="B506" s="6">
        <v>40243</v>
      </c>
      <c r="C506" s="5">
        <v>10</v>
      </c>
      <c r="D506" s="5">
        <v>3</v>
      </c>
      <c r="E506" s="5">
        <v>2010</v>
      </c>
      <c r="F506" s="5" t="s">
        <v>19</v>
      </c>
      <c r="G506" s="5" t="s">
        <v>5</v>
      </c>
      <c r="H506" s="7">
        <v>223453.61</v>
      </c>
      <c r="I506" s="7">
        <v>248688.78</v>
      </c>
      <c r="J506" s="7">
        <v>25235.170000000013</v>
      </c>
      <c r="K506" s="8">
        <v>0.11293247846834971</v>
      </c>
    </row>
    <row r="507" spans="1:11" x14ac:dyDescent="0.3">
      <c r="A507" s="5" t="s">
        <v>45</v>
      </c>
      <c r="B507" s="6">
        <v>40243</v>
      </c>
      <c r="C507" s="5">
        <v>10</v>
      </c>
      <c r="D507" s="5">
        <v>3</v>
      </c>
      <c r="E507" s="5">
        <v>2010</v>
      </c>
      <c r="F507" s="5" t="s">
        <v>5</v>
      </c>
      <c r="G507" s="5" t="s">
        <v>5</v>
      </c>
      <c r="H507" s="7">
        <v>1032917.36</v>
      </c>
      <c r="I507" s="7">
        <v>1092343.44</v>
      </c>
      <c r="J507" s="7">
        <v>59426.079999999958</v>
      </c>
      <c r="K507" s="8">
        <v>5.753226957091704E-2</v>
      </c>
    </row>
    <row r="508" spans="1:11" x14ac:dyDescent="0.3">
      <c r="A508" s="5" t="s">
        <v>45</v>
      </c>
      <c r="B508" s="6">
        <v>40243</v>
      </c>
      <c r="C508" s="5">
        <v>10</v>
      </c>
      <c r="D508" s="5">
        <v>3</v>
      </c>
      <c r="E508" s="5">
        <v>2010</v>
      </c>
      <c r="F508" s="5" t="s">
        <v>20</v>
      </c>
      <c r="G508" s="5" t="s">
        <v>5</v>
      </c>
      <c r="H508" s="7">
        <v>298364.07</v>
      </c>
      <c r="I508" s="7">
        <v>326788.39</v>
      </c>
      <c r="J508" s="7">
        <v>28424.320000000007</v>
      </c>
      <c r="K508" s="8">
        <v>9.5267235093019098E-2</v>
      </c>
    </row>
    <row r="509" spans="1:11" x14ac:dyDescent="0.3">
      <c r="A509" s="5" t="s">
        <v>45</v>
      </c>
      <c r="B509" s="6">
        <v>40243</v>
      </c>
      <c r="C509" s="5">
        <v>10</v>
      </c>
      <c r="D509" s="5">
        <v>3</v>
      </c>
      <c r="E509" s="5">
        <v>2010</v>
      </c>
      <c r="F509" s="5" t="s">
        <v>21</v>
      </c>
      <c r="G509" s="5" t="s">
        <v>5</v>
      </c>
      <c r="H509" s="7">
        <v>293917.2</v>
      </c>
      <c r="I509" s="7">
        <v>318915.03999999998</v>
      </c>
      <c r="J509" s="7">
        <v>24997.839999999967</v>
      </c>
      <c r="K509" s="8">
        <v>8.5050619698336702E-2</v>
      </c>
    </row>
    <row r="510" spans="1:11" x14ac:dyDescent="0.3">
      <c r="A510" s="5" t="s">
        <v>45</v>
      </c>
      <c r="B510" s="6">
        <v>40243</v>
      </c>
      <c r="C510" s="5">
        <v>10</v>
      </c>
      <c r="D510" s="5">
        <v>3</v>
      </c>
      <c r="E510" s="5">
        <v>2010</v>
      </c>
      <c r="F510" s="5" t="s">
        <v>22</v>
      </c>
      <c r="G510" s="5" t="s">
        <v>8</v>
      </c>
      <c r="H510" s="7">
        <v>887091.47</v>
      </c>
      <c r="I510" s="7">
        <v>976683.92</v>
      </c>
      <c r="J510" s="7">
        <v>89592.45000000007</v>
      </c>
      <c r="K510" s="8">
        <v>0.10099572933555552</v>
      </c>
    </row>
    <row r="511" spans="1:11" x14ac:dyDescent="0.3">
      <c r="A511" s="5" t="s">
        <v>45</v>
      </c>
      <c r="B511" s="6">
        <v>40243</v>
      </c>
      <c r="C511" s="5">
        <v>10</v>
      </c>
      <c r="D511" s="5">
        <v>3</v>
      </c>
      <c r="E511" s="5">
        <v>2010</v>
      </c>
      <c r="F511" s="5" t="s">
        <v>23</v>
      </c>
      <c r="G511" s="5" t="s">
        <v>8</v>
      </c>
      <c r="H511" s="7">
        <v>361490.4</v>
      </c>
      <c r="I511" s="7">
        <v>378452.79</v>
      </c>
      <c r="J511" s="7">
        <v>16962.389999999956</v>
      </c>
      <c r="K511" s="8">
        <v>4.6923486764793632E-2</v>
      </c>
    </row>
    <row r="512" spans="1:11" x14ac:dyDescent="0.3">
      <c r="A512" s="5" t="s">
        <v>45</v>
      </c>
      <c r="B512" s="6">
        <v>40243</v>
      </c>
      <c r="C512" s="5">
        <v>10</v>
      </c>
      <c r="D512" s="5">
        <v>3</v>
      </c>
      <c r="E512" s="5">
        <v>2010</v>
      </c>
      <c r="F512" s="5" t="s">
        <v>24</v>
      </c>
      <c r="G512" s="5" t="s">
        <v>8</v>
      </c>
      <c r="H512" s="7">
        <v>350848</v>
      </c>
      <c r="I512" s="7">
        <v>368382.52</v>
      </c>
      <c r="J512" s="7">
        <v>17534.520000000019</v>
      </c>
      <c r="K512" s="8">
        <v>4.9977540131338982E-2</v>
      </c>
    </row>
    <row r="513" spans="1:11" x14ac:dyDescent="0.3">
      <c r="A513" s="5" t="s">
        <v>45</v>
      </c>
      <c r="B513" s="6">
        <v>40243</v>
      </c>
      <c r="C513" s="5">
        <v>10</v>
      </c>
      <c r="D513" s="5">
        <v>3</v>
      </c>
      <c r="E513" s="5">
        <v>2010</v>
      </c>
      <c r="F513" s="5" t="s">
        <v>25</v>
      </c>
      <c r="G513" s="5" t="s">
        <v>8</v>
      </c>
      <c r="H513" s="7">
        <v>67140.149999999994</v>
      </c>
      <c r="I513" s="7">
        <v>71481.25</v>
      </c>
      <c r="J513" s="7">
        <v>4341.1000000000058</v>
      </c>
      <c r="K513" s="8">
        <v>6.4657287777879643E-2</v>
      </c>
    </row>
    <row r="514" spans="1:11" x14ac:dyDescent="0.3">
      <c r="A514" s="5" t="s">
        <v>45</v>
      </c>
      <c r="B514" s="6">
        <v>40243</v>
      </c>
      <c r="C514" s="5">
        <v>10</v>
      </c>
      <c r="D514" s="5">
        <v>3</v>
      </c>
      <c r="E514" s="5">
        <v>2010</v>
      </c>
      <c r="F514" s="5" t="s">
        <v>26</v>
      </c>
      <c r="G514" s="5" t="s">
        <v>10</v>
      </c>
      <c r="H514" s="7">
        <v>38009.74</v>
      </c>
      <c r="I514" s="7">
        <v>42631.27</v>
      </c>
      <c r="J514" s="7">
        <v>4621.5299999999988</v>
      </c>
      <c r="K514" s="8">
        <v>0.12158804559041969</v>
      </c>
    </row>
    <row r="515" spans="1:11" x14ac:dyDescent="0.3">
      <c r="A515" s="5" t="s">
        <v>45</v>
      </c>
      <c r="B515" s="6">
        <v>40243</v>
      </c>
      <c r="C515" s="5">
        <v>10</v>
      </c>
      <c r="D515" s="5">
        <v>3</v>
      </c>
      <c r="E515" s="5">
        <v>2010</v>
      </c>
      <c r="F515" s="5" t="s">
        <v>27</v>
      </c>
      <c r="G515" s="5" t="s">
        <v>10</v>
      </c>
      <c r="H515" s="7">
        <v>296138.98</v>
      </c>
      <c r="I515" s="7">
        <v>337175.85</v>
      </c>
      <c r="J515" s="7">
        <v>41036.869999999995</v>
      </c>
      <c r="K515" s="8">
        <v>0.1385730105506543</v>
      </c>
    </row>
    <row r="516" spans="1:11" x14ac:dyDescent="0.3">
      <c r="A516" s="5" t="s">
        <v>45</v>
      </c>
      <c r="B516" s="6">
        <v>40243</v>
      </c>
      <c r="C516" s="5">
        <v>10</v>
      </c>
      <c r="D516" s="5">
        <v>3</v>
      </c>
      <c r="E516" s="5">
        <v>2010</v>
      </c>
      <c r="F516" s="5" t="s">
        <v>28</v>
      </c>
      <c r="G516" s="5" t="s">
        <v>10</v>
      </c>
      <c r="H516" s="7">
        <v>211134.13</v>
      </c>
      <c r="I516" s="7">
        <v>236703.56</v>
      </c>
      <c r="J516" s="7">
        <v>25569.429999999993</v>
      </c>
      <c r="K516" s="8">
        <v>0.12110514770871006</v>
      </c>
    </row>
    <row r="517" spans="1:11" x14ac:dyDescent="0.3">
      <c r="A517" s="5" t="s">
        <v>45</v>
      </c>
      <c r="B517" s="6">
        <v>40243</v>
      </c>
      <c r="C517" s="5">
        <v>10</v>
      </c>
      <c r="D517" s="5">
        <v>3</v>
      </c>
      <c r="E517" s="5">
        <v>2010</v>
      </c>
      <c r="F517" s="5" t="s">
        <v>29</v>
      </c>
      <c r="G517" s="5" t="s">
        <v>10</v>
      </c>
      <c r="H517" s="7">
        <v>1547790.64</v>
      </c>
      <c r="I517" s="7">
        <v>1685447.73</v>
      </c>
      <c r="J517" s="7">
        <v>137657.09000000008</v>
      </c>
      <c r="K517" s="8">
        <v>8.8937797168743754E-2</v>
      </c>
    </row>
    <row r="518" spans="1:11" x14ac:dyDescent="0.3">
      <c r="A518" s="5" t="s">
        <v>45</v>
      </c>
      <c r="B518" s="6">
        <v>40243</v>
      </c>
      <c r="C518" s="5">
        <v>10</v>
      </c>
      <c r="D518" s="5">
        <v>3</v>
      </c>
      <c r="E518" s="5">
        <v>2010</v>
      </c>
      <c r="F518" s="5" t="s">
        <v>30</v>
      </c>
      <c r="G518" s="5" t="s">
        <v>10</v>
      </c>
      <c r="H518" s="7">
        <v>347494.54</v>
      </c>
      <c r="I518" s="7">
        <v>390715.82</v>
      </c>
      <c r="J518" s="7">
        <v>43221.280000000028</v>
      </c>
      <c r="K518" s="8">
        <v>0.12437973845574676</v>
      </c>
    </row>
    <row r="519" spans="1:11" x14ac:dyDescent="0.3">
      <c r="A519" s="5" t="s">
        <v>45</v>
      </c>
      <c r="B519" s="6">
        <v>40243</v>
      </c>
      <c r="C519" s="5">
        <v>10</v>
      </c>
      <c r="D519" s="5">
        <v>3</v>
      </c>
      <c r="E519" s="5">
        <v>2010</v>
      </c>
      <c r="F519" s="5" t="s">
        <v>31</v>
      </c>
      <c r="G519" s="5" t="s">
        <v>7</v>
      </c>
      <c r="H519" s="7">
        <v>94677.66</v>
      </c>
      <c r="I519" s="7">
        <v>108525.55</v>
      </c>
      <c r="J519" s="7">
        <v>13847.89</v>
      </c>
      <c r="K519" s="8">
        <v>0.14626354305757028</v>
      </c>
    </row>
    <row r="520" spans="1:11" x14ac:dyDescent="0.3">
      <c r="A520" s="5" t="s">
        <v>45</v>
      </c>
      <c r="B520" s="6">
        <v>40243</v>
      </c>
      <c r="C520" s="5">
        <v>10</v>
      </c>
      <c r="D520" s="5">
        <v>3</v>
      </c>
      <c r="E520" s="5">
        <v>2010</v>
      </c>
      <c r="F520" s="5" t="s">
        <v>32</v>
      </c>
      <c r="G520" s="5" t="s">
        <v>7</v>
      </c>
      <c r="H520" s="7">
        <v>53911.81</v>
      </c>
      <c r="I520" s="7">
        <v>61991.94</v>
      </c>
      <c r="J520" s="7">
        <v>8080.1300000000047</v>
      </c>
      <c r="K520" s="8">
        <v>0.14987680806858469</v>
      </c>
    </row>
    <row r="521" spans="1:11" x14ac:dyDescent="0.3">
      <c r="A521" s="5" t="s">
        <v>45</v>
      </c>
      <c r="B521" s="6">
        <v>40243</v>
      </c>
      <c r="C521" s="5">
        <v>10</v>
      </c>
      <c r="D521" s="5">
        <v>3</v>
      </c>
      <c r="E521" s="5">
        <v>2010</v>
      </c>
      <c r="F521" s="5" t="s">
        <v>33</v>
      </c>
      <c r="G521" s="5" t="s">
        <v>7</v>
      </c>
      <c r="H521" s="7">
        <v>442993.41</v>
      </c>
      <c r="I521" s="7">
        <v>587150.44999999995</v>
      </c>
      <c r="J521" s="7">
        <v>144157.03999999998</v>
      </c>
      <c r="K521" s="8">
        <v>0.32541576634288982</v>
      </c>
    </row>
    <row r="522" spans="1:11" x14ac:dyDescent="0.3">
      <c r="A522" s="5" t="s">
        <v>45</v>
      </c>
      <c r="B522" s="6">
        <v>40243</v>
      </c>
      <c r="C522" s="5">
        <v>10</v>
      </c>
      <c r="D522" s="5">
        <v>3</v>
      </c>
      <c r="E522" s="5">
        <v>2010</v>
      </c>
      <c r="F522" s="5" t="s">
        <v>34</v>
      </c>
      <c r="G522" s="5" t="s">
        <v>7</v>
      </c>
      <c r="H522" s="7">
        <v>2635.67</v>
      </c>
      <c r="I522" s="7">
        <v>3069.95</v>
      </c>
      <c r="J522" s="7">
        <v>434.27999999999975</v>
      </c>
      <c r="K522" s="8">
        <v>0.16477024817219141</v>
      </c>
    </row>
    <row r="523" spans="1:11" x14ac:dyDescent="0.3">
      <c r="A523" s="5" t="s">
        <v>45</v>
      </c>
      <c r="B523" s="6">
        <v>40243</v>
      </c>
      <c r="C523" s="5">
        <v>10</v>
      </c>
      <c r="D523" s="5">
        <v>3</v>
      </c>
      <c r="E523" s="5">
        <v>2010</v>
      </c>
      <c r="F523" s="5" t="s">
        <v>35</v>
      </c>
      <c r="G523" s="5" t="s">
        <v>11</v>
      </c>
      <c r="H523" s="7">
        <v>4054.28</v>
      </c>
      <c r="I523" s="7">
        <v>5269.93</v>
      </c>
      <c r="J523" s="7">
        <v>1215.6500000000001</v>
      </c>
      <c r="K523" s="8">
        <v>0.29984362204879783</v>
      </c>
    </row>
    <row r="524" spans="1:11" x14ac:dyDescent="0.3">
      <c r="A524" s="5" t="s">
        <v>45</v>
      </c>
      <c r="B524" s="6">
        <v>40243</v>
      </c>
      <c r="C524" s="5">
        <v>10</v>
      </c>
      <c r="D524" s="5">
        <v>3</v>
      </c>
      <c r="E524" s="5">
        <v>2010</v>
      </c>
      <c r="F524" s="5" t="s">
        <v>36</v>
      </c>
      <c r="G524" s="5" t="s">
        <v>11</v>
      </c>
      <c r="H524" s="7">
        <v>503382.64</v>
      </c>
      <c r="I524" s="7">
        <v>550221.72</v>
      </c>
      <c r="J524" s="7">
        <v>46839.079999999958</v>
      </c>
      <c r="K524" s="8">
        <v>9.3048659763077954E-2</v>
      </c>
    </row>
    <row r="525" spans="1:11" x14ac:dyDescent="0.3">
      <c r="A525" s="5" t="s">
        <v>45</v>
      </c>
      <c r="B525" s="6">
        <v>40243</v>
      </c>
      <c r="C525" s="5">
        <v>10</v>
      </c>
      <c r="D525" s="5">
        <v>3</v>
      </c>
      <c r="E525" s="5">
        <v>2010</v>
      </c>
      <c r="F525" s="5" t="s">
        <v>37</v>
      </c>
      <c r="G525" s="5" t="s">
        <v>11</v>
      </c>
      <c r="H525" s="7">
        <v>601044.61</v>
      </c>
      <c r="I525" s="7">
        <v>642663.96</v>
      </c>
      <c r="J525" s="7">
        <v>41619.349999999977</v>
      </c>
      <c r="K525" s="8">
        <v>6.9245026587959876E-2</v>
      </c>
    </row>
    <row r="526" spans="1:11" x14ac:dyDescent="0.3">
      <c r="A526" s="5" t="s">
        <v>45</v>
      </c>
      <c r="B526" s="6">
        <v>40243</v>
      </c>
      <c r="C526" s="5">
        <v>10</v>
      </c>
      <c r="D526" s="5">
        <v>3</v>
      </c>
      <c r="E526" s="5">
        <v>2010</v>
      </c>
      <c r="F526" s="5" t="s">
        <v>38</v>
      </c>
      <c r="G526" s="5" t="s">
        <v>11</v>
      </c>
      <c r="H526" s="7">
        <v>615869.51</v>
      </c>
      <c r="I526" s="7">
        <v>640608.18999999994</v>
      </c>
      <c r="J526" s="7">
        <v>24738.679999999935</v>
      </c>
      <c r="K526" s="8">
        <v>4.0168703919114188E-2</v>
      </c>
    </row>
    <row r="527" spans="1:11" x14ac:dyDescent="0.3">
      <c r="A527" s="5" t="s">
        <v>45</v>
      </c>
      <c r="B527" s="6">
        <v>40244</v>
      </c>
      <c r="C527" s="5">
        <v>11</v>
      </c>
      <c r="D527" s="5">
        <v>3</v>
      </c>
      <c r="E527" s="5">
        <v>2010</v>
      </c>
      <c r="F527" s="5" t="s">
        <v>14</v>
      </c>
      <c r="G527" s="5" t="s">
        <v>6</v>
      </c>
      <c r="H527" s="7">
        <v>11500</v>
      </c>
      <c r="I527" s="7">
        <v>13779.39</v>
      </c>
      <c r="J527" s="7">
        <v>2279.3899999999994</v>
      </c>
      <c r="K527" s="8">
        <v>0.19820782608695647</v>
      </c>
    </row>
    <row r="528" spans="1:11" x14ac:dyDescent="0.3">
      <c r="A528" s="5" t="s">
        <v>45</v>
      </c>
      <c r="B528" s="6">
        <v>40244</v>
      </c>
      <c r="C528" s="5">
        <v>11</v>
      </c>
      <c r="D528" s="5">
        <v>3</v>
      </c>
      <c r="E528" s="5">
        <v>2010</v>
      </c>
      <c r="F528" s="5" t="s">
        <v>15</v>
      </c>
      <c r="G528" s="5" t="s">
        <v>6</v>
      </c>
      <c r="H528" s="7">
        <v>430493.91</v>
      </c>
      <c r="I528" s="7">
        <v>715907.99</v>
      </c>
      <c r="J528" s="7">
        <v>285414.08</v>
      </c>
      <c r="K528" s="8">
        <v>0.66299214314088684</v>
      </c>
    </row>
    <row r="529" spans="1:11" x14ac:dyDescent="0.3">
      <c r="A529" s="5" t="s">
        <v>45</v>
      </c>
      <c r="B529" s="6">
        <v>40244</v>
      </c>
      <c r="C529" s="5">
        <v>11</v>
      </c>
      <c r="D529" s="5">
        <v>3</v>
      </c>
      <c r="E529" s="5">
        <v>2010</v>
      </c>
      <c r="F529" s="5" t="s">
        <v>16</v>
      </c>
      <c r="G529" s="5" t="s">
        <v>6</v>
      </c>
      <c r="H529" s="7">
        <v>68817.66</v>
      </c>
      <c r="I529" s="7">
        <v>76459.149999999994</v>
      </c>
      <c r="J529" s="7">
        <v>7641.4899999999907</v>
      </c>
      <c r="K529" s="8">
        <v>0.11103966627170976</v>
      </c>
    </row>
    <row r="530" spans="1:11" x14ac:dyDescent="0.3">
      <c r="A530" s="5" t="s">
        <v>45</v>
      </c>
      <c r="B530" s="6">
        <v>40244</v>
      </c>
      <c r="C530" s="5">
        <v>11</v>
      </c>
      <c r="D530" s="5">
        <v>3</v>
      </c>
      <c r="E530" s="5">
        <v>2010</v>
      </c>
      <c r="F530" s="5" t="s">
        <v>17</v>
      </c>
      <c r="G530" s="5" t="s">
        <v>6</v>
      </c>
      <c r="H530" s="7">
        <v>2716</v>
      </c>
      <c r="I530" s="7">
        <v>3068.24</v>
      </c>
      <c r="J530" s="7">
        <v>352.23999999999978</v>
      </c>
      <c r="K530" s="8">
        <v>0.12969072164948445</v>
      </c>
    </row>
    <row r="531" spans="1:11" x14ac:dyDescent="0.3">
      <c r="A531" s="5" t="s">
        <v>45</v>
      </c>
      <c r="B531" s="6">
        <v>40244</v>
      </c>
      <c r="C531" s="5">
        <v>11</v>
      </c>
      <c r="D531" s="5">
        <v>3</v>
      </c>
      <c r="E531" s="5">
        <v>2010</v>
      </c>
      <c r="F531" s="5" t="s">
        <v>18</v>
      </c>
      <c r="G531" s="5" t="s">
        <v>6</v>
      </c>
      <c r="H531" s="7">
        <v>3290.87</v>
      </c>
      <c r="I531" s="7">
        <v>3642.44</v>
      </c>
      <c r="J531" s="7">
        <v>351.57000000000016</v>
      </c>
      <c r="K531" s="8">
        <v>0.10683193198151254</v>
      </c>
    </row>
    <row r="532" spans="1:11" x14ac:dyDescent="0.3">
      <c r="A532" s="5" t="s">
        <v>45</v>
      </c>
      <c r="B532" s="6">
        <v>40244</v>
      </c>
      <c r="C532" s="5">
        <v>11</v>
      </c>
      <c r="D532" s="5">
        <v>3</v>
      </c>
      <c r="E532" s="5">
        <v>2010</v>
      </c>
      <c r="F532" s="5" t="s">
        <v>19</v>
      </c>
      <c r="G532" s="5" t="s">
        <v>5</v>
      </c>
      <c r="H532" s="7">
        <v>166889.21</v>
      </c>
      <c r="I532" s="7">
        <v>189686.55</v>
      </c>
      <c r="J532" s="7">
        <v>22797.339999999997</v>
      </c>
      <c r="K532" s="8">
        <v>0.13660164129244784</v>
      </c>
    </row>
    <row r="533" spans="1:11" x14ac:dyDescent="0.3">
      <c r="A533" s="5" t="s">
        <v>45</v>
      </c>
      <c r="B533" s="6">
        <v>40244</v>
      </c>
      <c r="C533" s="5">
        <v>11</v>
      </c>
      <c r="D533" s="5">
        <v>3</v>
      </c>
      <c r="E533" s="5">
        <v>2010</v>
      </c>
      <c r="F533" s="5" t="s">
        <v>5</v>
      </c>
      <c r="G533" s="5" t="s">
        <v>5</v>
      </c>
      <c r="H533" s="7">
        <v>550055.55000000005</v>
      </c>
      <c r="I533" s="7">
        <v>590825.87</v>
      </c>
      <c r="J533" s="7">
        <v>40770.319999999949</v>
      </c>
      <c r="K533" s="8">
        <v>7.4120368388247232E-2</v>
      </c>
    </row>
    <row r="534" spans="1:11" x14ac:dyDescent="0.3">
      <c r="A534" s="5" t="s">
        <v>45</v>
      </c>
      <c r="B534" s="6">
        <v>40244</v>
      </c>
      <c r="C534" s="5">
        <v>11</v>
      </c>
      <c r="D534" s="5">
        <v>3</v>
      </c>
      <c r="E534" s="5">
        <v>2010</v>
      </c>
      <c r="F534" s="5" t="s">
        <v>20</v>
      </c>
      <c r="G534" s="5" t="s">
        <v>5</v>
      </c>
      <c r="H534" s="7">
        <v>195755.38</v>
      </c>
      <c r="I534" s="7">
        <v>214345.9</v>
      </c>
      <c r="J534" s="7">
        <v>18590.51999999999</v>
      </c>
      <c r="K534" s="8">
        <v>9.4968117862201232E-2</v>
      </c>
    </row>
    <row r="535" spans="1:11" x14ac:dyDescent="0.3">
      <c r="A535" s="5" t="s">
        <v>45</v>
      </c>
      <c r="B535" s="6">
        <v>40244</v>
      </c>
      <c r="C535" s="5">
        <v>11</v>
      </c>
      <c r="D535" s="5">
        <v>3</v>
      </c>
      <c r="E535" s="5">
        <v>2010</v>
      </c>
      <c r="F535" s="5" t="s">
        <v>21</v>
      </c>
      <c r="G535" s="5" t="s">
        <v>5</v>
      </c>
      <c r="H535" s="7">
        <v>205720</v>
      </c>
      <c r="I535" s="7">
        <v>225476.9</v>
      </c>
      <c r="J535" s="7">
        <v>19756.899999999994</v>
      </c>
      <c r="K535" s="8">
        <v>9.603781839393348E-2</v>
      </c>
    </row>
    <row r="536" spans="1:11" x14ac:dyDescent="0.3">
      <c r="A536" s="5" t="s">
        <v>45</v>
      </c>
      <c r="B536" s="6">
        <v>40244</v>
      </c>
      <c r="C536" s="5">
        <v>11</v>
      </c>
      <c r="D536" s="5">
        <v>3</v>
      </c>
      <c r="E536" s="5">
        <v>2010</v>
      </c>
      <c r="F536" s="5" t="s">
        <v>22</v>
      </c>
      <c r="G536" s="5" t="s">
        <v>8</v>
      </c>
      <c r="H536" s="7">
        <v>541053.5</v>
      </c>
      <c r="I536" s="7">
        <v>607583.34</v>
      </c>
      <c r="J536" s="7">
        <v>66529.839999999967</v>
      </c>
      <c r="K536" s="8">
        <v>0.1229635146986388</v>
      </c>
    </row>
    <row r="537" spans="1:11" x14ac:dyDescent="0.3">
      <c r="A537" s="5" t="s">
        <v>45</v>
      </c>
      <c r="B537" s="6">
        <v>40244</v>
      </c>
      <c r="C537" s="5">
        <v>11</v>
      </c>
      <c r="D537" s="5">
        <v>3</v>
      </c>
      <c r="E537" s="5">
        <v>2010</v>
      </c>
      <c r="F537" s="5" t="s">
        <v>23</v>
      </c>
      <c r="G537" s="5" t="s">
        <v>8</v>
      </c>
      <c r="H537" s="7">
        <v>301223.40000000002</v>
      </c>
      <c r="I537" s="7">
        <v>315318.33</v>
      </c>
      <c r="J537" s="7">
        <v>14094.929999999993</v>
      </c>
      <c r="K537" s="8">
        <v>4.6792281077764848E-2</v>
      </c>
    </row>
    <row r="538" spans="1:11" x14ac:dyDescent="0.3">
      <c r="A538" s="5" t="s">
        <v>45</v>
      </c>
      <c r="B538" s="6">
        <v>40244</v>
      </c>
      <c r="C538" s="5">
        <v>11</v>
      </c>
      <c r="D538" s="5">
        <v>3</v>
      </c>
      <c r="E538" s="5">
        <v>2010</v>
      </c>
      <c r="F538" s="5" t="s">
        <v>24</v>
      </c>
      <c r="G538" s="5" t="s">
        <v>8</v>
      </c>
      <c r="H538" s="7">
        <v>228410</v>
      </c>
      <c r="I538" s="7">
        <v>243794.29</v>
      </c>
      <c r="J538" s="7">
        <v>15384.290000000008</v>
      </c>
      <c r="K538" s="8">
        <v>6.7353837397662139E-2</v>
      </c>
    </row>
    <row r="539" spans="1:11" x14ac:dyDescent="0.3">
      <c r="A539" s="5" t="s">
        <v>45</v>
      </c>
      <c r="B539" s="6">
        <v>40244</v>
      </c>
      <c r="C539" s="5">
        <v>11</v>
      </c>
      <c r="D539" s="5">
        <v>3</v>
      </c>
      <c r="E539" s="5">
        <v>2010</v>
      </c>
      <c r="F539" s="5" t="s">
        <v>25</v>
      </c>
      <c r="G539" s="5" t="s">
        <v>8</v>
      </c>
      <c r="H539" s="7">
        <v>28331.95</v>
      </c>
      <c r="I539" s="7">
        <v>30744.720000000001</v>
      </c>
      <c r="J539" s="7">
        <v>2412.7700000000004</v>
      </c>
      <c r="K539" s="8">
        <v>8.516074608348527E-2</v>
      </c>
    </row>
    <row r="540" spans="1:11" x14ac:dyDescent="0.3">
      <c r="A540" s="5" t="s">
        <v>45</v>
      </c>
      <c r="B540" s="6">
        <v>40244</v>
      </c>
      <c r="C540" s="5">
        <v>11</v>
      </c>
      <c r="D540" s="5">
        <v>3</v>
      </c>
      <c r="E540" s="5">
        <v>2010</v>
      </c>
      <c r="F540" s="5" t="s">
        <v>26</v>
      </c>
      <c r="G540" s="5" t="s">
        <v>10</v>
      </c>
      <c r="H540" s="7">
        <v>23745.57</v>
      </c>
      <c r="I540" s="7">
        <v>26806.61</v>
      </c>
      <c r="J540" s="7">
        <v>3061.0400000000009</v>
      </c>
      <c r="K540" s="8">
        <v>0.12890993983298785</v>
      </c>
    </row>
    <row r="541" spans="1:11" x14ac:dyDescent="0.3">
      <c r="A541" s="5" t="s">
        <v>45</v>
      </c>
      <c r="B541" s="6">
        <v>40244</v>
      </c>
      <c r="C541" s="5">
        <v>11</v>
      </c>
      <c r="D541" s="5">
        <v>3</v>
      </c>
      <c r="E541" s="5">
        <v>2010</v>
      </c>
      <c r="F541" s="5" t="s">
        <v>27</v>
      </c>
      <c r="G541" s="5" t="s">
        <v>10</v>
      </c>
      <c r="H541" s="7">
        <v>186861.22</v>
      </c>
      <c r="I541" s="7">
        <v>211835.08</v>
      </c>
      <c r="J541" s="7">
        <v>24973.859999999986</v>
      </c>
      <c r="K541" s="8">
        <v>0.13364923979411023</v>
      </c>
    </row>
    <row r="542" spans="1:11" x14ac:dyDescent="0.3">
      <c r="A542" s="5" t="s">
        <v>45</v>
      </c>
      <c r="B542" s="6">
        <v>40244</v>
      </c>
      <c r="C542" s="5">
        <v>11</v>
      </c>
      <c r="D542" s="5">
        <v>3</v>
      </c>
      <c r="E542" s="5">
        <v>2010</v>
      </c>
      <c r="F542" s="5" t="s">
        <v>28</v>
      </c>
      <c r="G542" s="5" t="s">
        <v>10</v>
      </c>
      <c r="H542" s="7">
        <v>147381.46</v>
      </c>
      <c r="I542" s="7">
        <v>166220.44</v>
      </c>
      <c r="J542" s="7">
        <v>18838.98000000001</v>
      </c>
      <c r="K542" s="8">
        <v>0.12782462597398622</v>
      </c>
    </row>
    <row r="543" spans="1:11" x14ac:dyDescent="0.3">
      <c r="A543" s="5" t="s">
        <v>45</v>
      </c>
      <c r="B543" s="6">
        <v>40244</v>
      </c>
      <c r="C543" s="5">
        <v>11</v>
      </c>
      <c r="D543" s="5">
        <v>3</v>
      </c>
      <c r="E543" s="5">
        <v>2010</v>
      </c>
      <c r="F543" s="5" t="s">
        <v>29</v>
      </c>
      <c r="G543" s="5" t="s">
        <v>10</v>
      </c>
      <c r="H543" s="7">
        <v>1282211.57</v>
      </c>
      <c r="I543" s="7">
        <v>1397187.77</v>
      </c>
      <c r="J543" s="7">
        <v>114976.19999999995</v>
      </c>
      <c r="K543" s="8">
        <v>8.9670225015985427E-2</v>
      </c>
    </row>
    <row r="544" spans="1:11" x14ac:dyDescent="0.3">
      <c r="A544" s="5" t="s">
        <v>45</v>
      </c>
      <c r="B544" s="6">
        <v>40244</v>
      </c>
      <c r="C544" s="5">
        <v>11</v>
      </c>
      <c r="D544" s="5">
        <v>3</v>
      </c>
      <c r="E544" s="5">
        <v>2010</v>
      </c>
      <c r="F544" s="5" t="s">
        <v>30</v>
      </c>
      <c r="G544" s="5" t="s">
        <v>10</v>
      </c>
      <c r="H544" s="7">
        <v>298378.44</v>
      </c>
      <c r="I544" s="7">
        <v>335450.93</v>
      </c>
      <c r="J544" s="7">
        <v>37072.489999999991</v>
      </c>
      <c r="K544" s="8">
        <v>0.12424654408676442</v>
      </c>
    </row>
    <row r="545" spans="1:11" x14ac:dyDescent="0.3">
      <c r="A545" s="5" t="s">
        <v>45</v>
      </c>
      <c r="B545" s="6">
        <v>40244</v>
      </c>
      <c r="C545" s="5">
        <v>11</v>
      </c>
      <c r="D545" s="5">
        <v>3</v>
      </c>
      <c r="E545" s="5">
        <v>2010</v>
      </c>
      <c r="F545" s="5" t="s">
        <v>31</v>
      </c>
      <c r="G545" s="5" t="s">
        <v>7</v>
      </c>
      <c r="H545" s="7">
        <v>27581.53</v>
      </c>
      <c r="I545" s="7">
        <v>31090.7</v>
      </c>
      <c r="J545" s="7">
        <v>3509.1700000000019</v>
      </c>
      <c r="K545" s="8">
        <v>0.12722898258363485</v>
      </c>
    </row>
    <row r="546" spans="1:11" x14ac:dyDescent="0.3">
      <c r="A546" s="5" t="s">
        <v>45</v>
      </c>
      <c r="B546" s="6">
        <v>40244</v>
      </c>
      <c r="C546" s="5">
        <v>11</v>
      </c>
      <c r="D546" s="5">
        <v>3</v>
      </c>
      <c r="E546" s="5">
        <v>2010</v>
      </c>
      <c r="F546" s="5" t="s">
        <v>32</v>
      </c>
      <c r="G546" s="5" t="s">
        <v>7</v>
      </c>
      <c r="H546" s="7">
        <v>67646.16</v>
      </c>
      <c r="I546" s="7">
        <v>77784.5</v>
      </c>
      <c r="J546" s="7">
        <v>10138.339999999997</v>
      </c>
      <c r="K546" s="8">
        <v>0.14987310440090015</v>
      </c>
    </row>
    <row r="547" spans="1:11" x14ac:dyDescent="0.3">
      <c r="A547" s="5" t="s">
        <v>45</v>
      </c>
      <c r="B547" s="6">
        <v>40244</v>
      </c>
      <c r="C547" s="5">
        <v>11</v>
      </c>
      <c r="D547" s="5">
        <v>3</v>
      </c>
      <c r="E547" s="5">
        <v>2010</v>
      </c>
      <c r="F547" s="5" t="s">
        <v>33</v>
      </c>
      <c r="G547" s="5" t="s">
        <v>7</v>
      </c>
      <c r="H547" s="7">
        <v>374286.02</v>
      </c>
      <c r="I547" s="7">
        <v>496558.26</v>
      </c>
      <c r="J547" s="7">
        <v>122272.23999999999</v>
      </c>
      <c r="K547" s="8">
        <v>0.32668129042062533</v>
      </c>
    </row>
    <row r="548" spans="1:11" x14ac:dyDescent="0.3">
      <c r="A548" s="5" t="s">
        <v>45</v>
      </c>
      <c r="B548" s="6">
        <v>40244</v>
      </c>
      <c r="C548" s="5">
        <v>11</v>
      </c>
      <c r="D548" s="5">
        <v>3</v>
      </c>
      <c r="E548" s="5">
        <v>2010</v>
      </c>
      <c r="F548" s="5" t="s">
        <v>34</v>
      </c>
      <c r="G548" s="5" t="s">
        <v>7</v>
      </c>
      <c r="H548" s="7">
        <v>2164.81</v>
      </c>
      <c r="I548" s="7">
        <v>2495.09</v>
      </c>
      <c r="J548" s="7">
        <v>330.2800000000002</v>
      </c>
      <c r="K548" s="8">
        <v>0.15256766182713505</v>
      </c>
    </row>
    <row r="549" spans="1:11" x14ac:dyDescent="0.3">
      <c r="A549" s="5" t="s">
        <v>45</v>
      </c>
      <c r="B549" s="6">
        <v>40244</v>
      </c>
      <c r="C549" s="5">
        <v>11</v>
      </c>
      <c r="D549" s="5">
        <v>3</v>
      </c>
      <c r="E549" s="5">
        <v>2010</v>
      </c>
      <c r="F549" s="5" t="s">
        <v>35</v>
      </c>
      <c r="G549" s="5" t="s">
        <v>11</v>
      </c>
      <c r="H549" s="7">
        <v>4183.8</v>
      </c>
      <c r="I549" s="7">
        <v>5438.1</v>
      </c>
      <c r="J549" s="7">
        <v>1254.3000000000002</v>
      </c>
      <c r="K549" s="8">
        <v>0.29979922558439698</v>
      </c>
    </row>
    <row r="550" spans="1:11" x14ac:dyDescent="0.3">
      <c r="A550" s="5" t="s">
        <v>45</v>
      </c>
      <c r="B550" s="6">
        <v>40244</v>
      </c>
      <c r="C550" s="5">
        <v>11</v>
      </c>
      <c r="D550" s="5">
        <v>3</v>
      </c>
      <c r="E550" s="5">
        <v>2010</v>
      </c>
      <c r="F550" s="5" t="s">
        <v>36</v>
      </c>
      <c r="G550" s="5" t="s">
        <v>11</v>
      </c>
      <c r="H550" s="7">
        <v>439558.6</v>
      </c>
      <c r="I550" s="7">
        <v>478943.86</v>
      </c>
      <c r="J550" s="7">
        <v>39385.260000000009</v>
      </c>
      <c r="K550" s="8">
        <v>8.9601841483706632E-2</v>
      </c>
    </row>
    <row r="551" spans="1:11" x14ac:dyDescent="0.3">
      <c r="A551" s="5" t="s">
        <v>45</v>
      </c>
      <c r="B551" s="6">
        <v>40244</v>
      </c>
      <c r="C551" s="5">
        <v>11</v>
      </c>
      <c r="D551" s="5">
        <v>3</v>
      </c>
      <c r="E551" s="5">
        <v>2010</v>
      </c>
      <c r="F551" s="5" t="s">
        <v>37</v>
      </c>
      <c r="G551" s="5" t="s">
        <v>11</v>
      </c>
      <c r="H551" s="7">
        <v>504708.83</v>
      </c>
      <c r="I551" s="7">
        <v>540859.23</v>
      </c>
      <c r="J551" s="7">
        <v>36150.399999999965</v>
      </c>
      <c r="K551" s="8">
        <v>7.1626248346001717E-2</v>
      </c>
    </row>
    <row r="552" spans="1:11" x14ac:dyDescent="0.3">
      <c r="A552" s="5" t="s">
        <v>45</v>
      </c>
      <c r="B552" s="6">
        <v>40244</v>
      </c>
      <c r="C552" s="5">
        <v>11</v>
      </c>
      <c r="D552" s="5">
        <v>3</v>
      </c>
      <c r="E552" s="5">
        <v>2010</v>
      </c>
      <c r="F552" s="5" t="s">
        <v>38</v>
      </c>
      <c r="G552" s="5" t="s">
        <v>11</v>
      </c>
      <c r="H552" s="7">
        <v>426482.16</v>
      </c>
      <c r="I552" s="7">
        <v>445013.07</v>
      </c>
      <c r="J552" s="7">
        <v>18530.910000000033</v>
      </c>
      <c r="K552" s="8">
        <v>4.3450609985655753E-2</v>
      </c>
    </row>
    <row r="553" spans="1:11" x14ac:dyDescent="0.3">
      <c r="A553" s="5" t="s">
        <v>45</v>
      </c>
      <c r="B553" s="6">
        <v>40245</v>
      </c>
      <c r="C553" s="5">
        <v>11</v>
      </c>
      <c r="D553" s="5">
        <v>3</v>
      </c>
      <c r="E553" s="5">
        <v>2010</v>
      </c>
      <c r="F553" s="5" t="s">
        <v>14</v>
      </c>
      <c r="G553" s="5" t="s">
        <v>6</v>
      </c>
      <c r="H553" s="7">
        <v>7062</v>
      </c>
      <c r="I553" s="7">
        <v>8723.27</v>
      </c>
      <c r="J553" s="7">
        <v>1661.2700000000004</v>
      </c>
      <c r="K553" s="8">
        <v>0.23524072500708021</v>
      </c>
    </row>
    <row r="554" spans="1:11" x14ac:dyDescent="0.3">
      <c r="A554" s="5" t="s">
        <v>45</v>
      </c>
      <c r="B554" s="6">
        <v>40245</v>
      </c>
      <c r="C554" s="5">
        <v>11</v>
      </c>
      <c r="D554" s="5">
        <v>3</v>
      </c>
      <c r="E554" s="5">
        <v>2010</v>
      </c>
      <c r="F554" s="5" t="s">
        <v>15</v>
      </c>
      <c r="G554" s="5" t="s">
        <v>6</v>
      </c>
      <c r="H554" s="7">
        <v>355379.59</v>
      </c>
      <c r="I554" s="7">
        <v>538235.23</v>
      </c>
      <c r="J554" s="7">
        <v>182855.63999999996</v>
      </c>
      <c r="K554" s="8">
        <v>0.51453613304016688</v>
      </c>
    </row>
    <row r="555" spans="1:11" x14ac:dyDescent="0.3">
      <c r="A555" s="5" t="s">
        <v>45</v>
      </c>
      <c r="B555" s="6">
        <v>40245</v>
      </c>
      <c r="C555" s="5">
        <v>11</v>
      </c>
      <c r="D555" s="5">
        <v>3</v>
      </c>
      <c r="E555" s="5">
        <v>2010</v>
      </c>
      <c r="F555" s="5" t="s">
        <v>16</v>
      </c>
      <c r="G555" s="5" t="s">
        <v>6</v>
      </c>
      <c r="H555" s="7">
        <v>42754.98</v>
      </c>
      <c r="I555" s="7">
        <v>47206.98</v>
      </c>
      <c r="J555" s="7">
        <v>4452</v>
      </c>
      <c r="K555" s="8">
        <v>0.10412822085286906</v>
      </c>
    </row>
    <row r="556" spans="1:11" x14ac:dyDescent="0.3">
      <c r="A556" s="5" t="s">
        <v>45</v>
      </c>
      <c r="B556" s="6">
        <v>40245</v>
      </c>
      <c r="C556" s="5">
        <v>11</v>
      </c>
      <c r="D556" s="5">
        <v>3</v>
      </c>
      <c r="E556" s="5">
        <v>2010</v>
      </c>
      <c r="F556" s="5" t="s">
        <v>17</v>
      </c>
      <c r="G556" s="5" t="s">
        <v>6</v>
      </c>
      <c r="H556" s="7">
        <v>574</v>
      </c>
      <c r="I556" s="7">
        <v>659.72</v>
      </c>
      <c r="J556" s="7">
        <v>85.720000000000027</v>
      </c>
      <c r="K556" s="8">
        <v>0.1493379790940767</v>
      </c>
    </row>
    <row r="557" spans="1:11" x14ac:dyDescent="0.3">
      <c r="A557" s="5" t="s">
        <v>45</v>
      </c>
      <c r="B557" s="6">
        <v>40245</v>
      </c>
      <c r="C557" s="5">
        <v>11</v>
      </c>
      <c r="D557" s="5">
        <v>3</v>
      </c>
      <c r="E557" s="5">
        <v>2010</v>
      </c>
      <c r="F557" s="5" t="s">
        <v>18</v>
      </c>
      <c r="G557" s="5" t="s">
        <v>6</v>
      </c>
      <c r="H557" s="7">
        <v>1470</v>
      </c>
      <c r="I557" s="7">
        <v>1613.44</v>
      </c>
      <c r="J557" s="7">
        <v>143.44000000000005</v>
      </c>
      <c r="K557" s="8">
        <v>9.757823129251704E-2</v>
      </c>
    </row>
    <row r="558" spans="1:11" x14ac:dyDescent="0.3">
      <c r="A558" s="5" t="s">
        <v>45</v>
      </c>
      <c r="B558" s="6">
        <v>40245</v>
      </c>
      <c r="C558" s="5">
        <v>11</v>
      </c>
      <c r="D558" s="5">
        <v>3</v>
      </c>
      <c r="E558" s="5">
        <v>2010</v>
      </c>
      <c r="F558" s="5" t="s">
        <v>19</v>
      </c>
      <c r="G558" s="5" t="s">
        <v>5</v>
      </c>
      <c r="H558" s="7">
        <v>77325.789999999994</v>
      </c>
      <c r="I558" s="7">
        <v>88012.05</v>
      </c>
      <c r="J558" s="7">
        <v>10686.260000000009</v>
      </c>
      <c r="K558" s="8">
        <v>0.13819787680151746</v>
      </c>
    </row>
    <row r="559" spans="1:11" x14ac:dyDescent="0.3">
      <c r="A559" s="5" t="s">
        <v>45</v>
      </c>
      <c r="B559" s="6">
        <v>40245</v>
      </c>
      <c r="C559" s="5">
        <v>11</v>
      </c>
      <c r="D559" s="5">
        <v>3</v>
      </c>
      <c r="E559" s="5">
        <v>2010</v>
      </c>
      <c r="F559" s="5" t="s">
        <v>5</v>
      </c>
      <c r="G559" s="5" t="s">
        <v>5</v>
      </c>
      <c r="H559" s="7">
        <v>275701.57</v>
      </c>
      <c r="I559" s="7">
        <v>295173.23</v>
      </c>
      <c r="J559" s="7">
        <v>19471.659999999974</v>
      </c>
      <c r="K559" s="8">
        <v>7.062585824230154E-2</v>
      </c>
    </row>
    <row r="560" spans="1:11" x14ac:dyDescent="0.3">
      <c r="A560" s="5" t="s">
        <v>45</v>
      </c>
      <c r="B560" s="6">
        <v>40245</v>
      </c>
      <c r="C560" s="5">
        <v>11</v>
      </c>
      <c r="D560" s="5">
        <v>3</v>
      </c>
      <c r="E560" s="5">
        <v>2010</v>
      </c>
      <c r="F560" s="5" t="s">
        <v>20</v>
      </c>
      <c r="G560" s="5" t="s">
        <v>5</v>
      </c>
      <c r="H560" s="7">
        <v>78287.820000000007</v>
      </c>
      <c r="I560" s="7">
        <v>85422.15</v>
      </c>
      <c r="J560" s="7">
        <v>7134.3299999999872</v>
      </c>
      <c r="K560" s="8">
        <v>9.112950137071113E-2</v>
      </c>
    </row>
    <row r="561" spans="1:11" x14ac:dyDescent="0.3">
      <c r="A561" s="5" t="s">
        <v>45</v>
      </c>
      <c r="B561" s="6">
        <v>40245</v>
      </c>
      <c r="C561" s="5">
        <v>11</v>
      </c>
      <c r="D561" s="5">
        <v>3</v>
      </c>
      <c r="E561" s="5">
        <v>2010</v>
      </c>
      <c r="F561" s="5" t="s">
        <v>21</v>
      </c>
      <c r="G561" s="5" t="s">
        <v>5</v>
      </c>
      <c r="H561" s="7">
        <v>107987</v>
      </c>
      <c r="I561" s="7">
        <v>120171.87</v>
      </c>
      <c r="J561" s="7">
        <v>12184.869999999995</v>
      </c>
      <c r="K561" s="8">
        <v>0.11283645253595335</v>
      </c>
    </row>
    <row r="562" spans="1:11" x14ac:dyDescent="0.3">
      <c r="A562" s="5" t="s">
        <v>45</v>
      </c>
      <c r="B562" s="6">
        <v>40245</v>
      </c>
      <c r="C562" s="5">
        <v>11</v>
      </c>
      <c r="D562" s="5">
        <v>3</v>
      </c>
      <c r="E562" s="5">
        <v>2010</v>
      </c>
      <c r="F562" s="5" t="s">
        <v>22</v>
      </c>
      <c r="G562" s="5" t="s">
        <v>8</v>
      </c>
      <c r="H562" s="7">
        <v>482821.5</v>
      </c>
      <c r="I562" s="7">
        <v>533142.37</v>
      </c>
      <c r="J562" s="7">
        <v>50320.869999999995</v>
      </c>
      <c r="K562" s="8">
        <v>0.1042225128748409</v>
      </c>
    </row>
    <row r="563" spans="1:11" x14ac:dyDescent="0.3">
      <c r="A563" s="5" t="s">
        <v>45</v>
      </c>
      <c r="B563" s="6">
        <v>40245</v>
      </c>
      <c r="C563" s="5">
        <v>11</v>
      </c>
      <c r="D563" s="5">
        <v>3</v>
      </c>
      <c r="E563" s="5">
        <v>2010</v>
      </c>
      <c r="F563" s="5" t="s">
        <v>23</v>
      </c>
      <c r="G563" s="5" t="s">
        <v>8</v>
      </c>
      <c r="H563" s="7">
        <v>215561.4</v>
      </c>
      <c r="I563" s="7">
        <v>226804.54</v>
      </c>
      <c r="J563" s="7">
        <v>11243.140000000014</v>
      </c>
      <c r="K563" s="8">
        <v>5.2157482740416483E-2</v>
      </c>
    </row>
    <row r="564" spans="1:11" x14ac:dyDescent="0.3">
      <c r="A564" s="5" t="s">
        <v>45</v>
      </c>
      <c r="B564" s="6">
        <v>40245</v>
      </c>
      <c r="C564" s="5">
        <v>11</v>
      </c>
      <c r="D564" s="5">
        <v>3</v>
      </c>
      <c r="E564" s="5">
        <v>2010</v>
      </c>
      <c r="F564" s="5" t="s">
        <v>24</v>
      </c>
      <c r="G564" s="5" t="s">
        <v>8</v>
      </c>
      <c r="H564" s="7">
        <v>128585</v>
      </c>
      <c r="I564" s="7">
        <v>140771.26</v>
      </c>
      <c r="J564" s="7">
        <v>12186.260000000009</v>
      </c>
      <c r="K564" s="8">
        <v>9.4772018509157438E-2</v>
      </c>
    </row>
    <row r="565" spans="1:11" x14ac:dyDescent="0.3">
      <c r="A565" s="5" t="s">
        <v>45</v>
      </c>
      <c r="B565" s="6">
        <v>40245</v>
      </c>
      <c r="C565" s="5">
        <v>11</v>
      </c>
      <c r="D565" s="5">
        <v>3</v>
      </c>
      <c r="E565" s="5">
        <v>2010</v>
      </c>
      <c r="F565" s="5" t="s">
        <v>25</v>
      </c>
      <c r="G565" s="5" t="s">
        <v>8</v>
      </c>
      <c r="H565" s="7">
        <v>21640.35</v>
      </c>
      <c r="I565" s="7">
        <v>24130.21</v>
      </c>
      <c r="J565" s="7">
        <v>2489.8600000000006</v>
      </c>
      <c r="K565" s="8">
        <v>0.11505636461517493</v>
      </c>
    </row>
    <row r="566" spans="1:11" x14ac:dyDescent="0.3">
      <c r="A566" s="5" t="s">
        <v>45</v>
      </c>
      <c r="B566" s="6">
        <v>40245</v>
      </c>
      <c r="C566" s="5">
        <v>11</v>
      </c>
      <c r="D566" s="5">
        <v>3</v>
      </c>
      <c r="E566" s="5">
        <v>2010</v>
      </c>
      <c r="F566" s="5" t="s">
        <v>26</v>
      </c>
      <c r="G566" s="5" t="s">
        <v>10</v>
      </c>
      <c r="H566" s="7">
        <v>11703.52</v>
      </c>
      <c r="I566" s="7">
        <v>13321.07</v>
      </c>
      <c r="J566" s="7">
        <v>1617.5499999999993</v>
      </c>
      <c r="K566" s="8">
        <v>0.13821055545681976</v>
      </c>
    </row>
    <row r="567" spans="1:11" x14ac:dyDescent="0.3">
      <c r="A567" s="5" t="s">
        <v>45</v>
      </c>
      <c r="B567" s="6">
        <v>40245</v>
      </c>
      <c r="C567" s="5">
        <v>11</v>
      </c>
      <c r="D567" s="5">
        <v>3</v>
      </c>
      <c r="E567" s="5">
        <v>2010</v>
      </c>
      <c r="F567" s="5" t="s">
        <v>27</v>
      </c>
      <c r="G567" s="5" t="s">
        <v>10</v>
      </c>
      <c r="H567" s="7">
        <v>82954.36</v>
      </c>
      <c r="I567" s="7">
        <v>94419.05</v>
      </c>
      <c r="J567" s="7">
        <v>11464.690000000002</v>
      </c>
      <c r="K567" s="8">
        <v>0.13820479116468384</v>
      </c>
    </row>
    <row r="568" spans="1:11" x14ac:dyDescent="0.3">
      <c r="A568" s="5" t="s">
        <v>45</v>
      </c>
      <c r="B568" s="6">
        <v>40245</v>
      </c>
      <c r="C568" s="5">
        <v>11</v>
      </c>
      <c r="D568" s="5">
        <v>3</v>
      </c>
      <c r="E568" s="5">
        <v>2010</v>
      </c>
      <c r="F568" s="5" t="s">
        <v>28</v>
      </c>
      <c r="G568" s="5" t="s">
        <v>10</v>
      </c>
      <c r="H568" s="7">
        <v>61481.59</v>
      </c>
      <c r="I568" s="7">
        <v>69394.89</v>
      </c>
      <c r="J568" s="7">
        <v>7913.3000000000029</v>
      </c>
      <c r="K568" s="8">
        <v>0.12871007402378506</v>
      </c>
    </row>
    <row r="569" spans="1:11" x14ac:dyDescent="0.3">
      <c r="A569" s="5" t="s">
        <v>45</v>
      </c>
      <c r="B569" s="6">
        <v>40245</v>
      </c>
      <c r="C569" s="5">
        <v>11</v>
      </c>
      <c r="D569" s="5">
        <v>3</v>
      </c>
      <c r="E569" s="5">
        <v>2010</v>
      </c>
      <c r="F569" s="5" t="s">
        <v>29</v>
      </c>
      <c r="G569" s="5" t="s">
        <v>10</v>
      </c>
      <c r="H569" s="7">
        <v>643337.29</v>
      </c>
      <c r="I569" s="7">
        <v>704242.8</v>
      </c>
      <c r="J569" s="7">
        <v>60905.510000000009</v>
      </c>
      <c r="K569" s="8">
        <v>9.467119494969739E-2</v>
      </c>
    </row>
    <row r="570" spans="1:11" x14ac:dyDescent="0.3">
      <c r="A570" s="5" t="s">
        <v>45</v>
      </c>
      <c r="B570" s="6">
        <v>40245</v>
      </c>
      <c r="C570" s="5">
        <v>11</v>
      </c>
      <c r="D570" s="5">
        <v>3</v>
      </c>
      <c r="E570" s="5">
        <v>2010</v>
      </c>
      <c r="F570" s="5" t="s">
        <v>30</v>
      </c>
      <c r="G570" s="5" t="s">
        <v>10</v>
      </c>
      <c r="H570" s="7">
        <v>125403.46</v>
      </c>
      <c r="I570" s="7">
        <v>141400.4</v>
      </c>
      <c r="J570" s="7">
        <v>15996.939999999988</v>
      </c>
      <c r="K570" s="8">
        <v>0.12756378492268067</v>
      </c>
    </row>
    <row r="571" spans="1:11" x14ac:dyDescent="0.3">
      <c r="A571" s="5" t="s">
        <v>45</v>
      </c>
      <c r="B571" s="6">
        <v>40245</v>
      </c>
      <c r="C571" s="5">
        <v>11</v>
      </c>
      <c r="D571" s="5">
        <v>3</v>
      </c>
      <c r="E571" s="5">
        <v>2010</v>
      </c>
      <c r="F571" s="5" t="s">
        <v>31</v>
      </c>
      <c r="G571" s="5" t="s">
        <v>7</v>
      </c>
      <c r="H571" s="7">
        <v>64652.4</v>
      </c>
      <c r="I571" s="7">
        <v>71772.009999999995</v>
      </c>
      <c r="J571" s="7">
        <v>7119.6099999999933</v>
      </c>
      <c r="K571" s="8">
        <v>0.1101213566704406</v>
      </c>
    </row>
    <row r="572" spans="1:11" x14ac:dyDescent="0.3">
      <c r="A572" s="5" t="s">
        <v>45</v>
      </c>
      <c r="B572" s="6">
        <v>40245</v>
      </c>
      <c r="C572" s="5">
        <v>11</v>
      </c>
      <c r="D572" s="5">
        <v>3</v>
      </c>
      <c r="E572" s="5">
        <v>2010</v>
      </c>
      <c r="F572" s="5" t="s">
        <v>32</v>
      </c>
      <c r="G572" s="5" t="s">
        <v>7</v>
      </c>
      <c r="H572" s="7">
        <v>35554.269999999997</v>
      </c>
      <c r="I572" s="7">
        <v>40881.360000000001</v>
      </c>
      <c r="J572" s="7">
        <v>5327.0900000000038</v>
      </c>
      <c r="K572" s="8">
        <v>0.14982982353455729</v>
      </c>
    </row>
    <row r="573" spans="1:11" x14ac:dyDescent="0.3">
      <c r="A573" s="5" t="s">
        <v>45</v>
      </c>
      <c r="B573" s="6">
        <v>40245</v>
      </c>
      <c r="C573" s="5">
        <v>11</v>
      </c>
      <c r="D573" s="5">
        <v>3</v>
      </c>
      <c r="E573" s="5">
        <v>2010</v>
      </c>
      <c r="F573" s="5" t="s">
        <v>33</v>
      </c>
      <c r="G573" s="5" t="s">
        <v>7</v>
      </c>
      <c r="H573" s="7">
        <v>308807.2</v>
      </c>
      <c r="I573" s="7">
        <v>409457.16</v>
      </c>
      <c r="J573" s="7">
        <v>100649.95999999996</v>
      </c>
      <c r="K573" s="8">
        <v>0.32593139020074646</v>
      </c>
    </row>
    <row r="574" spans="1:11" x14ac:dyDescent="0.3">
      <c r="A574" s="5" t="s">
        <v>45</v>
      </c>
      <c r="B574" s="6">
        <v>40245</v>
      </c>
      <c r="C574" s="5">
        <v>11</v>
      </c>
      <c r="D574" s="5">
        <v>3</v>
      </c>
      <c r="E574" s="5">
        <v>2010</v>
      </c>
      <c r="F574" s="5" t="s">
        <v>35</v>
      </c>
      <c r="G574" s="5" t="s">
        <v>11</v>
      </c>
      <c r="H574" s="7">
        <v>1541</v>
      </c>
      <c r="I574" s="7">
        <v>2002.21</v>
      </c>
      <c r="J574" s="7">
        <v>461.21000000000004</v>
      </c>
      <c r="K574" s="8">
        <v>0.2992926670992862</v>
      </c>
    </row>
    <row r="575" spans="1:11" x14ac:dyDescent="0.3">
      <c r="A575" s="5" t="s">
        <v>45</v>
      </c>
      <c r="B575" s="6">
        <v>40245</v>
      </c>
      <c r="C575" s="5">
        <v>11</v>
      </c>
      <c r="D575" s="5">
        <v>3</v>
      </c>
      <c r="E575" s="5">
        <v>2010</v>
      </c>
      <c r="F575" s="5" t="s">
        <v>36</v>
      </c>
      <c r="G575" s="5" t="s">
        <v>11</v>
      </c>
      <c r="H575" s="7">
        <v>255120.01</v>
      </c>
      <c r="I575" s="7">
        <v>280902.40999999997</v>
      </c>
      <c r="J575" s="7">
        <v>25782.399999999965</v>
      </c>
      <c r="K575" s="8">
        <v>0.10105988942223687</v>
      </c>
    </row>
    <row r="576" spans="1:11" x14ac:dyDescent="0.3">
      <c r="A576" s="5" t="s">
        <v>45</v>
      </c>
      <c r="B576" s="6">
        <v>40245</v>
      </c>
      <c r="C576" s="5">
        <v>11</v>
      </c>
      <c r="D576" s="5">
        <v>3</v>
      </c>
      <c r="E576" s="5">
        <v>2010</v>
      </c>
      <c r="F576" s="5" t="s">
        <v>37</v>
      </c>
      <c r="G576" s="5" t="s">
        <v>11</v>
      </c>
      <c r="H576" s="7">
        <v>293768.99</v>
      </c>
      <c r="I576" s="7">
        <v>314912.24</v>
      </c>
      <c r="J576" s="7">
        <v>21143.25</v>
      </c>
      <c r="K576" s="8">
        <v>7.1972368492671746E-2</v>
      </c>
    </row>
    <row r="577" spans="1:11" x14ac:dyDescent="0.3">
      <c r="A577" s="5" t="s">
        <v>45</v>
      </c>
      <c r="B577" s="6">
        <v>40245</v>
      </c>
      <c r="C577" s="5">
        <v>11</v>
      </c>
      <c r="D577" s="5">
        <v>3</v>
      </c>
      <c r="E577" s="5">
        <v>2010</v>
      </c>
      <c r="F577" s="5" t="s">
        <v>38</v>
      </c>
      <c r="G577" s="5" t="s">
        <v>11</v>
      </c>
      <c r="H577" s="7">
        <v>170993.97</v>
      </c>
      <c r="I577" s="7">
        <v>179840.83</v>
      </c>
      <c r="J577" s="7">
        <v>8846.859999999986</v>
      </c>
      <c r="K577" s="8">
        <v>5.173784783171001E-2</v>
      </c>
    </row>
    <row r="578" spans="1:11" x14ac:dyDescent="0.3">
      <c r="A578" s="5" t="s">
        <v>45</v>
      </c>
      <c r="B578" s="6">
        <v>40246</v>
      </c>
      <c r="C578" s="5">
        <v>11</v>
      </c>
      <c r="D578" s="5">
        <v>3</v>
      </c>
      <c r="E578" s="5">
        <v>2010</v>
      </c>
      <c r="F578" s="5" t="s">
        <v>14</v>
      </c>
      <c r="G578" s="5" t="s">
        <v>6</v>
      </c>
      <c r="H578" s="7">
        <v>5128</v>
      </c>
      <c r="I578" s="7">
        <v>6363.08</v>
      </c>
      <c r="J578" s="7">
        <v>1235.08</v>
      </c>
      <c r="K578" s="8">
        <v>0.24085023400936037</v>
      </c>
    </row>
    <row r="579" spans="1:11" x14ac:dyDescent="0.3">
      <c r="A579" s="5" t="s">
        <v>45</v>
      </c>
      <c r="B579" s="6">
        <v>40246</v>
      </c>
      <c r="C579" s="5">
        <v>11</v>
      </c>
      <c r="D579" s="5">
        <v>3</v>
      </c>
      <c r="E579" s="5">
        <v>2010</v>
      </c>
      <c r="F579" s="5" t="s">
        <v>15</v>
      </c>
      <c r="G579" s="5" t="s">
        <v>6</v>
      </c>
      <c r="H579" s="7">
        <v>68357.2</v>
      </c>
      <c r="I579" s="7">
        <v>110620.05</v>
      </c>
      <c r="J579" s="7">
        <v>42262.850000000006</v>
      </c>
      <c r="K579" s="8">
        <v>0.61826479141919222</v>
      </c>
    </row>
    <row r="580" spans="1:11" x14ac:dyDescent="0.3">
      <c r="A580" s="5" t="s">
        <v>45</v>
      </c>
      <c r="B580" s="6">
        <v>40246</v>
      </c>
      <c r="C580" s="5">
        <v>11</v>
      </c>
      <c r="D580" s="5">
        <v>3</v>
      </c>
      <c r="E580" s="5">
        <v>2010</v>
      </c>
      <c r="F580" s="5" t="s">
        <v>16</v>
      </c>
      <c r="G580" s="5" t="s">
        <v>6</v>
      </c>
      <c r="H580" s="7">
        <v>25354.62</v>
      </c>
      <c r="I580" s="7">
        <v>27967.77</v>
      </c>
      <c r="J580" s="7">
        <v>2613.1500000000015</v>
      </c>
      <c r="K580" s="8">
        <v>0.10306405696476624</v>
      </c>
    </row>
    <row r="581" spans="1:11" x14ac:dyDescent="0.3">
      <c r="A581" s="5" t="s">
        <v>45</v>
      </c>
      <c r="B581" s="6">
        <v>40246</v>
      </c>
      <c r="C581" s="5">
        <v>11</v>
      </c>
      <c r="D581" s="5">
        <v>3</v>
      </c>
      <c r="E581" s="5">
        <v>2010</v>
      </c>
      <c r="F581" s="5" t="s">
        <v>17</v>
      </c>
      <c r="G581" s="5" t="s">
        <v>6</v>
      </c>
      <c r="H581" s="7">
        <v>840</v>
      </c>
      <c r="I581" s="7">
        <v>911.24</v>
      </c>
      <c r="J581" s="7">
        <v>71.240000000000009</v>
      </c>
      <c r="K581" s="8">
        <v>8.4809523809523821E-2</v>
      </c>
    </row>
    <row r="582" spans="1:11" x14ac:dyDescent="0.3">
      <c r="A582" s="5" t="s">
        <v>45</v>
      </c>
      <c r="B582" s="6">
        <v>40246</v>
      </c>
      <c r="C582" s="5">
        <v>11</v>
      </c>
      <c r="D582" s="5">
        <v>3</v>
      </c>
      <c r="E582" s="5">
        <v>2010</v>
      </c>
      <c r="F582" s="5" t="s">
        <v>18</v>
      </c>
      <c r="G582" s="5" t="s">
        <v>6</v>
      </c>
      <c r="H582" s="7">
        <v>1470</v>
      </c>
      <c r="I582" s="7">
        <v>1575.34</v>
      </c>
      <c r="J582" s="7">
        <v>105.33999999999992</v>
      </c>
      <c r="K582" s="8">
        <v>7.1659863945578176E-2</v>
      </c>
    </row>
    <row r="583" spans="1:11" x14ac:dyDescent="0.3">
      <c r="A583" s="5" t="s">
        <v>45</v>
      </c>
      <c r="B583" s="6">
        <v>40246</v>
      </c>
      <c r="C583" s="5">
        <v>11</v>
      </c>
      <c r="D583" s="5">
        <v>3</v>
      </c>
      <c r="E583" s="5">
        <v>2010</v>
      </c>
      <c r="F583" s="5" t="s">
        <v>19</v>
      </c>
      <c r="G583" s="5" t="s">
        <v>5</v>
      </c>
      <c r="H583" s="7">
        <v>84720.02</v>
      </c>
      <c r="I583" s="7">
        <v>94189.09</v>
      </c>
      <c r="J583" s="7">
        <v>9469.0699999999924</v>
      </c>
      <c r="K583" s="8">
        <v>0.1117689773916483</v>
      </c>
    </row>
    <row r="584" spans="1:11" x14ac:dyDescent="0.3">
      <c r="A584" s="5" t="s">
        <v>45</v>
      </c>
      <c r="B584" s="6">
        <v>40246</v>
      </c>
      <c r="C584" s="5">
        <v>11</v>
      </c>
      <c r="D584" s="5">
        <v>3</v>
      </c>
      <c r="E584" s="5">
        <v>2010</v>
      </c>
      <c r="F584" s="5" t="s">
        <v>5</v>
      </c>
      <c r="G584" s="5" t="s">
        <v>5</v>
      </c>
      <c r="H584" s="7">
        <v>222419.32</v>
      </c>
      <c r="I584" s="7">
        <v>239071.31</v>
      </c>
      <c r="J584" s="7">
        <v>16651.989999999991</v>
      </c>
      <c r="K584" s="8">
        <v>7.4867551973452628E-2</v>
      </c>
    </row>
    <row r="585" spans="1:11" x14ac:dyDescent="0.3">
      <c r="A585" s="5" t="s">
        <v>45</v>
      </c>
      <c r="B585" s="6">
        <v>40246</v>
      </c>
      <c r="C585" s="5">
        <v>11</v>
      </c>
      <c r="D585" s="5">
        <v>3</v>
      </c>
      <c r="E585" s="5">
        <v>2010</v>
      </c>
      <c r="F585" s="5" t="s">
        <v>20</v>
      </c>
      <c r="G585" s="5" t="s">
        <v>5</v>
      </c>
      <c r="H585" s="7">
        <v>80362.070000000007</v>
      </c>
      <c r="I585" s="7">
        <v>86459.95</v>
      </c>
      <c r="J585" s="7">
        <v>6097.8799999999901</v>
      </c>
      <c r="K585" s="8">
        <v>7.5880076259857293E-2</v>
      </c>
    </row>
    <row r="586" spans="1:11" x14ac:dyDescent="0.3">
      <c r="A586" s="5" t="s">
        <v>45</v>
      </c>
      <c r="B586" s="6">
        <v>40246</v>
      </c>
      <c r="C586" s="5">
        <v>11</v>
      </c>
      <c r="D586" s="5">
        <v>3</v>
      </c>
      <c r="E586" s="5">
        <v>2010</v>
      </c>
      <c r="F586" s="5" t="s">
        <v>21</v>
      </c>
      <c r="G586" s="5" t="s">
        <v>5</v>
      </c>
      <c r="H586" s="7">
        <v>91200</v>
      </c>
      <c r="I586" s="7">
        <v>98564.57</v>
      </c>
      <c r="J586" s="7">
        <v>7364.570000000007</v>
      </c>
      <c r="K586" s="8">
        <v>8.07518640350878E-2</v>
      </c>
    </row>
    <row r="587" spans="1:11" x14ac:dyDescent="0.3">
      <c r="A587" s="5" t="s">
        <v>45</v>
      </c>
      <c r="B587" s="6">
        <v>40246</v>
      </c>
      <c r="C587" s="5">
        <v>11</v>
      </c>
      <c r="D587" s="5">
        <v>3</v>
      </c>
      <c r="E587" s="5">
        <v>2010</v>
      </c>
      <c r="F587" s="5" t="s">
        <v>22</v>
      </c>
      <c r="G587" s="5" t="s">
        <v>8</v>
      </c>
      <c r="H587" s="7">
        <v>164222</v>
      </c>
      <c r="I587" s="7">
        <v>179530.38</v>
      </c>
      <c r="J587" s="7">
        <v>15308.380000000005</v>
      </c>
      <c r="K587" s="8">
        <v>9.3217595693634261E-2</v>
      </c>
    </row>
    <row r="588" spans="1:11" x14ac:dyDescent="0.3">
      <c r="A588" s="5" t="s">
        <v>45</v>
      </c>
      <c r="B588" s="6">
        <v>40246</v>
      </c>
      <c r="C588" s="5">
        <v>11</v>
      </c>
      <c r="D588" s="5">
        <v>3</v>
      </c>
      <c r="E588" s="5">
        <v>2010</v>
      </c>
      <c r="F588" s="5" t="s">
        <v>23</v>
      </c>
      <c r="G588" s="5" t="s">
        <v>8</v>
      </c>
      <c r="H588" s="7">
        <v>98825.3</v>
      </c>
      <c r="I588" s="7">
        <v>104278.57</v>
      </c>
      <c r="J588" s="7">
        <v>5453.2700000000041</v>
      </c>
      <c r="K588" s="8">
        <v>5.51809101515503E-2</v>
      </c>
    </row>
    <row r="589" spans="1:11" x14ac:dyDescent="0.3">
      <c r="A589" s="5" t="s">
        <v>45</v>
      </c>
      <c r="B589" s="6">
        <v>40246</v>
      </c>
      <c r="C589" s="5">
        <v>11</v>
      </c>
      <c r="D589" s="5">
        <v>3</v>
      </c>
      <c r="E589" s="5">
        <v>2010</v>
      </c>
      <c r="F589" s="5" t="s">
        <v>24</v>
      </c>
      <c r="G589" s="5" t="s">
        <v>8</v>
      </c>
      <c r="H589" s="7">
        <v>58394</v>
      </c>
      <c r="I589" s="7">
        <v>64277.13</v>
      </c>
      <c r="J589" s="7">
        <v>5883.1299999999974</v>
      </c>
      <c r="K589" s="8">
        <v>0.10074887830941531</v>
      </c>
    </row>
    <row r="590" spans="1:11" x14ac:dyDescent="0.3">
      <c r="A590" s="5" t="s">
        <v>45</v>
      </c>
      <c r="B590" s="6">
        <v>40246</v>
      </c>
      <c r="C590" s="5">
        <v>11</v>
      </c>
      <c r="D590" s="5">
        <v>3</v>
      </c>
      <c r="E590" s="5">
        <v>2010</v>
      </c>
      <c r="F590" s="5" t="s">
        <v>25</v>
      </c>
      <c r="G590" s="5" t="s">
        <v>8</v>
      </c>
      <c r="H590" s="7">
        <v>19746.55</v>
      </c>
      <c r="I590" s="7">
        <v>21826.7</v>
      </c>
      <c r="J590" s="7">
        <v>2080.1500000000015</v>
      </c>
      <c r="K590" s="8">
        <v>0.10534245222583193</v>
      </c>
    </row>
    <row r="591" spans="1:11" x14ac:dyDescent="0.3">
      <c r="A591" s="5" t="s">
        <v>45</v>
      </c>
      <c r="B591" s="6">
        <v>40246</v>
      </c>
      <c r="C591" s="5">
        <v>11</v>
      </c>
      <c r="D591" s="5">
        <v>3</v>
      </c>
      <c r="E591" s="5">
        <v>2010</v>
      </c>
      <c r="F591" s="5" t="s">
        <v>26</v>
      </c>
      <c r="G591" s="5" t="s">
        <v>10</v>
      </c>
      <c r="H591" s="7">
        <v>5912.33</v>
      </c>
      <c r="I591" s="7">
        <v>6661.11</v>
      </c>
      <c r="J591" s="7">
        <v>748.77999999999975</v>
      </c>
      <c r="K591" s="8">
        <v>0.12664719323853704</v>
      </c>
    </row>
    <row r="592" spans="1:11" x14ac:dyDescent="0.3">
      <c r="A592" s="5" t="s">
        <v>45</v>
      </c>
      <c r="B592" s="6">
        <v>40246</v>
      </c>
      <c r="C592" s="5">
        <v>11</v>
      </c>
      <c r="D592" s="5">
        <v>3</v>
      </c>
      <c r="E592" s="5">
        <v>2010</v>
      </c>
      <c r="F592" s="5" t="s">
        <v>27</v>
      </c>
      <c r="G592" s="5" t="s">
        <v>10</v>
      </c>
      <c r="H592" s="7">
        <v>72854.09</v>
      </c>
      <c r="I592" s="7">
        <v>82614.66</v>
      </c>
      <c r="J592" s="7">
        <v>9760.570000000007</v>
      </c>
      <c r="K592" s="8">
        <v>0.13397422162571804</v>
      </c>
    </row>
    <row r="593" spans="1:11" x14ac:dyDescent="0.3">
      <c r="A593" s="5" t="s">
        <v>45</v>
      </c>
      <c r="B593" s="6">
        <v>40246</v>
      </c>
      <c r="C593" s="5">
        <v>11</v>
      </c>
      <c r="D593" s="5">
        <v>3</v>
      </c>
      <c r="E593" s="5">
        <v>2010</v>
      </c>
      <c r="F593" s="5" t="s">
        <v>28</v>
      </c>
      <c r="G593" s="5" t="s">
        <v>10</v>
      </c>
      <c r="H593" s="7">
        <v>48325.35</v>
      </c>
      <c r="I593" s="7">
        <v>54738.49</v>
      </c>
      <c r="J593" s="7">
        <v>6413.1399999999994</v>
      </c>
      <c r="K593" s="8">
        <v>0.1327075748028726</v>
      </c>
    </row>
    <row r="594" spans="1:11" x14ac:dyDescent="0.3">
      <c r="A594" s="5" t="s">
        <v>45</v>
      </c>
      <c r="B594" s="6">
        <v>40246</v>
      </c>
      <c r="C594" s="5">
        <v>11</v>
      </c>
      <c r="D594" s="5">
        <v>3</v>
      </c>
      <c r="E594" s="5">
        <v>2010</v>
      </c>
      <c r="F594" s="5" t="s">
        <v>29</v>
      </c>
      <c r="G594" s="5" t="s">
        <v>10</v>
      </c>
      <c r="H594" s="7">
        <v>539734.59</v>
      </c>
      <c r="I594" s="7">
        <v>586254.34</v>
      </c>
      <c r="J594" s="7">
        <v>46519.75</v>
      </c>
      <c r="K594" s="8">
        <v>8.6190047593577429E-2</v>
      </c>
    </row>
    <row r="595" spans="1:11" x14ac:dyDescent="0.3">
      <c r="A595" s="5" t="s">
        <v>45</v>
      </c>
      <c r="B595" s="6">
        <v>40246</v>
      </c>
      <c r="C595" s="5">
        <v>11</v>
      </c>
      <c r="D595" s="5">
        <v>3</v>
      </c>
      <c r="E595" s="5">
        <v>2010</v>
      </c>
      <c r="F595" s="5" t="s">
        <v>30</v>
      </c>
      <c r="G595" s="5" t="s">
        <v>10</v>
      </c>
      <c r="H595" s="7">
        <v>92599.86</v>
      </c>
      <c r="I595" s="7">
        <v>104121.83</v>
      </c>
      <c r="J595" s="7">
        <v>11521.970000000001</v>
      </c>
      <c r="K595" s="8">
        <v>0.12442750993360034</v>
      </c>
    </row>
    <row r="596" spans="1:11" x14ac:dyDescent="0.3">
      <c r="A596" s="5" t="s">
        <v>45</v>
      </c>
      <c r="B596" s="6">
        <v>40246</v>
      </c>
      <c r="C596" s="5">
        <v>11</v>
      </c>
      <c r="D596" s="5">
        <v>3</v>
      </c>
      <c r="E596" s="5">
        <v>2010</v>
      </c>
      <c r="F596" s="5" t="s">
        <v>31</v>
      </c>
      <c r="G596" s="5" t="s">
        <v>7</v>
      </c>
      <c r="H596" s="7">
        <v>3653.14</v>
      </c>
      <c r="I596" s="7">
        <v>4184.1400000000003</v>
      </c>
      <c r="J596" s="7">
        <v>531.00000000000045</v>
      </c>
      <c r="K596" s="8">
        <v>0.14535440744126985</v>
      </c>
    </row>
    <row r="597" spans="1:11" x14ac:dyDescent="0.3">
      <c r="A597" s="5" t="s">
        <v>45</v>
      </c>
      <c r="B597" s="6">
        <v>40246</v>
      </c>
      <c r="C597" s="5">
        <v>11</v>
      </c>
      <c r="D597" s="5">
        <v>3</v>
      </c>
      <c r="E597" s="5">
        <v>2010</v>
      </c>
      <c r="F597" s="5" t="s">
        <v>32</v>
      </c>
      <c r="G597" s="5" t="s">
        <v>7</v>
      </c>
      <c r="H597" s="7">
        <v>12474.29</v>
      </c>
      <c r="I597" s="7">
        <v>14341.08</v>
      </c>
      <c r="J597" s="7">
        <v>1866.7899999999991</v>
      </c>
      <c r="K597" s="8">
        <v>0.14965100218128638</v>
      </c>
    </row>
    <row r="598" spans="1:11" x14ac:dyDescent="0.3">
      <c r="A598" s="5" t="s">
        <v>45</v>
      </c>
      <c r="B598" s="6">
        <v>40246</v>
      </c>
      <c r="C598" s="5">
        <v>11</v>
      </c>
      <c r="D598" s="5">
        <v>3</v>
      </c>
      <c r="E598" s="5">
        <v>2010</v>
      </c>
      <c r="F598" s="5" t="s">
        <v>33</v>
      </c>
      <c r="G598" s="5" t="s">
        <v>7</v>
      </c>
      <c r="H598" s="7">
        <v>192874.03</v>
      </c>
      <c r="I598" s="7">
        <v>265810.62</v>
      </c>
      <c r="J598" s="7">
        <v>72936.59</v>
      </c>
      <c r="K598" s="8">
        <v>0.37815661341239148</v>
      </c>
    </row>
    <row r="599" spans="1:11" x14ac:dyDescent="0.3">
      <c r="A599" s="5" t="s">
        <v>45</v>
      </c>
      <c r="B599" s="6">
        <v>40246</v>
      </c>
      <c r="C599" s="5">
        <v>11</v>
      </c>
      <c r="D599" s="5">
        <v>3</v>
      </c>
      <c r="E599" s="5">
        <v>2010</v>
      </c>
      <c r="F599" s="5" t="s">
        <v>34</v>
      </c>
      <c r="G599" s="5" t="s">
        <v>7</v>
      </c>
      <c r="H599" s="7">
        <v>608</v>
      </c>
      <c r="I599" s="7">
        <v>759.27</v>
      </c>
      <c r="J599" s="7">
        <v>151.26999999999998</v>
      </c>
      <c r="K599" s="8">
        <v>0.24879934210526314</v>
      </c>
    </row>
    <row r="600" spans="1:11" x14ac:dyDescent="0.3">
      <c r="A600" s="5" t="s">
        <v>45</v>
      </c>
      <c r="B600" s="6">
        <v>40246</v>
      </c>
      <c r="C600" s="5">
        <v>11</v>
      </c>
      <c r="D600" s="5">
        <v>3</v>
      </c>
      <c r="E600" s="5">
        <v>2010</v>
      </c>
      <c r="F600" s="5" t="s">
        <v>35</v>
      </c>
      <c r="G600" s="5" t="s">
        <v>11</v>
      </c>
      <c r="H600" s="7">
        <v>1382.52</v>
      </c>
      <c r="I600" s="7">
        <v>1795.53</v>
      </c>
      <c r="J600" s="7">
        <v>413.01</v>
      </c>
      <c r="K600" s="8">
        <v>0.29873708879437549</v>
      </c>
    </row>
    <row r="601" spans="1:11" x14ac:dyDescent="0.3">
      <c r="A601" s="5" t="s">
        <v>45</v>
      </c>
      <c r="B601" s="6">
        <v>40246</v>
      </c>
      <c r="C601" s="5">
        <v>11</v>
      </c>
      <c r="D601" s="5">
        <v>3</v>
      </c>
      <c r="E601" s="5">
        <v>2010</v>
      </c>
      <c r="F601" s="5" t="s">
        <v>36</v>
      </c>
      <c r="G601" s="5" t="s">
        <v>11</v>
      </c>
      <c r="H601" s="7">
        <v>114067.32</v>
      </c>
      <c r="I601" s="7">
        <v>124481.26</v>
      </c>
      <c r="J601" s="7">
        <v>10413.939999999988</v>
      </c>
      <c r="K601" s="8">
        <v>9.1296437928058513E-2</v>
      </c>
    </row>
    <row r="602" spans="1:11" x14ac:dyDescent="0.3">
      <c r="A602" s="5" t="s">
        <v>45</v>
      </c>
      <c r="B602" s="6">
        <v>40246</v>
      </c>
      <c r="C602" s="5">
        <v>11</v>
      </c>
      <c r="D602" s="5">
        <v>3</v>
      </c>
      <c r="E602" s="5">
        <v>2010</v>
      </c>
      <c r="F602" s="5" t="s">
        <v>37</v>
      </c>
      <c r="G602" s="5" t="s">
        <v>11</v>
      </c>
      <c r="H602" s="7">
        <v>250926.25</v>
      </c>
      <c r="I602" s="7">
        <v>267112.01</v>
      </c>
      <c r="J602" s="7">
        <v>16185.760000000009</v>
      </c>
      <c r="K602" s="8">
        <v>6.4504052485541113E-2</v>
      </c>
    </row>
    <row r="603" spans="1:11" x14ac:dyDescent="0.3">
      <c r="A603" s="5" t="s">
        <v>45</v>
      </c>
      <c r="B603" s="6">
        <v>40246</v>
      </c>
      <c r="C603" s="5">
        <v>11</v>
      </c>
      <c r="D603" s="5">
        <v>3</v>
      </c>
      <c r="E603" s="5">
        <v>2010</v>
      </c>
      <c r="F603" s="5" t="s">
        <v>38</v>
      </c>
      <c r="G603" s="5" t="s">
        <v>11</v>
      </c>
      <c r="H603" s="7">
        <v>198108.9</v>
      </c>
      <c r="I603" s="7">
        <v>205511.54</v>
      </c>
      <c r="J603" s="7">
        <v>7402.640000000014</v>
      </c>
      <c r="K603" s="8">
        <v>3.7366519121553927E-2</v>
      </c>
    </row>
    <row r="604" spans="1:11" x14ac:dyDescent="0.3">
      <c r="A604" s="5" t="s">
        <v>45</v>
      </c>
      <c r="B604" s="6">
        <v>40247</v>
      </c>
      <c r="C604" s="5">
        <v>11</v>
      </c>
      <c r="D604" s="5">
        <v>3</v>
      </c>
      <c r="E604" s="5">
        <v>2010</v>
      </c>
      <c r="F604" s="5" t="s">
        <v>14</v>
      </c>
      <c r="G604" s="5" t="s">
        <v>6</v>
      </c>
      <c r="H604" s="7">
        <v>7157</v>
      </c>
      <c r="I604" s="7">
        <v>8845.68</v>
      </c>
      <c r="J604" s="7">
        <v>1688.6800000000003</v>
      </c>
      <c r="K604" s="8">
        <v>0.23594802291462907</v>
      </c>
    </row>
    <row r="605" spans="1:11" x14ac:dyDescent="0.3">
      <c r="A605" s="5" t="s">
        <v>45</v>
      </c>
      <c r="B605" s="6">
        <v>40247</v>
      </c>
      <c r="C605" s="5">
        <v>11</v>
      </c>
      <c r="D605" s="5">
        <v>3</v>
      </c>
      <c r="E605" s="5">
        <v>2010</v>
      </c>
      <c r="F605" s="5" t="s">
        <v>15</v>
      </c>
      <c r="G605" s="5" t="s">
        <v>6</v>
      </c>
      <c r="H605" s="7">
        <v>64351.73</v>
      </c>
      <c r="I605" s="7">
        <v>111312.36</v>
      </c>
      <c r="J605" s="7">
        <v>46960.63</v>
      </c>
      <c r="K605" s="8">
        <v>0.72974930122313719</v>
      </c>
    </row>
    <row r="606" spans="1:11" x14ac:dyDescent="0.3">
      <c r="A606" s="5" t="s">
        <v>45</v>
      </c>
      <c r="B606" s="6">
        <v>40247</v>
      </c>
      <c r="C606" s="5">
        <v>11</v>
      </c>
      <c r="D606" s="5">
        <v>3</v>
      </c>
      <c r="E606" s="5">
        <v>2010</v>
      </c>
      <c r="F606" s="5" t="s">
        <v>16</v>
      </c>
      <c r="G606" s="5" t="s">
        <v>6</v>
      </c>
      <c r="H606" s="7">
        <v>24265.65</v>
      </c>
      <c r="I606" s="7">
        <v>26529.25</v>
      </c>
      <c r="J606" s="7">
        <v>2263.5999999999985</v>
      </c>
      <c r="K606" s="8">
        <v>9.3284127975141753E-2</v>
      </c>
    </row>
    <row r="607" spans="1:11" x14ac:dyDescent="0.3">
      <c r="A607" s="5" t="s">
        <v>45</v>
      </c>
      <c r="B607" s="6">
        <v>40247</v>
      </c>
      <c r="C607" s="5">
        <v>11</v>
      </c>
      <c r="D607" s="5">
        <v>3</v>
      </c>
      <c r="E607" s="5">
        <v>2010</v>
      </c>
      <c r="F607" s="5" t="s">
        <v>17</v>
      </c>
      <c r="G607" s="5" t="s">
        <v>6</v>
      </c>
      <c r="H607" s="7">
        <v>574</v>
      </c>
      <c r="I607" s="7">
        <v>585.4</v>
      </c>
      <c r="J607" s="7">
        <v>11.399999999999977</v>
      </c>
      <c r="K607" s="8">
        <v>1.9860627177700308E-2</v>
      </c>
    </row>
    <row r="608" spans="1:11" x14ac:dyDescent="0.3">
      <c r="A608" s="5" t="s">
        <v>45</v>
      </c>
      <c r="B608" s="6">
        <v>40247</v>
      </c>
      <c r="C608" s="5">
        <v>11</v>
      </c>
      <c r="D608" s="5">
        <v>3</v>
      </c>
      <c r="E608" s="5">
        <v>2010</v>
      </c>
      <c r="F608" s="5" t="s">
        <v>18</v>
      </c>
      <c r="G608" s="5" t="s">
        <v>6</v>
      </c>
      <c r="H608" s="7">
        <v>1452</v>
      </c>
      <c r="I608" s="7">
        <v>1668.96</v>
      </c>
      <c r="J608" s="7">
        <v>216.96000000000004</v>
      </c>
      <c r="K608" s="8">
        <v>0.14942148760330581</v>
      </c>
    </row>
    <row r="609" spans="1:11" x14ac:dyDescent="0.3">
      <c r="A609" s="5" t="s">
        <v>45</v>
      </c>
      <c r="B609" s="6">
        <v>40247</v>
      </c>
      <c r="C609" s="5">
        <v>11</v>
      </c>
      <c r="D609" s="5">
        <v>3</v>
      </c>
      <c r="E609" s="5">
        <v>2010</v>
      </c>
      <c r="F609" s="5" t="s">
        <v>19</v>
      </c>
      <c r="G609" s="5" t="s">
        <v>5</v>
      </c>
      <c r="H609" s="7">
        <v>88756.02</v>
      </c>
      <c r="I609" s="7">
        <v>97979.58</v>
      </c>
      <c r="J609" s="7">
        <v>9223.5599999999977</v>
      </c>
      <c r="K609" s="8">
        <v>0.10392038759737082</v>
      </c>
    </row>
    <row r="610" spans="1:11" x14ac:dyDescent="0.3">
      <c r="A610" s="5" t="s">
        <v>45</v>
      </c>
      <c r="B610" s="6">
        <v>40247</v>
      </c>
      <c r="C610" s="5">
        <v>11</v>
      </c>
      <c r="D610" s="5">
        <v>3</v>
      </c>
      <c r="E610" s="5">
        <v>2010</v>
      </c>
      <c r="F610" s="5" t="s">
        <v>5</v>
      </c>
      <c r="G610" s="5" t="s">
        <v>5</v>
      </c>
      <c r="H610" s="7">
        <v>321355.17</v>
      </c>
      <c r="I610" s="7">
        <v>346593.88</v>
      </c>
      <c r="J610" s="7">
        <v>25238.710000000021</v>
      </c>
      <c r="K610" s="8">
        <v>7.8538366132401172E-2</v>
      </c>
    </row>
    <row r="611" spans="1:11" x14ac:dyDescent="0.3">
      <c r="A611" s="5" t="s">
        <v>45</v>
      </c>
      <c r="B611" s="6">
        <v>40247</v>
      </c>
      <c r="C611" s="5">
        <v>11</v>
      </c>
      <c r="D611" s="5">
        <v>3</v>
      </c>
      <c r="E611" s="5">
        <v>2010</v>
      </c>
      <c r="F611" s="5" t="s">
        <v>20</v>
      </c>
      <c r="G611" s="5" t="s">
        <v>5</v>
      </c>
      <c r="H611" s="7">
        <v>96686.16</v>
      </c>
      <c r="I611" s="7">
        <v>104861.2</v>
      </c>
      <c r="J611" s="7">
        <v>8175.0399999999936</v>
      </c>
      <c r="K611" s="8">
        <v>8.4552328895883266E-2</v>
      </c>
    </row>
    <row r="612" spans="1:11" x14ac:dyDescent="0.3">
      <c r="A612" s="5" t="s">
        <v>45</v>
      </c>
      <c r="B612" s="6">
        <v>40247</v>
      </c>
      <c r="C612" s="5">
        <v>11</v>
      </c>
      <c r="D612" s="5">
        <v>3</v>
      </c>
      <c r="E612" s="5">
        <v>2010</v>
      </c>
      <c r="F612" s="5" t="s">
        <v>21</v>
      </c>
      <c r="G612" s="5" t="s">
        <v>5</v>
      </c>
      <c r="H612" s="7">
        <v>117490.61</v>
      </c>
      <c r="I612" s="7">
        <v>128424</v>
      </c>
      <c r="J612" s="7">
        <v>10933.39</v>
      </c>
      <c r="K612" s="8">
        <v>9.3057564344929344E-2</v>
      </c>
    </row>
    <row r="613" spans="1:11" x14ac:dyDescent="0.3">
      <c r="A613" s="5" t="s">
        <v>45</v>
      </c>
      <c r="B613" s="6">
        <v>40247</v>
      </c>
      <c r="C613" s="5">
        <v>11</v>
      </c>
      <c r="D613" s="5">
        <v>3</v>
      </c>
      <c r="E613" s="5">
        <v>2010</v>
      </c>
      <c r="F613" s="5" t="s">
        <v>22</v>
      </c>
      <c r="G613" s="5" t="s">
        <v>8</v>
      </c>
      <c r="H613" s="7">
        <v>185926</v>
      </c>
      <c r="I613" s="7">
        <v>201132.71</v>
      </c>
      <c r="J613" s="7">
        <v>15206.709999999992</v>
      </c>
      <c r="K613" s="8">
        <v>8.1789045103966049E-2</v>
      </c>
    </row>
    <row r="614" spans="1:11" x14ac:dyDescent="0.3">
      <c r="A614" s="5" t="s">
        <v>45</v>
      </c>
      <c r="B614" s="6">
        <v>40247</v>
      </c>
      <c r="C614" s="5">
        <v>11</v>
      </c>
      <c r="D614" s="5">
        <v>3</v>
      </c>
      <c r="E614" s="5">
        <v>2010</v>
      </c>
      <c r="F614" s="5" t="s">
        <v>23</v>
      </c>
      <c r="G614" s="5" t="s">
        <v>8</v>
      </c>
      <c r="H614" s="7">
        <v>128489.9</v>
      </c>
      <c r="I614" s="7">
        <v>134276.56</v>
      </c>
      <c r="J614" s="7">
        <v>5786.6600000000035</v>
      </c>
      <c r="K614" s="8">
        <v>4.5035913328596286E-2</v>
      </c>
    </row>
    <row r="615" spans="1:11" x14ac:dyDescent="0.3">
      <c r="A615" s="5" t="s">
        <v>45</v>
      </c>
      <c r="B615" s="6">
        <v>40247</v>
      </c>
      <c r="C615" s="5">
        <v>11</v>
      </c>
      <c r="D615" s="5">
        <v>3</v>
      </c>
      <c r="E615" s="5">
        <v>2010</v>
      </c>
      <c r="F615" s="5" t="s">
        <v>24</v>
      </c>
      <c r="G615" s="5" t="s">
        <v>8</v>
      </c>
      <c r="H615" s="7">
        <v>77604.789999999994</v>
      </c>
      <c r="I615" s="7">
        <v>83153.88</v>
      </c>
      <c r="J615" s="7">
        <v>5549.0900000000111</v>
      </c>
      <c r="K615" s="8">
        <v>7.15044780096694E-2</v>
      </c>
    </row>
    <row r="616" spans="1:11" x14ac:dyDescent="0.3">
      <c r="A616" s="5" t="s">
        <v>45</v>
      </c>
      <c r="B616" s="6">
        <v>40247</v>
      </c>
      <c r="C616" s="5">
        <v>11</v>
      </c>
      <c r="D616" s="5">
        <v>3</v>
      </c>
      <c r="E616" s="5">
        <v>2010</v>
      </c>
      <c r="F616" s="5" t="s">
        <v>25</v>
      </c>
      <c r="G616" s="5" t="s">
        <v>8</v>
      </c>
      <c r="H616" s="7">
        <v>16349.65</v>
      </c>
      <c r="I616" s="7">
        <v>18921.13</v>
      </c>
      <c r="J616" s="7">
        <v>2571.4800000000014</v>
      </c>
      <c r="K616" s="8">
        <v>0.15728043107956449</v>
      </c>
    </row>
    <row r="617" spans="1:11" x14ac:dyDescent="0.3">
      <c r="A617" s="5" t="s">
        <v>45</v>
      </c>
      <c r="B617" s="6">
        <v>40247</v>
      </c>
      <c r="C617" s="5">
        <v>11</v>
      </c>
      <c r="D617" s="5">
        <v>3</v>
      </c>
      <c r="E617" s="5">
        <v>2010</v>
      </c>
      <c r="F617" s="5" t="s">
        <v>26</v>
      </c>
      <c r="G617" s="5" t="s">
        <v>10</v>
      </c>
      <c r="H617" s="7">
        <v>14803.48</v>
      </c>
      <c r="I617" s="7">
        <v>16565.38</v>
      </c>
      <c r="J617" s="7">
        <v>1761.9000000000015</v>
      </c>
      <c r="K617" s="8">
        <v>0.11901931167536292</v>
      </c>
    </row>
    <row r="618" spans="1:11" x14ac:dyDescent="0.3">
      <c r="A618" s="5" t="s">
        <v>45</v>
      </c>
      <c r="B618" s="6">
        <v>40247</v>
      </c>
      <c r="C618" s="5">
        <v>11</v>
      </c>
      <c r="D618" s="5">
        <v>3</v>
      </c>
      <c r="E618" s="5">
        <v>2010</v>
      </c>
      <c r="F618" s="5" t="s">
        <v>27</v>
      </c>
      <c r="G618" s="5" t="s">
        <v>10</v>
      </c>
      <c r="H618" s="7">
        <v>129285.88</v>
      </c>
      <c r="I618" s="7">
        <v>145874.09</v>
      </c>
      <c r="J618" s="7">
        <v>16588.209999999992</v>
      </c>
      <c r="K618" s="8">
        <v>0.12830643222600946</v>
      </c>
    </row>
    <row r="619" spans="1:11" x14ac:dyDescent="0.3">
      <c r="A619" s="5" t="s">
        <v>45</v>
      </c>
      <c r="B619" s="6">
        <v>40247</v>
      </c>
      <c r="C619" s="5">
        <v>11</v>
      </c>
      <c r="D619" s="5">
        <v>3</v>
      </c>
      <c r="E619" s="5">
        <v>2010</v>
      </c>
      <c r="F619" s="5" t="s">
        <v>28</v>
      </c>
      <c r="G619" s="5" t="s">
        <v>10</v>
      </c>
      <c r="H619" s="7">
        <v>103851.41</v>
      </c>
      <c r="I619" s="7">
        <v>115922.07</v>
      </c>
      <c r="J619" s="7">
        <v>12070.660000000003</v>
      </c>
      <c r="K619" s="8">
        <v>0.11623010222008544</v>
      </c>
    </row>
    <row r="620" spans="1:11" x14ac:dyDescent="0.3">
      <c r="A620" s="5" t="s">
        <v>45</v>
      </c>
      <c r="B620" s="6">
        <v>40247</v>
      </c>
      <c r="C620" s="5">
        <v>11</v>
      </c>
      <c r="D620" s="5">
        <v>3</v>
      </c>
      <c r="E620" s="5">
        <v>2010</v>
      </c>
      <c r="F620" s="5" t="s">
        <v>29</v>
      </c>
      <c r="G620" s="5" t="s">
        <v>10</v>
      </c>
      <c r="H620" s="7">
        <v>720918.08</v>
      </c>
      <c r="I620" s="7">
        <v>783470.15</v>
      </c>
      <c r="J620" s="7">
        <v>62552.070000000065</v>
      </c>
      <c r="K620" s="8">
        <v>8.6767237131852859E-2</v>
      </c>
    </row>
    <row r="621" spans="1:11" x14ac:dyDescent="0.3">
      <c r="A621" s="5" t="s">
        <v>45</v>
      </c>
      <c r="B621" s="6">
        <v>40247</v>
      </c>
      <c r="C621" s="5">
        <v>11</v>
      </c>
      <c r="D621" s="5">
        <v>3</v>
      </c>
      <c r="E621" s="5">
        <v>2010</v>
      </c>
      <c r="F621" s="5" t="s">
        <v>30</v>
      </c>
      <c r="G621" s="5" t="s">
        <v>10</v>
      </c>
      <c r="H621" s="7">
        <v>140399.4</v>
      </c>
      <c r="I621" s="7">
        <v>158233.14000000001</v>
      </c>
      <c r="J621" s="7">
        <v>17833.74000000002</v>
      </c>
      <c r="K621" s="8">
        <v>0.12702148299779073</v>
      </c>
    </row>
    <row r="622" spans="1:11" x14ac:dyDescent="0.3">
      <c r="A622" s="5" t="s">
        <v>45</v>
      </c>
      <c r="B622" s="6">
        <v>40247</v>
      </c>
      <c r="C622" s="5">
        <v>11</v>
      </c>
      <c r="D622" s="5">
        <v>3</v>
      </c>
      <c r="E622" s="5">
        <v>2010</v>
      </c>
      <c r="F622" s="5" t="s">
        <v>31</v>
      </c>
      <c r="G622" s="5" t="s">
        <v>7</v>
      </c>
      <c r="H622" s="7">
        <v>7481.46</v>
      </c>
      <c r="I622" s="7">
        <v>8228.08</v>
      </c>
      <c r="J622" s="7">
        <v>746.61999999999989</v>
      </c>
      <c r="K622" s="8">
        <v>9.9796029117311308E-2</v>
      </c>
    </row>
    <row r="623" spans="1:11" x14ac:dyDescent="0.3">
      <c r="A623" s="5" t="s">
        <v>45</v>
      </c>
      <c r="B623" s="6">
        <v>40247</v>
      </c>
      <c r="C623" s="5">
        <v>11</v>
      </c>
      <c r="D623" s="5">
        <v>3</v>
      </c>
      <c r="E623" s="5">
        <v>2010</v>
      </c>
      <c r="F623" s="5" t="s">
        <v>32</v>
      </c>
      <c r="G623" s="5" t="s">
        <v>7</v>
      </c>
      <c r="H623" s="7">
        <v>13808.82</v>
      </c>
      <c r="I623" s="7">
        <v>15877.01</v>
      </c>
      <c r="J623" s="7">
        <v>2068.1900000000005</v>
      </c>
      <c r="K623" s="8">
        <v>0.14977311602294768</v>
      </c>
    </row>
    <row r="624" spans="1:11" x14ac:dyDescent="0.3">
      <c r="A624" s="5" t="s">
        <v>45</v>
      </c>
      <c r="B624" s="6">
        <v>40247</v>
      </c>
      <c r="C624" s="5">
        <v>11</v>
      </c>
      <c r="D624" s="5">
        <v>3</v>
      </c>
      <c r="E624" s="5">
        <v>2010</v>
      </c>
      <c r="F624" s="5" t="s">
        <v>33</v>
      </c>
      <c r="G624" s="5" t="s">
        <v>7</v>
      </c>
      <c r="H624" s="7">
        <v>184506.76</v>
      </c>
      <c r="I624" s="7">
        <v>259584.13</v>
      </c>
      <c r="J624" s="7">
        <v>75077.37</v>
      </c>
      <c r="K624" s="8">
        <v>0.40690850568293535</v>
      </c>
    </row>
    <row r="625" spans="1:11" x14ac:dyDescent="0.3">
      <c r="A625" s="5" t="s">
        <v>45</v>
      </c>
      <c r="B625" s="6">
        <v>40247</v>
      </c>
      <c r="C625" s="5">
        <v>11</v>
      </c>
      <c r="D625" s="5">
        <v>3</v>
      </c>
      <c r="E625" s="5">
        <v>2010</v>
      </c>
      <c r="F625" s="5" t="s">
        <v>34</v>
      </c>
      <c r="G625" s="5" t="s">
        <v>7</v>
      </c>
      <c r="H625" s="7">
        <v>76</v>
      </c>
      <c r="I625" s="7">
        <v>94.89</v>
      </c>
      <c r="J625" s="7">
        <v>18.89</v>
      </c>
      <c r="K625" s="8">
        <v>0.24855263157894739</v>
      </c>
    </row>
    <row r="626" spans="1:11" x14ac:dyDescent="0.3">
      <c r="A626" s="5" t="s">
        <v>45</v>
      </c>
      <c r="B626" s="6">
        <v>40247</v>
      </c>
      <c r="C626" s="5">
        <v>11</v>
      </c>
      <c r="D626" s="5">
        <v>3</v>
      </c>
      <c r="E626" s="5">
        <v>2010</v>
      </c>
      <c r="F626" s="5" t="s">
        <v>35</v>
      </c>
      <c r="G626" s="5" t="s">
        <v>11</v>
      </c>
      <c r="H626" s="7">
        <v>2212.36</v>
      </c>
      <c r="I626" s="7">
        <v>2874.73</v>
      </c>
      <c r="J626" s="7">
        <v>662.36999999999989</v>
      </c>
      <c r="K626" s="8">
        <v>0.29939521596846802</v>
      </c>
    </row>
    <row r="627" spans="1:11" x14ac:dyDescent="0.3">
      <c r="A627" s="5" t="s">
        <v>45</v>
      </c>
      <c r="B627" s="6">
        <v>40247</v>
      </c>
      <c r="C627" s="5">
        <v>11</v>
      </c>
      <c r="D627" s="5">
        <v>3</v>
      </c>
      <c r="E627" s="5">
        <v>2010</v>
      </c>
      <c r="F627" s="5" t="s">
        <v>36</v>
      </c>
      <c r="G627" s="5" t="s">
        <v>11</v>
      </c>
      <c r="H627" s="7">
        <v>147198.65</v>
      </c>
      <c r="I627" s="7">
        <v>157787.72</v>
      </c>
      <c r="J627" s="7">
        <v>10589.070000000007</v>
      </c>
      <c r="K627" s="8">
        <v>7.1937276598664501E-2</v>
      </c>
    </row>
    <row r="628" spans="1:11" x14ac:dyDescent="0.3">
      <c r="A628" s="5" t="s">
        <v>45</v>
      </c>
      <c r="B628" s="6">
        <v>40247</v>
      </c>
      <c r="C628" s="5">
        <v>11</v>
      </c>
      <c r="D628" s="5">
        <v>3</v>
      </c>
      <c r="E628" s="5">
        <v>2010</v>
      </c>
      <c r="F628" s="5" t="s">
        <v>37</v>
      </c>
      <c r="G628" s="5" t="s">
        <v>11</v>
      </c>
      <c r="H628" s="7">
        <v>352661.23</v>
      </c>
      <c r="I628" s="7">
        <v>376547.42</v>
      </c>
      <c r="J628" s="7">
        <v>23886.190000000002</v>
      </c>
      <c r="K628" s="8">
        <v>6.7731261528237746E-2</v>
      </c>
    </row>
    <row r="629" spans="1:11" x14ac:dyDescent="0.3">
      <c r="A629" s="5" t="s">
        <v>45</v>
      </c>
      <c r="B629" s="6">
        <v>40247</v>
      </c>
      <c r="C629" s="5">
        <v>11</v>
      </c>
      <c r="D629" s="5">
        <v>3</v>
      </c>
      <c r="E629" s="5">
        <v>2010</v>
      </c>
      <c r="F629" s="5" t="s">
        <v>38</v>
      </c>
      <c r="G629" s="5" t="s">
        <v>11</v>
      </c>
      <c r="H629" s="7">
        <v>217267.46</v>
      </c>
      <c r="I629" s="7">
        <v>226754.56</v>
      </c>
      <c r="J629" s="7">
        <v>9487.1000000000058</v>
      </c>
      <c r="K629" s="8">
        <v>4.3665535556958256E-2</v>
      </c>
    </row>
    <row r="630" spans="1:11" x14ac:dyDescent="0.3">
      <c r="A630" s="5" t="s">
        <v>45</v>
      </c>
      <c r="B630" s="6">
        <v>40248</v>
      </c>
      <c r="C630" s="5">
        <v>11</v>
      </c>
      <c r="D630" s="5">
        <v>3</v>
      </c>
      <c r="E630" s="5">
        <v>2010</v>
      </c>
      <c r="F630" s="5" t="s">
        <v>14</v>
      </c>
      <c r="G630" s="5" t="s">
        <v>6</v>
      </c>
      <c r="H630" s="7">
        <v>11353</v>
      </c>
      <c r="I630" s="7">
        <v>13861.53</v>
      </c>
      <c r="J630" s="7">
        <v>2508.5300000000007</v>
      </c>
      <c r="K630" s="8">
        <v>0.22095745617898357</v>
      </c>
    </row>
    <row r="631" spans="1:11" x14ac:dyDescent="0.3">
      <c r="A631" s="5" t="s">
        <v>45</v>
      </c>
      <c r="B631" s="6">
        <v>40248</v>
      </c>
      <c r="C631" s="5">
        <v>11</v>
      </c>
      <c r="D631" s="5">
        <v>3</v>
      </c>
      <c r="E631" s="5">
        <v>2010</v>
      </c>
      <c r="F631" s="5" t="s">
        <v>15</v>
      </c>
      <c r="G631" s="5" t="s">
        <v>6</v>
      </c>
      <c r="H631" s="7">
        <v>112840.07</v>
      </c>
      <c r="I631" s="7">
        <v>156799.56</v>
      </c>
      <c r="J631" s="7">
        <v>43959.489999999991</v>
      </c>
      <c r="K631" s="8">
        <v>0.38957340242699234</v>
      </c>
    </row>
    <row r="632" spans="1:11" x14ac:dyDescent="0.3">
      <c r="A632" s="5" t="s">
        <v>45</v>
      </c>
      <c r="B632" s="6">
        <v>40248</v>
      </c>
      <c r="C632" s="5">
        <v>11</v>
      </c>
      <c r="D632" s="5">
        <v>3</v>
      </c>
      <c r="E632" s="5">
        <v>2010</v>
      </c>
      <c r="F632" s="5" t="s">
        <v>16</v>
      </c>
      <c r="G632" s="5" t="s">
        <v>6</v>
      </c>
      <c r="H632" s="7">
        <v>67695.960000000006</v>
      </c>
      <c r="I632" s="7">
        <v>71569.37</v>
      </c>
      <c r="J632" s="7">
        <v>3873.4099999999889</v>
      </c>
      <c r="K632" s="8">
        <v>5.7217742388171886E-2</v>
      </c>
    </row>
    <row r="633" spans="1:11" x14ac:dyDescent="0.3">
      <c r="A633" s="5" t="s">
        <v>45</v>
      </c>
      <c r="B633" s="6">
        <v>40248</v>
      </c>
      <c r="C633" s="5">
        <v>11</v>
      </c>
      <c r="D633" s="5">
        <v>3</v>
      </c>
      <c r="E633" s="5">
        <v>2010</v>
      </c>
      <c r="F633" s="5" t="s">
        <v>17</v>
      </c>
      <c r="G633" s="5" t="s">
        <v>6</v>
      </c>
      <c r="H633" s="7">
        <v>1148</v>
      </c>
      <c r="I633" s="7">
        <v>1245.3499999999999</v>
      </c>
      <c r="J633" s="7">
        <v>97.349999999999909</v>
      </c>
      <c r="K633" s="8">
        <v>8.4799651567944168E-2</v>
      </c>
    </row>
    <row r="634" spans="1:11" x14ac:dyDescent="0.3">
      <c r="A634" s="5" t="s">
        <v>45</v>
      </c>
      <c r="B634" s="6">
        <v>40248</v>
      </c>
      <c r="C634" s="5">
        <v>11</v>
      </c>
      <c r="D634" s="5">
        <v>3</v>
      </c>
      <c r="E634" s="5">
        <v>2010</v>
      </c>
      <c r="F634" s="5" t="s">
        <v>18</v>
      </c>
      <c r="G634" s="5" t="s">
        <v>6</v>
      </c>
      <c r="H634" s="7">
        <v>588</v>
      </c>
      <c r="I634" s="7">
        <v>675.85</v>
      </c>
      <c r="J634" s="7">
        <v>87.850000000000023</v>
      </c>
      <c r="K634" s="8">
        <v>0.14940476190476196</v>
      </c>
    </row>
    <row r="635" spans="1:11" x14ac:dyDescent="0.3">
      <c r="A635" s="5" t="s">
        <v>45</v>
      </c>
      <c r="B635" s="6">
        <v>40248</v>
      </c>
      <c r="C635" s="5">
        <v>11</v>
      </c>
      <c r="D635" s="5">
        <v>3</v>
      </c>
      <c r="E635" s="5">
        <v>2010</v>
      </c>
      <c r="F635" s="5" t="s">
        <v>19</v>
      </c>
      <c r="G635" s="5" t="s">
        <v>5</v>
      </c>
      <c r="H635" s="7">
        <v>91378.44</v>
      </c>
      <c r="I635" s="7">
        <v>100725.5</v>
      </c>
      <c r="J635" s="7">
        <v>9347.0599999999977</v>
      </c>
      <c r="K635" s="8">
        <v>0.10228955539184076</v>
      </c>
    </row>
    <row r="636" spans="1:11" x14ac:dyDescent="0.3">
      <c r="A636" s="5" t="s">
        <v>45</v>
      </c>
      <c r="B636" s="6">
        <v>40248</v>
      </c>
      <c r="C636" s="5">
        <v>11</v>
      </c>
      <c r="D636" s="5">
        <v>3</v>
      </c>
      <c r="E636" s="5">
        <v>2010</v>
      </c>
      <c r="F636" s="5" t="s">
        <v>5</v>
      </c>
      <c r="G636" s="5" t="s">
        <v>5</v>
      </c>
      <c r="H636" s="7">
        <v>296888.81</v>
      </c>
      <c r="I636" s="7">
        <v>321701.32</v>
      </c>
      <c r="J636" s="7">
        <v>24812.510000000009</v>
      </c>
      <c r="K636" s="8">
        <v>8.3575093315238144E-2</v>
      </c>
    </row>
    <row r="637" spans="1:11" x14ac:dyDescent="0.3">
      <c r="A637" s="5" t="s">
        <v>45</v>
      </c>
      <c r="B637" s="6">
        <v>40248</v>
      </c>
      <c r="C637" s="5">
        <v>11</v>
      </c>
      <c r="D637" s="5">
        <v>3</v>
      </c>
      <c r="E637" s="5">
        <v>2010</v>
      </c>
      <c r="F637" s="5" t="s">
        <v>20</v>
      </c>
      <c r="G637" s="5" t="s">
        <v>5</v>
      </c>
      <c r="H637" s="7">
        <v>89734.17</v>
      </c>
      <c r="I637" s="7">
        <v>99327.79</v>
      </c>
      <c r="J637" s="7">
        <v>9593.6199999999953</v>
      </c>
      <c r="K637" s="8">
        <v>0.10691155888553931</v>
      </c>
    </row>
    <row r="638" spans="1:11" x14ac:dyDescent="0.3">
      <c r="A638" s="5" t="s">
        <v>45</v>
      </c>
      <c r="B638" s="6">
        <v>40248</v>
      </c>
      <c r="C638" s="5">
        <v>11</v>
      </c>
      <c r="D638" s="5">
        <v>3</v>
      </c>
      <c r="E638" s="5">
        <v>2010</v>
      </c>
      <c r="F638" s="5" t="s">
        <v>21</v>
      </c>
      <c r="G638" s="5" t="s">
        <v>5</v>
      </c>
      <c r="H638" s="7">
        <v>135395.1</v>
      </c>
      <c r="I638" s="7">
        <v>149637.44</v>
      </c>
      <c r="J638" s="7">
        <v>14242.339999999997</v>
      </c>
      <c r="K638" s="8">
        <v>0.10519095595039994</v>
      </c>
    </row>
    <row r="639" spans="1:11" x14ac:dyDescent="0.3">
      <c r="A639" s="5" t="s">
        <v>45</v>
      </c>
      <c r="B639" s="6">
        <v>40248</v>
      </c>
      <c r="C639" s="5">
        <v>11</v>
      </c>
      <c r="D639" s="5">
        <v>3</v>
      </c>
      <c r="E639" s="5">
        <v>2010</v>
      </c>
      <c r="F639" s="5" t="s">
        <v>22</v>
      </c>
      <c r="G639" s="5" t="s">
        <v>8</v>
      </c>
      <c r="H639" s="7">
        <v>245236</v>
      </c>
      <c r="I639" s="7">
        <v>270308.13</v>
      </c>
      <c r="J639" s="7">
        <v>25072.130000000005</v>
      </c>
      <c r="K639" s="8">
        <v>0.10223674338188522</v>
      </c>
    </row>
    <row r="640" spans="1:11" x14ac:dyDescent="0.3">
      <c r="A640" s="5" t="s">
        <v>45</v>
      </c>
      <c r="B640" s="6">
        <v>40248</v>
      </c>
      <c r="C640" s="5">
        <v>11</v>
      </c>
      <c r="D640" s="5">
        <v>3</v>
      </c>
      <c r="E640" s="5">
        <v>2010</v>
      </c>
      <c r="F640" s="5" t="s">
        <v>23</v>
      </c>
      <c r="G640" s="5" t="s">
        <v>8</v>
      </c>
      <c r="H640" s="7">
        <v>132816.5</v>
      </c>
      <c r="I640" s="7">
        <v>139562.99</v>
      </c>
      <c r="J640" s="7">
        <v>6746.4899999999907</v>
      </c>
      <c r="K640" s="8">
        <v>5.0795571333380946E-2</v>
      </c>
    </row>
    <row r="641" spans="1:11" x14ac:dyDescent="0.3">
      <c r="A641" s="5" t="s">
        <v>45</v>
      </c>
      <c r="B641" s="6">
        <v>40248</v>
      </c>
      <c r="C641" s="5">
        <v>11</v>
      </c>
      <c r="D641" s="5">
        <v>3</v>
      </c>
      <c r="E641" s="5">
        <v>2010</v>
      </c>
      <c r="F641" s="5" t="s">
        <v>24</v>
      </c>
      <c r="G641" s="5" t="s">
        <v>8</v>
      </c>
      <c r="H641" s="7">
        <v>93506</v>
      </c>
      <c r="I641" s="7">
        <v>100245.27</v>
      </c>
      <c r="J641" s="7">
        <v>6739.2700000000041</v>
      </c>
      <c r="K641" s="8">
        <v>7.2073128997069746E-2</v>
      </c>
    </row>
    <row r="642" spans="1:11" x14ac:dyDescent="0.3">
      <c r="A642" s="5" t="s">
        <v>45</v>
      </c>
      <c r="B642" s="6">
        <v>40248</v>
      </c>
      <c r="C642" s="5">
        <v>11</v>
      </c>
      <c r="D642" s="5">
        <v>3</v>
      </c>
      <c r="E642" s="5">
        <v>2010</v>
      </c>
      <c r="F642" s="5" t="s">
        <v>25</v>
      </c>
      <c r="G642" s="5" t="s">
        <v>8</v>
      </c>
      <c r="H642" s="7">
        <v>19784.099999999999</v>
      </c>
      <c r="I642" s="7">
        <v>22084.34</v>
      </c>
      <c r="J642" s="7">
        <v>2300.2400000000016</v>
      </c>
      <c r="K642" s="8">
        <v>0.11626710338099797</v>
      </c>
    </row>
    <row r="643" spans="1:11" x14ac:dyDescent="0.3">
      <c r="A643" s="5" t="s">
        <v>45</v>
      </c>
      <c r="B643" s="6">
        <v>40248</v>
      </c>
      <c r="C643" s="5">
        <v>11</v>
      </c>
      <c r="D643" s="5">
        <v>3</v>
      </c>
      <c r="E643" s="5">
        <v>2010</v>
      </c>
      <c r="F643" s="5" t="s">
        <v>26</v>
      </c>
      <c r="G643" s="5" t="s">
        <v>10</v>
      </c>
      <c r="H643" s="7">
        <v>13247.47</v>
      </c>
      <c r="I643" s="7">
        <v>14731.7</v>
      </c>
      <c r="J643" s="7">
        <v>1484.2300000000014</v>
      </c>
      <c r="K643" s="8">
        <v>0.11203875155029613</v>
      </c>
    </row>
    <row r="644" spans="1:11" x14ac:dyDescent="0.3">
      <c r="A644" s="5" t="s">
        <v>45</v>
      </c>
      <c r="B644" s="6">
        <v>40248</v>
      </c>
      <c r="C644" s="5">
        <v>11</v>
      </c>
      <c r="D644" s="5">
        <v>3</v>
      </c>
      <c r="E644" s="5">
        <v>2010</v>
      </c>
      <c r="F644" s="5" t="s">
        <v>27</v>
      </c>
      <c r="G644" s="5" t="s">
        <v>10</v>
      </c>
      <c r="H644" s="7">
        <v>127454.97</v>
      </c>
      <c r="I644" s="7">
        <v>143530.04</v>
      </c>
      <c r="J644" s="7">
        <v>16075.070000000007</v>
      </c>
      <c r="K644" s="8">
        <v>0.12612352425331086</v>
      </c>
    </row>
    <row r="645" spans="1:11" x14ac:dyDescent="0.3">
      <c r="A645" s="5" t="s">
        <v>45</v>
      </c>
      <c r="B645" s="6">
        <v>40248</v>
      </c>
      <c r="C645" s="5">
        <v>11</v>
      </c>
      <c r="D645" s="5">
        <v>3</v>
      </c>
      <c r="E645" s="5">
        <v>2010</v>
      </c>
      <c r="F645" s="5" t="s">
        <v>28</v>
      </c>
      <c r="G645" s="5" t="s">
        <v>10</v>
      </c>
      <c r="H645" s="7">
        <v>141713.29</v>
      </c>
      <c r="I645" s="7">
        <v>158675.29</v>
      </c>
      <c r="J645" s="7">
        <v>16962</v>
      </c>
      <c r="K645" s="8">
        <v>0.11969237324177569</v>
      </c>
    </row>
    <row r="646" spans="1:11" x14ac:dyDescent="0.3">
      <c r="A646" s="5" t="s">
        <v>45</v>
      </c>
      <c r="B646" s="6">
        <v>40248</v>
      </c>
      <c r="C646" s="5">
        <v>11</v>
      </c>
      <c r="D646" s="5">
        <v>3</v>
      </c>
      <c r="E646" s="5">
        <v>2010</v>
      </c>
      <c r="F646" s="5" t="s">
        <v>29</v>
      </c>
      <c r="G646" s="5" t="s">
        <v>10</v>
      </c>
      <c r="H646" s="7">
        <v>742420.95</v>
      </c>
      <c r="I646" s="7">
        <v>812411.67</v>
      </c>
      <c r="J646" s="7">
        <v>69990.720000000088</v>
      </c>
      <c r="K646" s="8">
        <v>9.4273632768579724E-2</v>
      </c>
    </row>
    <row r="647" spans="1:11" x14ac:dyDescent="0.3">
      <c r="A647" s="5" t="s">
        <v>45</v>
      </c>
      <c r="B647" s="6">
        <v>40248</v>
      </c>
      <c r="C647" s="5">
        <v>11</v>
      </c>
      <c r="D647" s="5">
        <v>3</v>
      </c>
      <c r="E647" s="5">
        <v>2010</v>
      </c>
      <c r="F647" s="5" t="s">
        <v>30</v>
      </c>
      <c r="G647" s="5" t="s">
        <v>10</v>
      </c>
      <c r="H647" s="7">
        <v>137849.48000000001</v>
      </c>
      <c r="I647" s="7">
        <v>154879.91</v>
      </c>
      <c r="J647" s="7">
        <v>17030.429999999993</v>
      </c>
      <c r="K647" s="8">
        <v>0.12354366516290081</v>
      </c>
    </row>
    <row r="648" spans="1:11" x14ac:dyDescent="0.3">
      <c r="A648" s="5" t="s">
        <v>45</v>
      </c>
      <c r="B648" s="6">
        <v>40248</v>
      </c>
      <c r="C648" s="5">
        <v>11</v>
      </c>
      <c r="D648" s="5">
        <v>3</v>
      </c>
      <c r="E648" s="5">
        <v>2010</v>
      </c>
      <c r="F648" s="5" t="s">
        <v>31</v>
      </c>
      <c r="G648" s="5" t="s">
        <v>7</v>
      </c>
      <c r="H648" s="7">
        <v>17311.75</v>
      </c>
      <c r="I648" s="7">
        <v>19182.75</v>
      </c>
      <c r="J648" s="7">
        <v>1871</v>
      </c>
      <c r="K648" s="8">
        <v>0.10807688419714934</v>
      </c>
    </row>
    <row r="649" spans="1:11" x14ac:dyDescent="0.3">
      <c r="A649" s="5" t="s">
        <v>45</v>
      </c>
      <c r="B649" s="6">
        <v>40248</v>
      </c>
      <c r="C649" s="5">
        <v>11</v>
      </c>
      <c r="D649" s="5">
        <v>3</v>
      </c>
      <c r="E649" s="5">
        <v>2010</v>
      </c>
      <c r="F649" s="5" t="s">
        <v>32</v>
      </c>
      <c r="G649" s="5" t="s">
        <v>7</v>
      </c>
      <c r="H649" s="7">
        <v>7723.45</v>
      </c>
      <c r="I649" s="7">
        <v>8880.91</v>
      </c>
      <c r="J649" s="7">
        <v>1157.46</v>
      </c>
      <c r="K649" s="8">
        <v>0.14986307932335938</v>
      </c>
    </row>
    <row r="650" spans="1:11" x14ac:dyDescent="0.3">
      <c r="A650" s="5" t="s">
        <v>45</v>
      </c>
      <c r="B650" s="6">
        <v>40248</v>
      </c>
      <c r="C650" s="5">
        <v>11</v>
      </c>
      <c r="D650" s="5">
        <v>3</v>
      </c>
      <c r="E650" s="5">
        <v>2010</v>
      </c>
      <c r="F650" s="5" t="s">
        <v>33</v>
      </c>
      <c r="G650" s="5" t="s">
        <v>7</v>
      </c>
      <c r="H650" s="7">
        <v>165017.94</v>
      </c>
      <c r="I650" s="7">
        <v>233672.81</v>
      </c>
      <c r="J650" s="7">
        <v>68654.87</v>
      </c>
      <c r="K650" s="8">
        <v>0.41604488578635751</v>
      </c>
    </row>
    <row r="651" spans="1:11" x14ac:dyDescent="0.3">
      <c r="A651" s="5" t="s">
        <v>45</v>
      </c>
      <c r="B651" s="6">
        <v>40248</v>
      </c>
      <c r="C651" s="5">
        <v>11</v>
      </c>
      <c r="D651" s="5">
        <v>3</v>
      </c>
      <c r="E651" s="5">
        <v>2010</v>
      </c>
      <c r="F651" s="5" t="s">
        <v>34</v>
      </c>
      <c r="G651" s="5" t="s">
        <v>7</v>
      </c>
      <c r="H651" s="7">
        <v>1140</v>
      </c>
      <c r="I651" s="7">
        <v>1424.9</v>
      </c>
      <c r="J651" s="7">
        <v>284.90000000000009</v>
      </c>
      <c r="K651" s="8">
        <v>0.24991228070175447</v>
      </c>
    </row>
    <row r="652" spans="1:11" x14ac:dyDescent="0.3">
      <c r="A652" s="5" t="s">
        <v>45</v>
      </c>
      <c r="B652" s="6">
        <v>40248</v>
      </c>
      <c r="C652" s="5">
        <v>11</v>
      </c>
      <c r="D652" s="5">
        <v>3</v>
      </c>
      <c r="E652" s="5">
        <v>2010</v>
      </c>
      <c r="F652" s="5" t="s">
        <v>35</v>
      </c>
      <c r="G652" s="5" t="s">
        <v>11</v>
      </c>
      <c r="H652" s="7">
        <v>3006.16</v>
      </c>
      <c r="I652" s="7">
        <v>3907.1</v>
      </c>
      <c r="J652" s="7">
        <v>900.94</v>
      </c>
      <c r="K652" s="8">
        <v>0.29969795353540735</v>
      </c>
    </row>
    <row r="653" spans="1:11" x14ac:dyDescent="0.3">
      <c r="A653" s="5" t="s">
        <v>45</v>
      </c>
      <c r="B653" s="6">
        <v>40248</v>
      </c>
      <c r="C653" s="5">
        <v>11</v>
      </c>
      <c r="D653" s="5">
        <v>3</v>
      </c>
      <c r="E653" s="5">
        <v>2010</v>
      </c>
      <c r="F653" s="5" t="s">
        <v>36</v>
      </c>
      <c r="G653" s="5" t="s">
        <v>11</v>
      </c>
      <c r="H653" s="7">
        <v>139685.07</v>
      </c>
      <c r="I653" s="7">
        <v>144834.29</v>
      </c>
      <c r="J653" s="7">
        <v>5149.2200000000012</v>
      </c>
      <c r="K653" s="8">
        <v>3.6863066324840592E-2</v>
      </c>
    </row>
    <row r="654" spans="1:11" x14ac:dyDescent="0.3">
      <c r="A654" s="5" t="s">
        <v>45</v>
      </c>
      <c r="B654" s="6">
        <v>40248</v>
      </c>
      <c r="C654" s="5">
        <v>11</v>
      </c>
      <c r="D654" s="5">
        <v>3</v>
      </c>
      <c r="E654" s="5">
        <v>2010</v>
      </c>
      <c r="F654" s="5" t="s">
        <v>37</v>
      </c>
      <c r="G654" s="5" t="s">
        <v>11</v>
      </c>
      <c r="H654" s="7">
        <v>350497.06</v>
      </c>
      <c r="I654" s="7">
        <v>374234.97</v>
      </c>
      <c r="J654" s="7">
        <v>23737.909999999974</v>
      </c>
      <c r="K654" s="8">
        <v>6.7726416877790574E-2</v>
      </c>
    </row>
    <row r="655" spans="1:11" x14ac:dyDescent="0.3">
      <c r="A655" s="5" t="s">
        <v>45</v>
      </c>
      <c r="B655" s="6">
        <v>40248</v>
      </c>
      <c r="C655" s="5">
        <v>11</v>
      </c>
      <c r="D655" s="5">
        <v>3</v>
      </c>
      <c r="E655" s="5">
        <v>2010</v>
      </c>
      <c r="F655" s="5" t="s">
        <v>38</v>
      </c>
      <c r="G655" s="5" t="s">
        <v>11</v>
      </c>
      <c r="H655" s="7">
        <v>283843.65999999997</v>
      </c>
      <c r="I655" s="7">
        <v>287202.84999999998</v>
      </c>
      <c r="J655" s="7">
        <v>3359.1900000000023</v>
      </c>
      <c r="K655" s="8">
        <v>1.1834648693580131E-2</v>
      </c>
    </row>
    <row r="656" spans="1:11" x14ac:dyDescent="0.3">
      <c r="A656" s="5" t="s">
        <v>45</v>
      </c>
      <c r="B656" s="6">
        <v>40249</v>
      </c>
      <c r="C656" s="5">
        <v>11</v>
      </c>
      <c r="D656" s="5">
        <v>3</v>
      </c>
      <c r="E656" s="5">
        <v>2010</v>
      </c>
      <c r="F656" s="5" t="s">
        <v>14</v>
      </c>
      <c r="G656" s="5" t="s">
        <v>6</v>
      </c>
      <c r="H656" s="7">
        <v>6444</v>
      </c>
      <c r="I656" s="7">
        <v>7843.95</v>
      </c>
      <c r="J656" s="7">
        <v>1399.9499999999998</v>
      </c>
      <c r="K656" s="8">
        <v>0.21724860335195528</v>
      </c>
    </row>
    <row r="657" spans="1:11" x14ac:dyDescent="0.3">
      <c r="A657" s="5" t="s">
        <v>45</v>
      </c>
      <c r="B657" s="6">
        <v>40249</v>
      </c>
      <c r="C657" s="5">
        <v>11</v>
      </c>
      <c r="D657" s="5">
        <v>3</v>
      </c>
      <c r="E657" s="5">
        <v>2010</v>
      </c>
      <c r="F657" s="5" t="s">
        <v>15</v>
      </c>
      <c r="G657" s="5" t="s">
        <v>6</v>
      </c>
      <c r="H657" s="7">
        <v>122229.61</v>
      </c>
      <c r="I657" s="7">
        <v>177529.22</v>
      </c>
      <c r="J657" s="7">
        <v>55299.61</v>
      </c>
      <c r="K657" s="8">
        <v>0.45242400757066964</v>
      </c>
    </row>
    <row r="658" spans="1:11" x14ac:dyDescent="0.3">
      <c r="A658" s="5" t="s">
        <v>45</v>
      </c>
      <c r="B658" s="6">
        <v>40249</v>
      </c>
      <c r="C658" s="5">
        <v>11</v>
      </c>
      <c r="D658" s="5">
        <v>3</v>
      </c>
      <c r="E658" s="5">
        <v>2010</v>
      </c>
      <c r="F658" s="5" t="s">
        <v>16</v>
      </c>
      <c r="G658" s="5" t="s">
        <v>6</v>
      </c>
      <c r="H658" s="7">
        <v>17250.66</v>
      </c>
      <c r="I658" s="7">
        <v>19199.650000000001</v>
      </c>
      <c r="J658" s="7">
        <v>1948.9900000000016</v>
      </c>
      <c r="K658" s="8">
        <v>0.11298060480004832</v>
      </c>
    </row>
    <row r="659" spans="1:11" x14ac:dyDescent="0.3">
      <c r="A659" s="5" t="s">
        <v>45</v>
      </c>
      <c r="B659" s="6">
        <v>40249</v>
      </c>
      <c r="C659" s="5">
        <v>11</v>
      </c>
      <c r="D659" s="5">
        <v>3</v>
      </c>
      <c r="E659" s="5">
        <v>2010</v>
      </c>
      <c r="F659" s="5" t="s">
        <v>17</v>
      </c>
      <c r="G659" s="5" t="s">
        <v>6</v>
      </c>
      <c r="H659" s="7">
        <v>2142</v>
      </c>
      <c r="I659" s="7">
        <v>2184.2800000000002</v>
      </c>
      <c r="J659" s="7">
        <v>42.2800000000002</v>
      </c>
      <c r="K659" s="8">
        <v>1.9738562091503362E-2</v>
      </c>
    </row>
    <row r="660" spans="1:11" x14ac:dyDescent="0.3">
      <c r="A660" s="5" t="s">
        <v>45</v>
      </c>
      <c r="B660" s="6">
        <v>40249</v>
      </c>
      <c r="C660" s="5">
        <v>11</v>
      </c>
      <c r="D660" s="5">
        <v>3</v>
      </c>
      <c r="E660" s="5">
        <v>2010</v>
      </c>
      <c r="F660" s="5" t="s">
        <v>18</v>
      </c>
      <c r="G660" s="5" t="s">
        <v>6</v>
      </c>
      <c r="H660" s="7">
        <v>588</v>
      </c>
      <c r="I660" s="7">
        <v>637.63</v>
      </c>
      <c r="J660" s="7">
        <v>49.629999999999995</v>
      </c>
      <c r="K660" s="8">
        <v>8.4404761904761899E-2</v>
      </c>
    </row>
    <row r="661" spans="1:11" x14ac:dyDescent="0.3">
      <c r="A661" s="5" t="s">
        <v>45</v>
      </c>
      <c r="B661" s="6">
        <v>40249</v>
      </c>
      <c r="C661" s="5">
        <v>11</v>
      </c>
      <c r="D661" s="5">
        <v>3</v>
      </c>
      <c r="E661" s="5">
        <v>2010</v>
      </c>
      <c r="F661" s="5" t="s">
        <v>19</v>
      </c>
      <c r="G661" s="5" t="s">
        <v>5</v>
      </c>
      <c r="H661" s="7">
        <v>86540.31</v>
      </c>
      <c r="I661" s="7">
        <v>97556.01</v>
      </c>
      <c r="J661" s="7">
        <v>11015.699999999997</v>
      </c>
      <c r="K661" s="8">
        <v>0.12728981442289722</v>
      </c>
    </row>
    <row r="662" spans="1:11" x14ac:dyDescent="0.3">
      <c r="A662" s="5" t="s">
        <v>45</v>
      </c>
      <c r="B662" s="6">
        <v>40249</v>
      </c>
      <c r="C662" s="5">
        <v>11</v>
      </c>
      <c r="D662" s="5">
        <v>3</v>
      </c>
      <c r="E662" s="5">
        <v>2010</v>
      </c>
      <c r="F662" s="5" t="s">
        <v>5</v>
      </c>
      <c r="G662" s="5" t="s">
        <v>5</v>
      </c>
      <c r="H662" s="7">
        <v>298692.81</v>
      </c>
      <c r="I662" s="7">
        <v>323806.71000000002</v>
      </c>
      <c r="J662" s="7">
        <v>25113.900000000023</v>
      </c>
      <c r="K662" s="8">
        <v>8.4079358990931261E-2</v>
      </c>
    </row>
    <row r="663" spans="1:11" x14ac:dyDescent="0.3">
      <c r="A663" s="5" t="s">
        <v>45</v>
      </c>
      <c r="B663" s="6">
        <v>40249</v>
      </c>
      <c r="C663" s="5">
        <v>11</v>
      </c>
      <c r="D663" s="5">
        <v>3</v>
      </c>
      <c r="E663" s="5">
        <v>2010</v>
      </c>
      <c r="F663" s="5" t="s">
        <v>20</v>
      </c>
      <c r="G663" s="5" t="s">
        <v>5</v>
      </c>
      <c r="H663" s="7">
        <v>96525.26</v>
      </c>
      <c r="I663" s="7">
        <v>105714.19</v>
      </c>
      <c r="J663" s="7">
        <v>9188.9300000000076</v>
      </c>
      <c r="K663" s="8">
        <v>9.5197153574100787E-2</v>
      </c>
    </row>
    <row r="664" spans="1:11" x14ac:dyDescent="0.3">
      <c r="A664" s="5" t="s">
        <v>45</v>
      </c>
      <c r="B664" s="6">
        <v>40249</v>
      </c>
      <c r="C664" s="5">
        <v>11</v>
      </c>
      <c r="D664" s="5">
        <v>3</v>
      </c>
      <c r="E664" s="5">
        <v>2010</v>
      </c>
      <c r="F664" s="5" t="s">
        <v>21</v>
      </c>
      <c r="G664" s="5" t="s">
        <v>5</v>
      </c>
      <c r="H664" s="7">
        <v>145185.82</v>
      </c>
      <c r="I664" s="7">
        <v>159068.91</v>
      </c>
      <c r="J664" s="7">
        <v>13883.089999999997</v>
      </c>
      <c r="K664" s="8">
        <v>9.5622905873314595E-2</v>
      </c>
    </row>
    <row r="665" spans="1:11" x14ac:dyDescent="0.3">
      <c r="A665" s="5" t="s">
        <v>45</v>
      </c>
      <c r="B665" s="6">
        <v>40249</v>
      </c>
      <c r="C665" s="5">
        <v>11</v>
      </c>
      <c r="D665" s="5">
        <v>3</v>
      </c>
      <c r="E665" s="5">
        <v>2010</v>
      </c>
      <c r="F665" s="5" t="s">
        <v>22</v>
      </c>
      <c r="G665" s="5" t="s">
        <v>8</v>
      </c>
      <c r="H665" s="7">
        <v>325088</v>
      </c>
      <c r="I665" s="7">
        <v>354546.62</v>
      </c>
      <c r="J665" s="7">
        <v>29458.619999999995</v>
      </c>
      <c r="K665" s="8">
        <v>9.0617371296387431E-2</v>
      </c>
    </row>
    <row r="666" spans="1:11" x14ac:dyDescent="0.3">
      <c r="A666" s="5" t="s">
        <v>45</v>
      </c>
      <c r="B666" s="6">
        <v>40249</v>
      </c>
      <c r="C666" s="5">
        <v>11</v>
      </c>
      <c r="D666" s="5">
        <v>3</v>
      </c>
      <c r="E666" s="5">
        <v>2010</v>
      </c>
      <c r="F666" s="5" t="s">
        <v>23</v>
      </c>
      <c r="G666" s="5" t="s">
        <v>8</v>
      </c>
      <c r="H666" s="7">
        <v>181522.3</v>
      </c>
      <c r="I666" s="7">
        <v>188693.76000000001</v>
      </c>
      <c r="J666" s="7">
        <v>7171.460000000021</v>
      </c>
      <c r="K666" s="8">
        <v>3.9507322240848762E-2</v>
      </c>
    </row>
    <row r="667" spans="1:11" x14ac:dyDescent="0.3">
      <c r="A667" s="5" t="s">
        <v>45</v>
      </c>
      <c r="B667" s="6">
        <v>40249</v>
      </c>
      <c r="C667" s="5">
        <v>11</v>
      </c>
      <c r="D667" s="5">
        <v>3</v>
      </c>
      <c r="E667" s="5">
        <v>2010</v>
      </c>
      <c r="F667" s="5" t="s">
        <v>24</v>
      </c>
      <c r="G667" s="5" t="s">
        <v>8</v>
      </c>
      <c r="H667" s="7">
        <v>101940</v>
      </c>
      <c r="I667" s="7">
        <v>108424.01</v>
      </c>
      <c r="J667" s="7">
        <v>6484.0099999999948</v>
      </c>
      <c r="K667" s="8">
        <v>6.3606140867176725E-2</v>
      </c>
    </row>
    <row r="668" spans="1:11" x14ac:dyDescent="0.3">
      <c r="A668" s="5" t="s">
        <v>45</v>
      </c>
      <c r="B668" s="6">
        <v>40249</v>
      </c>
      <c r="C668" s="5">
        <v>11</v>
      </c>
      <c r="D668" s="5">
        <v>3</v>
      </c>
      <c r="E668" s="5">
        <v>2010</v>
      </c>
      <c r="F668" s="5" t="s">
        <v>25</v>
      </c>
      <c r="G668" s="5" t="s">
        <v>8</v>
      </c>
      <c r="H668" s="7">
        <v>13703.35</v>
      </c>
      <c r="I668" s="7">
        <v>15991.57</v>
      </c>
      <c r="J668" s="7">
        <v>2288.2199999999993</v>
      </c>
      <c r="K668" s="8">
        <v>0.16698252617060785</v>
      </c>
    </row>
    <row r="669" spans="1:11" x14ac:dyDescent="0.3">
      <c r="A669" s="5" t="s">
        <v>45</v>
      </c>
      <c r="B669" s="6">
        <v>40249</v>
      </c>
      <c r="C669" s="5">
        <v>11</v>
      </c>
      <c r="D669" s="5">
        <v>3</v>
      </c>
      <c r="E669" s="5">
        <v>2010</v>
      </c>
      <c r="F669" s="5" t="s">
        <v>26</v>
      </c>
      <c r="G669" s="5" t="s">
        <v>10</v>
      </c>
      <c r="H669" s="7">
        <v>22688.19</v>
      </c>
      <c r="I669" s="7">
        <v>25103.37</v>
      </c>
      <c r="J669" s="7">
        <v>2415.1800000000003</v>
      </c>
      <c r="K669" s="8">
        <v>0.10645097735870514</v>
      </c>
    </row>
    <row r="670" spans="1:11" x14ac:dyDescent="0.3">
      <c r="A670" s="5" t="s">
        <v>45</v>
      </c>
      <c r="B670" s="6">
        <v>40249</v>
      </c>
      <c r="C670" s="5">
        <v>11</v>
      </c>
      <c r="D670" s="5">
        <v>3</v>
      </c>
      <c r="E670" s="5">
        <v>2010</v>
      </c>
      <c r="F670" s="5" t="s">
        <v>27</v>
      </c>
      <c r="G670" s="5" t="s">
        <v>10</v>
      </c>
      <c r="H670" s="7">
        <v>132975.64000000001</v>
      </c>
      <c r="I670" s="7">
        <v>149963.37</v>
      </c>
      <c r="J670" s="7">
        <v>16987.729999999981</v>
      </c>
      <c r="K670" s="8">
        <v>0.12775069178084031</v>
      </c>
    </row>
    <row r="671" spans="1:11" x14ac:dyDescent="0.3">
      <c r="A671" s="5" t="s">
        <v>45</v>
      </c>
      <c r="B671" s="6">
        <v>40249</v>
      </c>
      <c r="C671" s="5">
        <v>11</v>
      </c>
      <c r="D671" s="5">
        <v>3</v>
      </c>
      <c r="E671" s="5">
        <v>2010</v>
      </c>
      <c r="F671" s="5" t="s">
        <v>28</v>
      </c>
      <c r="G671" s="5" t="s">
        <v>10</v>
      </c>
      <c r="H671" s="7">
        <v>167673.45000000001</v>
      </c>
      <c r="I671" s="7">
        <v>186726.51</v>
      </c>
      <c r="J671" s="7">
        <v>19053.059999999998</v>
      </c>
      <c r="K671" s="8">
        <v>0.11363194351878604</v>
      </c>
    </row>
    <row r="672" spans="1:11" x14ac:dyDescent="0.3">
      <c r="A672" s="5" t="s">
        <v>45</v>
      </c>
      <c r="B672" s="6">
        <v>40249</v>
      </c>
      <c r="C672" s="5">
        <v>11</v>
      </c>
      <c r="D672" s="5">
        <v>3</v>
      </c>
      <c r="E672" s="5">
        <v>2010</v>
      </c>
      <c r="F672" s="5" t="s">
        <v>29</v>
      </c>
      <c r="G672" s="5" t="s">
        <v>10</v>
      </c>
      <c r="H672" s="7">
        <v>744959.97</v>
      </c>
      <c r="I672" s="7">
        <v>812233.34</v>
      </c>
      <c r="J672" s="7">
        <v>67273.37</v>
      </c>
      <c r="K672" s="8">
        <v>9.0304677713085701E-2</v>
      </c>
    </row>
    <row r="673" spans="1:11" x14ac:dyDescent="0.3">
      <c r="A673" s="5" t="s">
        <v>45</v>
      </c>
      <c r="B673" s="6">
        <v>40249</v>
      </c>
      <c r="C673" s="5">
        <v>11</v>
      </c>
      <c r="D673" s="5">
        <v>3</v>
      </c>
      <c r="E673" s="5">
        <v>2010</v>
      </c>
      <c r="F673" s="5" t="s">
        <v>30</v>
      </c>
      <c r="G673" s="5" t="s">
        <v>10</v>
      </c>
      <c r="H673" s="7">
        <v>148790.20000000001</v>
      </c>
      <c r="I673" s="7">
        <v>167001.19</v>
      </c>
      <c r="J673" s="7">
        <v>18210.989999999991</v>
      </c>
      <c r="K673" s="8">
        <v>0.12239374636232755</v>
      </c>
    </row>
    <row r="674" spans="1:11" x14ac:dyDescent="0.3">
      <c r="A674" s="5" t="s">
        <v>45</v>
      </c>
      <c r="B674" s="6">
        <v>40249</v>
      </c>
      <c r="C674" s="5">
        <v>11</v>
      </c>
      <c r="D674" s="5">
        <v>3</v>
      </c>
      <c r="E674" s="5">
        <v>2010</v>
      </c>
      <c r="F674" s="5" t="s">
        <v>31</v>
      </c>
      <c r="G674" s="5" t="s">
        <v>7</v>
      </c>
      <c r="H674" s="7">
        <v>32683.16</v>
      </c>
      <c r="I674" s="7">
        <v>41312.839999999997</v>
      </c>
      <c r="J674" s="7">
        <v>8629.6799999999967</v>
      </c>
      <c r="K674" s="8">
        <v>0.26404056400911041</v>
      </c>
    </row>
    <row r="675" spans="1:11" x14ac:dyDescent="0.3">
      <c r="A675" s="5" t="s">
        <v>45</v>
      </c>
      <c r="B675" s="6">
        <v>40249</v>
      </c>
      <c r="C675" s="5">
        <v>11</v>
      </c>
      <c r="D675" s="5">
        <v>3</v>
      </c>
      <c r="E675" s="5">
        <v>2010</v>
      </c>
      <c r="F675" s="5" t="s">
        <v>32</v>
      </c>
      <c r="G675" s="5" t="s">
        <v>7</v>
      </c>
      <c r="H675" s="7">
        <v>20215.86</v>
      </c>
      <c r="I675" s="7">
        <v>23245.57</v>
      </c>
      <c r="J675" s="7">
        <v>3029.7099999999991</v>
      </c>
      <c r="K675" s="8">
        <v>0.14986797494640341</v>
      </c>
    </row>
    <row r="676" spans="1:11" x14ac:dyDescent="0.3">
      <c r="A676" s="5" t="s">
        <v>45</v>
      </c>
      <c r="B676" s="6">
        <v>40249</v>
      </c>
      <c r="C676" s="5">
        <v>11</v>
      </c>
      <c r="D676" s="5">
        <v>3</v>
      </c>
      <c r="E676" s="5">
        <v>2010</v>
      </c>
      <c r="F676" s="5" t="s">
        <v>33</v>
      </c>
      <c r="G676" s="5" t="s">
        <v>7</v>
      </c>
      <c r="H676" s="7">
        <v>201719.34</v>
      </c>
      <c r="I676" s="7">
        <v>282069.23</v>
      </c>
      <c r="J676" s="7">
        <v>80349.889999999985</v>
      </c>
      <c r="K676" s="8">
        <v>0.39832516802801349</v>
      </c>
    </row>
    <row r="677" spans="1:11" x14ac:dyDescent="0.3">
      <c r="A677" s="5" t="s">
        <v>45</v>
      </c>
      <c r="B677" s="6">
        <v>40249</v>
      </c>
      <c r="C677" s="5">
        <v>11</v>
      </c>
      <c r="D677" s="5">
        <v>3</v>
      </c>
      <c r="E677" s="5">
        <v>2010</v>
      </c>
      <c r="F677" s="5" t="s">
        <v>34</v>
      </c>
      <c r="G677" s="5" t="s">
        <v>7</v>
      </c>
      <c r="H677" s="7">
        <v>76</v>
      </c>
      <c r="I677" s="7">
        <v>95</v>
      </c>
      <c r="J677" s="7">
        <v>19</v>
      </c>
      <c r="K677" s="8">
        <v>0.25</v>
      </c>
    </row>
    <row r="678" spans="1:11" x14ac:dyDescent="0.3">
      <c r="A678" s="5" t="s">
        <v>45</v>
      </c>
      <c r="B678" s="6">
        <v>40249</v>
      </c>
      <c r="C678" s="5">
        <v>11</v>
      </c>
      <c r="D678" s="5">
        <v>3</v>
      </c>
      <c r="E678" s="5">
        <v>2010</v>
      </c>
      <c r="F678" s="5" t="s">
        <v>35</v>
      </c>
      <c r="G678" s="5" t="s">
        <v>11</v>
      </c>
      <c r="H678" s="7">
        <v>4659.84</v>
      </c>
      <c r="I678" s="7">
        <v>6056.29</v>
      </c>
      <c r="J678" s="7">
        <v>1396.4499999999998</v>
      </c>
      <c r="K678" s="8">
        <v>0.29967767133635487</v>
      </c>
    </row>
    <row r="679" spans="1:11" x14ac:dyDescent="0.3">
      <c r="A679" s="5" t="s">
        <v>45</v>
      </c>
      <c r="B679" s="6">
        <v>40249</v>
      </c>
      <c r="C679" s="5">
        <v>11</v>
      </c>
      <c r="D679" s="5">
        <v>3</v>
      </c>
      <c r="E679" s="5">
        <v>2010</v>
      </c>
      <c r="F679" s="5" t="s">
        <v>36</v>
      </c>
      <c r="G679" s="5" t="s">
        <v>11</v>
      </c>
      <c r="H679" s="7">
        <v>124007.87</v>
      </c>
      <c r="I679" s="7">
        <v>132248.18</v>
      </c>
      <c r="J679" s="7">
        <v>8240.3099999999977</v>
      </c>
      <c r="K679" s="8">
        <v>6.6449895478407933E-2</v>
      </c>
    </row>
    <row r="680" spans="1:11" x14ac:dyDescent="0.3">
      <c r="A680" s="5" t="s">
        <v>45</v>
      </c>
      <c r="B680" s="6">
        <v>40249</v>
      </c>
      <c r="C680" s="5">
        <v>11</v>
      </c>
      <c r="D680" s="5">
        <v>3</v>
      </c>
      <c r="E680" s="5">
        <v>2010</v>
      </c>
      <c r="F680" s="5" t="s">
        <v>37</v>
      </c>
      <c r="G680" s="5" t="s">
        <v>11</v>
      </c>
      <c r="H680" s="7">
        <v>365309.95</v>
      </c>
      <c r="I680" s="7">
        <v>394544.55</v>
      </c>
      <c r="J680" s="7">
        <v>29234.599999999977</v>
      </c>
      <c r="K680" s="8">
        <v>8.0026837484169194E-2</v>
      </c>
    </row>
    <row r="681" spans="1:11" x14ac:dyDescent="0.3">
      <c r="A681" s="5" t="s">
        <v>45</v>
      </c>
      <c r="B681" s="6">
        <v>40249</v>
      </c>
      <c r="C681" s="5">
        <v>11</v>
      </c>
      <c r="D681" s="5">
        <v>3</v>
      </c>
      <c r="E681" s="5">
        <v>2010</v>
      </c>
      <c r="F681" s="5" t="s">
        <v>38</v>
      </c>
      <c r="G681" s="5" t="s">
        <v>11</v>
      </c>
      <c r="H681" s="7">
        <v>283796.40999999997</v>
      </c>
      <c r="I681" s="7">
        <v>291313.21000000002</v>
      </c>
      <c r="J681" s="7">
        <v>7516.8000000000466</v>
      </c>
      <c r="K681" s="8">
        <v>2.6486592976986731E-2</v>
      </c>
    </row>
    <row r="682" spans="1:11" x14ac:dyDescent="0.3">
      <c r="A682" s="5" t="s">
        <v>45</v>
      </c>
      <c r="B682" s="6">
        <v>40250</v>
      </c>
      <c r="C682" s="5">
        <v>11</v>
      </c>
      <c r="D682" s="5">
        <v>3</v>
      </c>
      <c r="E682" s="5">
        <v>2010</v>
      </c>
      <c r="F682" s="5" t="s">
        <v>14</v>
      </c>
      <c r="G682" s="5" t="s">
        <v>6</v>
      </c>
      <c r="H682" s="7">
        <v>17504</v>
      </c>
      <c r="I682" s="7">
        <v>20633.29</v>
      </c>
      <c r="J682" s="7">
        <v>3129.2900000000009</v>
      </c>
      <c r="K682" s="8">
        <v>0.17877570840950646</v>
      </c>
    </row>
    <row r="683" spans="1:11" x14ac:dyDescent="0.3">
      <c r="A683" s="5" t="s">
        <v>45</v>
      </c>
      <c r="B683" s="6">
        <v>40250</v>
      </c>
      <c r="C683" s="5">
        <v>11</v>
      </c>
      <c r="D683" s="5">
        <v>3</v>
      </c>
      <c r="E683" s="5">
        <v>2010</v>
      </c>
      <c r="F683" s="5" t="s">
        <v>15</v>
      </c>
      <c r="G683" s="5" t="s">
        <v>6</v>
      </c>
      <c r="H683" s="7">
        <v>217059.66</v>
      </c>
      <c r="I683" s="7">
        <v>287162.08</v>
      </c>
      <c r="J683" s="7">
        <v>70102.420000000013</v>
      </c>
      <c r="K683" s="8">
        <v>0.32296383399845008</v>
      </c>
    </row>
    <row r="684" spans="1:11" x14ac:dyDescent="0.3">
      <c r="A684" s="5" t="s">
        <v>45</v>
      </c>
      <c r="B684" s="6">
        <v>40250</v>
      </c>
      <c r="C684" s="5">
        <v>11</v>
      </c>
      <c r="D684" s="5">
        <v>3</v>
      </c>
      <c r="E684" s="5">
        <v>2010</v>
      </c>
      <c r="F684" s="5" t="s">
        <v>16</v>
      </c>
      <c r="G684" s="5" t="s">
        <v>6</v>
      </c>
      <c r="H684" s="7">
        <v>19621.91</v>
      </c>
      <c r="I684" s="7">
        <v>22021.82</v>
      </c>
      <c r="J684" s="7">
        <v>2399.91</v>
      </c>
      <c r="K684" s="8">
        <v>0.12230766525786735</v>
      </c>
    </row>
    <row r="685" spans="1:11" x14ac:dyDescent="0.3">
      <c r="A685" s="5" t="s">
        <v>45</v>
      </c>
      <c r="B685" s="6">
        <v>40250</v>
      </c>
      <c r="C685" s="5">
        <v>11</v>
      </c>
      <c r="D685" s="5">
        <v>3</v>
      </c>
      <c r="E685" s="5">
        <v>2010</v>
      </c>
      <c r="F685" s="5" t="s">
        <v>17</v>
      </c>
      <c r="G685" s="5" t="s">
        <v>6</v>
      </c>
      <c r="H685" s="7">
        <v>2296</v>
      </c>
      <c r="I685" s="7">
        <v>2565.36</v>
      </c>
      <c r="J685" s="7">
        <v>269.36000000000013</v>
      </c>
      <c r="K685" s="8">
        <v>0.11731707317073176</v>
      </c>
    </row>
    <row r="686" spans="1:11" x14ac:dyDescent="0.3">
      <c r="A686" s="5" t="s">
        <v>45</v>
      </c>
      <c r="B686" s="6">
        <v>40250</v>
      </c>
      <c r="C686" s="5">
        <v>11</v>
      </c>
      <c r="D686" s="5">
        <v>3</v>
      </c>
      <c r="E686" s="5">
        <v>2010</v>
      </c>
      <c r="F686" s="5" t="s">
        <v>18</v>
      </c>
      <c r="G686" s="5" t="s">
        <v>6</v>
      </c>
      <c r="H686" s="7">
        <v>2492.87</v>
      </c>
      <c r="I686" s="7">
        <v>2574.14</v>
      </c>
      <c r="J686" s="7">
        <v>81.269999999999982</v>
      </c>
      <c r="K686" s="8">
        <v>3.2600977989225267E-2</v>
      </c>
    </row>
    <row r="687" spans="1:11" x14ac:dyDescent="0.3">
      <c r="A687" s="5" t="s">
        <v>45</v>
      </c>
      <c r="B687" s="6">
        <v>40250</v>
      </c>
      <c r="C687" s="5">
        <v>11</v>
      </c>
      <c r="D687" s="5">
        <v>3</v>
      </c>
      <c r="E687" s="5">
        <v>2010</v>
      </c>
      <c r="F687" s="5" t="s">
        <v>19</v>
      </c>
      <c r="G687" s="5" t="s">
        <v>5</v>
      </c>
      <c r="H687" s="7">
        <v>156678.97</v>
      </c>
      <c r="I687" s="7">
        <v>176285</v>
      </c>
      <c r="J687" s="7">
        <v>19606.03</v>
      </c>
      <c r="K687" s="8">
        <v>0.12513504524570207</v>
      </c>
    </row>
    <row r="688" spans="1:11" x14ac:dyDescent="0.3">
      <c r="A688" s="5" t="s">
        <v>45</v>
      </c>
      <c r="B688" s="6">
        <v>40250</v>
      </c>
      <c r="C688" s="5">
        <v>11</v>
      </c>
      <c r="D688" s="5">
        <v>3</v>
      </c>
      <c r="E688" s="5">
        <v>2010</v>
      </c>
      <c r="F688" s="5" t="s">
        <v>5</v>
      </c>
      <c r="G688" s="5" t="s">
        <v>5</v>
      </c>
      <c r="H688" s="7">
        <v>552219.79</v>
      </c>
      <c r="I688" s="7">
        <v>596487.99</v>
      </c>
      <c r="J688" s="7">
        <v>44268.199999999953</v>
      </c>
      <c r="K688" s="8">
        <v>8.0164095531599741E-2</v>
      </c>
    </row>
    <row r="689" spans="1:11" x14ac:dyDescent="0.3">
      <c r="A689" s="5" t="s">
        <v>45</v>
      </c>
      <c r="B689" s="6">
        <v>40250</v>
      </c>
      <c r="C689" s="5">
        <v>11</v>
      </c>
      <c r="D689" s="5">
        <v>3</v>
      </c>
      <c r="E689" s="5">
        <v>2010</v>
      </c>
      <c r="F689" s="5" t="s">
        <v>20</v>
      </c>
      <c r="G689" s="5" t="s">
        <v>5</v>
      </c>
      <c r="H689" s="7">
        <v>165823.35999999999</v>
      </c>
      <c r="I689" s="7">
        <v>182440.69</v>
      </c>
      <c r="J689" s="7">
        <v>16617.330000000016</v>
      </c>
      <c r="K689" s="8">
        <v>0.10021103178707763</v>
      </c>
    </row>
    <row r="690" spans="1:11" x14ac:dyDescent="0.3">
      <c r="A690" s="5" t="s">
        <v>45</v>
      </c>
      <c r="B690" s="6">
        <v>40250</v>
      </c>
      <c r="C690" s="5">
        <v>11</v>
      </c>
      <c r="D690" s="5">
        <v>3</v>
      </c>
      <c r="E690" s="5">
        <v>2010</v>
      </c>
      <c r="F690" s="5" t="s">
        <v>21</v>
      </c>
      <c r="G690" s="5" t="s">
        <v>5</v>
      </c>
      <c r="H690" s="7">
        <v>231639.62</v>
      </c>
      <c r="I690" s="7">
        <v>254883.02</v>
      </c>
      <c r="J690" s="7">
        <v>23243.399999999994</v>
      </c>
      <c r="K690" s="8">
        <v>0.10034293787910718</v>
      </c>
    </row>
    <row r="691" spans="1:11" x14ac:dyDescent="0.3">
      <c r="A691" s="5" t="s">
        <v>45</v>
      </c>
      <c r="B691" s="6">
        <v>40250</v>
      </c>
      <c r="C691" s="5">
        <v>11</v>
      </c>
      <c r="D691" s="5">
        <v>3</v>
      </c>
      <c r="E691" s="5">
        <v>2010</v>
      </c>
      <c r="F691" s="5" t="s">
        <v>22</v>
      </c>
      <c r="G691" s="5" t="s">
        <v>8</v>
      </c>
      <c r="H691" s="7">
        <v>606630.48</v>
      </c>
      <c r="I691" s="7">
        <v>650741.51</v>
      </c>
      <c r="J691" s="7">
        <v>44111.030000000028</v>
      </c>
      <c r="K691" s="8">
        <v>7.2714826330520066E-2</v>
      </c>
    </row>
    <row r="692" spans="1:11" x14ac:dyDescent="0.3">
      <c r="A692" s="5" t="s">
        <v>45</v>
      </c>
      <c r="B692" s="6">
        <v>40250</v>
      </c>
      <c r="C692" s="5">
        <v>11</v>
      </c>
      <c r="D692" s="5">
        <v>3</v>
      </c>
      <c r="E692" s="5">
        <v>2010</v>
      </c>
      <c r="F692" s="5" t="s">
        <v>23</v>
      </c>
      <c r="G692" s="5" t="s">
        <v>8</v>
      </c>
      <c r="H692" s="7">
        <v>288077.5</v>
      </c>
      <c r="I692" s="7">
        <v>300829.42</v>
      </c>
      <c r="J692" s="7">
        <v>12751.919999999984</v>
      </c>
      <c r="K692" s="8">
        <v>4.4265588253160987E-2</v>
      </c>
    </row>
    <row r="693" spans="1:11" x14ac:dyDescent="0.3">
      <c r="A693" s="5" t="s">
        <v>45</v>
      </c>
      <c r="B693" s="6">
        <v>40250</v>
      </c>
      <c r="C693" s="5">
        <v>11</v>
      </c>
      <c r="D693" s="5">
        <v>3</v>
      </c>
      <c r="E693" s="5">
        <v>2010</v>
      </c>
      <c r="F693" s="5" t="s">
        <v>24</v>
      </c>
      <c r="G693" s="5" t="s">
        <v>8</v>
      </c>
      <c r="H693" s="7">
        <v>162362</v>
      </c>
      <c r="I693" s="7">
        <v>172416.31</v>
      </c>
      <c r="J693" s="7">
        <v>10054.309999999998</v>
      </c>
      <c r="K693" s="8">
        <v>6.192526576415662E-2</v>
      </c>
    </row>
    <row r="694" spans="1:11" x14ac:dyDescent="0.3">
      <c r="A694" s="5" t="s">
        <v>45</v>
      </c>
      <c r="B694" s="6">
        <v>40250</v>
      </c>
      <c r="C694" s="5">
        <v>11</v>
      </c>
      <c r="D694" s="5">
        <v>3</v>
      </c>
      <c r="E694" s="5">
        <v>2010</v>
      </c>
      <c r="F694" s="5" t="s">
        <v>25</v>
      </c>
      <c r="G694" s="5" t="s">
        <v>8</v>
      </c>
      <c r="H694" s="7">
        <v>19225.150000000001</v>
      </c>
      <c r="I694" s="7">
        <v>22019.14</v>
      </c>
      <c r="J694" s="7">
        <v>2793.989999999998</v>
      </c>
      <c r="K694" s="8">
        <v>0.14532994541004871</v>
      </c>
    </row>
    <row r="695" spans="1:11" x14ac:dyDescent="0.3">
      <c r="A695" s="5" t="s">
        <v>45</v>
      </c>
      <c r="B695" s="6">
        <v>40250</v>
      </c>
      <c r="C695" s="5">
        <v>11</v>
      </c>
      <c r="D695" s="5">
        <v>3</v>
      </c>
      <c r="E695" s="5">
        <v>2010</v>
      </c>
      <c r="F695" s="5" t="s">
        <v>26</v>
      </c>
      <c r="G695" s="5" t="s">
        <v>10</v>
      </c>
      <c r="H695" s="7">
        <v>34946.15</v>
      </c>
      <c r="I695" s="7">
        <v>38430.53</v>
      </c>
      <c r="J695" s="7">
        <v>3484.3799999999974</v>
      </c>
      <c r="K695" s="8">
        <v>9.9707120813022243E-2</v>
      </c>
    </row>
    <row r="696" spans="1:11" x14ac:dyDescent="0.3">
      <c r="A696" s="5" t="s">
        <v>45</v>
      </c>
      <c r="B696" s="6">
        <v>40250</v>
      </c>
      <c r="C696" s="5">
        <v>11</v>
      </c>
      <c r="D696" s="5">
        <v>3</v>
      </c>
      <c r="E696" s="5">
        <v>2010</v>
      </c>
      <c r="F696" s="5" t="s">
        <v>27</v>
      </c>
      <c r="G696" s="5" t="s">
        <v>10</v>
      </c>
      <c r="H696" s="7">
        <v>211737.72</v>
      </c>
      <c r="I696" s="7">
        <v>239141.65</v>
      </c>
      <c r="J696" s="7">
        <v>27403.929999999993</v>
      </c>
      <c r="K696" s="8">
        <v>0.12942394014632816</v>
      </c>
    </row>
    <row r="697" spans="1:11" x14ac:dyDescent="0.3">
      <c r="A697" s="5" t="s">
        <v>45</v>
      </c>
      <c r="B697" s="6">
        <v>40250</v>
      </c>
      <c r="C697" s="5">
        <v>11</v>
      </c>
      <c r="D697" s="5">
        <v>3</v>
      </c>
      <c r="E697" s="5">
        <v>2010</v>
      </c>
      <c r="F697" s="5" t="s">
        <v>28</v>
      </c>
      <c r="G697" s="5" t="s">
        <v>10</v>
      </c>
      <c r="H697" s="7">
        <v>193435.41</v>
      </c>
      <c r="I697" s="7">
        <v>219739.21</v>
      </c>
      <c r="J697" s="7">
        <v>26303.799999999988</v>
      </c>
      <c r="K697" s="8">
        <v>0.13598234159919317</v>
      </c>
    </row>
    <row r="698" spans="1:11" x14ac:dyDescent="0.3">
      <c r="A698" s="5" t="s">
        <v>45</v>
      </c>
      <c r="B698" s="6">
        <v>40250</v>
      </c>
      <c r="C698" s="5">
        <v>11</v>
      </c>
      <c r="D698" s="5">
        <v>3</v>
      </c>
      <c r="E698" s="5">
        <v>2010</v>
      </c>
      <c r="F698" s="5" t="s">
        <v>29</v>
      </c>
      <c r="G698" s="5" t="s">
        <v>10</v>
      </c>
      <c r="H698" s="7">
        <v>1240990.81</v>
      </c>
      <c r="I698" s="7">
        <v>1351528.41</v>
      </c>
      <c r="J698" s="7">
        <v>110537.59999999986</v>
      </c>
      <c r="K698" s="8">
        <v>8.9072053643974899E-2</v>
      </c>
    </row>
    <row r="699" spans="1:11" x14ac:dyDescent="0.3">
      <c r="A699" s="5" t="s">
        <v>45</v>
      </c>
      <c r="B699" s="6">
        <v>40250</v>
      </c>
      <c r="C699" s="5">
        <v>11</v>
      </c>
      <c r="D699" s="5">
        <v>3</v>
      </c>
      <c r="E699" s="5">
        <v>2010</v>
      </c>
      <c r="F699" s="5" t="s">
        <v>30</v>
      </c>
      <c r="G699" s="5" t="s">
        <v>10</v>
      </c>
      <c r="H699" s="7">
        <v>252153.96</v>
      </c>
      <c r="I699" s="7">
        <v>283217.77</v>
      </c>
      <c r="J699" s="7">
        <v>31063.810000000027</v>
      </c>
      <c r="K699" s="8">
        <v>0.12319382174287498</v>
      </c>
    </row>
    <row r="700" spans="1:11" x14ac:dyDescent="0.3">
      <c r="A700" s="5" t="s">
        <v>45</v>
      </c>
      <c r="B700" s="6">
        <v>40250</v>
      </c>
      <c r="C700" s="5">
        <v>11</v>
      </c>
      <c r="D700" s="5">
        <v>3</v>
      </c>
      <c r="E700" s="5">
        <v>2010</v>
      </c>
      <c r="F700" s="5" t="s">
        <v>31</v>
      </c>
      <c r="G700" s="5" t="s">
        <v>7</v>
      </c>
      <c r="H700" s="7">
        <v>57065.24</v>
      </c>
      <c r="I700" s="7">
        <v>72880.850000000006</v>
      </c>
      <c r="J700" s="7">
        <v>15815.610000000008</v>
      </c>
      <c r="K700" s="8">
        <v>0.27714962733881449</v>
      </c>
    </row>
    <row r="701" spans="1:11" x14ac:dyDescent="0.3">
      <c r="A701" s="5" t="s">
        <v>45</v>
      </c>
      <c r="B701" s="6">
        <v>40250</v>
      </c>
      <c r="C701" s="5">
        <v>11</v>
      </c>
      <c r="D701" s="5">
        <v>3</v>
      </c>
      <c r="E701" s="5">
        <v>2010</v>
      </c>
      <c r="F701" s="5" t="s">
        <v>32</v>
      </c>
      <c r="G701" s="5" t="s">
        <v>7</v>
      </c>
      <c r="H701" s="7">
        <v>28468.25</v>
      </c>
      <c r="I701" s="7">
        <v>32734.06</v>
      </c>
      <c r="J701" s="7">
        <v>4265.8100000000013</v>
      </c>
      <c r="K701" s="8">
        <v>0.14984447586346197</v>
      </c>
    </row>
    <row r="702" spans="1:11" x14ac:dyDescent="0.3">
      <c r="A702" s="5" t="s">
        <v>45</v>
      </c>
      <c r="B702" s="6">
        <v>40250</v>
      </c>
      <c r="C702" s="5">
        <v>11</v>
      </c>
      <c r="D702" s="5">
        <v>3</v>
      </c>
      <c r="E702" s="5">
        <v>2010</v>
      </c>
      <c r="F702" s="5" t="s">
        <v>33</v>
      </c>
      <c r="G702" s="5" t="s">
        <v>7</v>
      </c>
      <c r="H702" s="7">
        <v>285047.96999999997</v>
      </c>
      <c r="I702" s="7">
        <v>389423.49</v>
      </c>
      <c r="J702" s="7">
        <v>104375.52000000002</v>
      </c>
      <c r="K702" s="8">
        <v>0.36616826283660264</v>
      </c>
    </row>
    <row r="703" spans="1:11" x14ac:dyDescent="0.3">
      <c r="A703" s="5" t="s">
        <v>45</v>
      </c>
      <c r="B703" s="6">
        <v>40250</v>
      </c>
      <c r="C703" s="5">
        <v>11</v>
      </c>
      <c r="D703" s="5">
        <v>3</v>
      </c>
      <c r="E703" s="5">
        <v>2010</v>
      </c>
      <c r="F703" s="5" t="s">
        <v>34</v>
      </c>
      <c r="G703" s="5" t="s">
        <v>7</v>
      </c>
      <c r="H703" s="7">
        <v>1140</v>
      </c>
      <c r="I703" s="7">
        <v>1424.81</v>
      </c>
      <c r="J703" s="7">
        <v>284.80999999999995</v>
      </c>
      <c r="K703" s="8">
        <v>0.2498333333333333</v>
      </c>
    </row>
    <row r="704" spans="1:11" x14ac:dyDescent="0.3">
      <c r="A704" s="5" t="s">
        <v>45</v>
      </c>
      <c r="B704" s="6">
        <v>40250</v>
      </c>
      <c r="C704" s="5">
        <v>11</v>
      </c>
      <c r="D704" s="5">
        <v>3</v>
      </c>
      <c r="E704" s="5">
        <v>2010</v>
      </c>
      <c r="F704" s="5" t="s">
        <v>35</v>
      </c>
      <c r="G704" s="5" t="s">
        <v>11</v>
      </c>
      <c r="H704" s="7">
        <v>4929.92</v>
      </c>
      <c r="I704" s="7">
        <v>6406.93</v>
      </c>
      <c r="J704" s="7">
        <v>1477.0100000000002</v>
      </c>
      <c r="K704" s="8">
        <v>0.29960121056731148</v>
      </c>
    </row>
    <row r="705" spans="1:11" x14ac:dyDescent="0.3">
      <c r="A705" s="5" t="s">
        <v>45</v>
      </c>
      <c r="B705" s="6">
        <v>40250</v>
      </c>
      <c r="C705" s="5">
        <v>11</v>
      </c>
      <c r="D705" s="5">
        <v>3</v>
      </c>
      <c r="E705" s="5">
        <v>2010</v>
      </c>
      <c r="F705" s="5" t="s">
        <v>36</v>
      </c>
      <c r="G705" s="5" t="s">
        <v>11</v>
      </c>
      <c r="H705" s="7">
        <v>251981.55</v>
      </c>
      <c r="I705" s="7">
        <v>261328.87</v>
      </c>
      <c r="J705" s="7">
        <v>9347.320000000007</v>
      </c>
      <c r="K705" s="8">
        <v>3.7095255585180772E-2</v>
      </c>
    </row>
    <row r="706" spans="1:11" x14ac:dyDescent="0.3">
      <c r="A706" s="5" t="s">
        <v>45</v>
      </c>
      <c r="B706" s="6">
        <v>40250</v>
      </c>
      <c r="C706" s="5">
        <v>11</v>
      </c>
      <c r="D706" s="5">
        <v>3</v>
      </c>
      <c r="E706" s="5">
        <v>2010</v>
      </c>
      <c r="F706" s="5" t="s">
        <v>37</v>
      </c>
      <c r="G706" s="5" t="s">
        <v>11</v>
      </c>
      <c r="H706" s="7">
        <v>541621.68000000005</v>
      </c>
      <c r="I706" s="7">
        <v>581731.48</v>
      </c>
      <c r="J706" s="7">
        <v>40109.79999999993</v>
      </c>
      <c r="K706" s="8">
        <v>7.4055011978102367E-2</v>
      </c>
    </row>
    <row r="707" spans="1:11" x14ac:dyDescent="0.3">
      <c r="A707" s="5" t="s">
        <v>45</v>
      </c>
      <c r="B707" s="6">
        <v>40250</v>
      </c>
      <c r="C707" s="5">
        <v>11</v>
      </c>
      <c r="D707" s="5">
        <v>3</v>
      </c>
      <c r="E707" s="5">
        <v>2010</v>
      </c>
      <c r="F707" s="5" t="s">
        <v>38</v>
      </c>
      <c r="G707" s="5" t="s">
        <v>11</v>
      </c>
      <c r="H707" s="7">
        <v>556190.87</v>
      </c>
      <c r="I707" s="7">
        <v>555369.47</v>
      </c>
      <c r="J707" s="7">
        <v>-821.40000000002328</v>
      </c>
      <c r="K707" s="8">
        <v>-1.4768311461136054E-3</v>
      </c>
    </row>
    <row r="708" spans="1:11" x14ac:dyDescent="0.3">
      <c r="A708" s="5" t="s">
        <v>45</v>
      </c>
      <c r="B708" s="6">
        <v>40251</v>
      </c>
      <c r="C708" s="5">
        <v>12</v>
      </c>
      <c r="D708" s="5">
        <v>3</v>
      </c>
      <c r="E708" s="5">
        <v>2010</v>
      </c>
      <c r="F708" s="5" t="s">
        <v>14</v>
      </c>
      <c r="G708" s="5" t="s">
        <v>6</v>
      </c>
      <c r="H708" s="7">
        <v>6222</v>
      </c>
      <c r="I708" s="7">
        <v>7136.08</v>
      </c>
      <c r="J708" s="7">
        <v>914.07999999999993</v>
      </c>
      <c r="K708" s="8">
        <v>0.14691096110575377</v>
      </c>
    </row>
    <row r="709" spans="1:11" x14ac:dyDescent="0.3">
      <c r="A709" s="5" t="s">
        <v>45</v>
      </c>
      <c r="B709" s="6">
        <v>40251</v>
      </c>
      <c r="C709" s="5">
        <v>12</v>
      </c>
      <c r="D709" s="5">
        <v>3</v>
      </c>
      <c r="E709" s="5">
        <v>2010</v>
      </c>
      <c r="F709" s="5" t="s">
        <v>15</v>
      </c>
      <c r="G709" s="5" t="s">
        <v>6</v>
      </c>
      <c r="H709" s="7">
        <v>129680.11</v>
      </c>
      <c r="I709" s="7">
        <v>175143.92</v>
      </c>
      <c r="J709" s="7">
        <v>45463.810000000012</v>
      </c>
      <c r="K709" s="8">
        <v>0.35058429546366066</v>
      </c>
    </row>
    <row r="710" spans="1:11" x14ac:dyDescent="0.3">
      <c r="A710" s="5" t="s">
        <v>45</v>
      </c>
      <c r="B710" s="6">
        <v>40251</v>
      </c>
      <c r="C710" s="5">
        <v>12</v>
      </c>
      <c r="D710" s="5">
        <v>3</v>
      </c>
      <c r="E710" s="5">
        <v>2010</v>
      </c>
      <c r="F710" s="5" t="s">
        <v>16</v>
      </c>
      <c r="G710" s="5" t="s">
        <v>6</v>
      </c>
      <c r="H710" s="7">
        <v>17058.439999999999</v>
      </c>
      <c r="I710" s="7">
        <v>19110.23</v>
      </c>
      <c r="J710" s="7">
        <v>2051.7900000000009</v>
      </c>
      <c r="K710" s="8">
        <v>0.12028004905489606</v>
      </c>
    </row>
    <row r="711" spans="1:11" x14ac:dyDescent="0.3">
      <c r="A711" s="5" t="s">
        <v>45</v>
      </c>
      <c r="B711" s="6">
        <v>40251</v>
      </c>
      <c r="C711" s="5">
        <v>12</v>
      </c>
      <c r="D711" s="5">
        <v>3</v>
      </c>
      <c r="E711" s="5">
        <v>2010</v>
      </c>
      <c r="F711" s="5" t="s">
        <v>17</v>
      </c>
      <c r="G711" s="5" t="s">
        <v>6</v>
      </c>
      <c r="H711" s="7">
        <v>2296</v>
      </c>
      <c r="I711" s="7">
        <v>2416.11</v>
      </c>
      <c r="J711" s="7">
        <v>120.11000000000013</v>
      </c>
      <c r="K711" s="8">
        <v>5.2312717770034899E-2</v>
      </c>
    </row>
    <row r="712" spans="1:11" x14ac:dyDescent="0.3">
      <c r="A712" s="5" t="s">
        <v>45</v>
      </c>
      <c r="B712" s="6">
        <v>40251</v>
      </c>
      <c r="C712" s="5">
        <v>12</v>
      </c>
      <c r="D712" s="5">
        <v>3</v>
      </c>
      <c r="E712" s="5">
        <v>2010</v>
      </c>
      <c r="F712" s="5" t="s">
        <v>18</v>
      </c>
      <c r="G712" s="5" t="s">
        <v>6</v>
      </c>
      <c r="H712" s="7">
        <v>2585</v>
      </c>
      <c r="I712" s="7">
        <v>2936.03</v>
      </c>
      <c r="J712" s="7">
        <v>351.0300000000002</v>
      </c>
      <c r="K712" s="8">
        <v>0.13579497098646043</v>
      </c>
    </row>
    <row r="713" spans="1:11" x14ac:dyDescent="0.3">
      <c r="A713" s="5" t="s">
        <v>45</v>
      </c>
      <c r="B713" s="6">
        <v>40251</v>
      </c>
      <c r="C713" s="5">
        <v>12</v>
      </c>
      <c r="D713" s="5">
        <v>3</v>
      </c>
      <c r="E713" s="5">
        <v>2010</v>
      </c>
      <c r="F713" s="5" t="s">
        <v>19</v>
      </c>
      <c r="G713" s="5" t="s">
        <v>5</v>
      </c>
      <c r="H713" s="7">
        <v>122286.01</v>
      </c>
      <c r="I713" s="7">
        <v>138351.28</v>
      </c>
      <c r="J713" s="7">
        <v>16065.270000000004</v>
      </c>
      <c r="K713" s="8">
        <v>0.13137455380218885</v>
      </c>
    </row>
    <row r="714" spans="1:11" x14ac:dyDescent="0.3">
      <c r="A714" s="5" t="s">
        <v>45</v>
      </c>
      <c r="B714" s="6">
        <v>40251</v>
      </c>
      <c r="C714" s="5">
        <v>12</v>
      </c>
      <c r="D714" s="5">
        <v>3</v>
      </c>
      <c r="E714" s="5">
        <v>2010</v>
      </c>
      <c r="F714" s="5" t="s">
        <v>5</v>
      </c>
      <c r="G714" s="5" t="s">
        <v>5</v>
      </c>
      <c r="H714" s="7">
        <v>477166.15</v>
      </c>
      <c r="I714" s="7">
        <v>515912.75</v>
      </c>
      <c r="J714" s="7">
        <v>38746.599999999977</v>
      </c>
      <c r="K714" s="8">
        <v>8.1201485059239797E-2</v>
      </c>
    </row>
    <row r="715" spans="1:11" x14ac:dyDescent="0.3">
      <c r="A715" s="5" t="s">
        <v>45</v>
      </c>
      <c r="B715" s="6">
        <v>40251</v>
      </c>
      <c r="C715" s="5">
        <v>12</v>
      </c>
      <c r="D715" s="5">
        <v>3</v>
      </c>
      <c r="E715" s="5">
        <v>2010</v>
      </c>
      <c r="F715" s="5" t="s">
        <v>20</v>
      </c>
      <c r="G715" s="5" t="s">
        <v>5</v>
      </c>
      <c r="H715" s="7">
        <v>114416.83</v>
      </c>
      <c r="I715" s="7">
        <v>127148.79</v>
      </c>
      <c r="J715" s="7">
        <v>12731.959999999992</v>
      </c>
      <c r="K715" s="8">
        <v>0.11127698608674957</v>
      </c>
    </row>
    <row r="716" spans="1:11" x14ac:dyDescent="0.3">
      <c r="A716" s="5" t="s">
        <v>45</v>
      </c>
      <c r="B716" s="6">
        <v>40251</v>
      </c>
      <c r="C716" s="5">
        <v>12</v>
      </c>
      <c r="D716" s="5">
        <v>3</v>
      </c>
      <c r="E716" s="5">
        <v>2010</v>
      </c>
      <c r="F716" s="5" t="s">
        <v>21</v>
      </c>
      <c r="G716" s="5" t="s">
        <v>5</v>
      </c>
      <c r="H716" s="7">
        <v>192399.14</v>
      </c>
      <c r="I716" s="7">
        <v>211903.08</v>
      </c>
      <c r="J716" s="7">
        <v>19503.939999999973</v>
      </c>
      <c r="K716" s="8">
        <v>0.10137228264118006</v>
      </c>
    </row>
    <row r="717" spans="1:11" x14ac:dyDescent="0.3">
      <c r="A717" s="5" t="s">
        <v>45</v>
      </c>
      <c r="B717" s="6">
        <v>40251</v>
      </c>
      <c r="C717" s="5">
        <v>12</v>
      </c>
      <c r="D717" s="5">
        <v>3</v>
      </c>
      <c r="E717" s="5">
        <v>2010</v>
      </c>
      <c r="F717" s="5" t="s">
        <v>22</v>
      </c>
      <c r="G717" s="5" t="s">
        <v>8</v>
      </c>
      <c r="H717" s="7">
        <v>285736.99</v>
      </c>
      <c r="I717" s="7">
        <v>306206.63</v>
      </c>
      <c r="J717" s="7">
        <v>20469.640000000014</v>
      </c>
      <c r="K717" s="8">
        <v>7.1638047282572739E-2</v>
      </c>
    </row>
    <row r="718" spans="1:11" x14ac:dyDescent="0.3">
      <c r="A718" s="5" t="s">
        <v>45</v>
      </c>
      <c r="B718" s="6">
        <v>40251</v>
      </c>
      <c r="C718" s="5">
        <v>12</v>
      </c>
      <c r="D718" s="5">
        <v>3</v>
      </c>
      <c r="E718" s="5">
        <v>2010</v>
      </c>
      <c r="F718" s="5" t="s">
        <v>23</v>
      </c>
      <c r="G718" s="5" t="s">
        <v>8</v>
      </c>
      <c r="H718" s="7">
        <v>199465.1</v>
      </c>
      <c r="I718" s="7">
        <v>207528.7</v>
      </c>
      <c r="J718" s="7">
        <v>8063.6000000000058</v>
      </c>
      <c r="K718" s="8">
        <v>4.0426119657022738E-2</v>
      </c>
    </row>
    <row r="719" spans="1:11" x14ac:dyDescent="0.3">
      <c r="A719" s="5" t="s">
        <v>45</v>
      </c>
      <c r="B719" s="6">
        <v>40251</v>
      </c>
      <c r="C719" s="5">
        <v>12</v>
      </c>
      <c r="D719" s="5">
        <v>3</v>
      </c>
      <c r="E719" s="5">
        <v>2010</v>
      </c>
      <c r="F719" s="5" t="s">
        <v>24</v>
      </c>
      <c r="G719" s="5" t="s">
        <v>8</v>
      </c>
      <c r="H719" s="7">
        <v>103743</v>
      </c>
      <c r="I719" s="7">
        <v>110428.43</v>
      </c>
      <c r="J719" s="7">
        <v>6685.429999999993</v>
      </c>
      <c r="K719" s="8">
        <v>6.4442227427392626E-2</v>
      </c>
    </row>
    <row r="720" spans="1:11" x14ac:dyDescent="0.3">
      <c r="A720" s="5" t="s">
        <v>45</v>
      </c>
      <c r="B720" s="6">
        <v>40251</v>
      </c>
      <c r="C720" s="5">
        <v>12</v>
      </c>
      <c r="D720" s="5">
        <v>3</v>
      </c>
      <c r="E720" s="5">
        <v>2010</v>
      </c>
      <c r="F720" s="5" t="s">
        <v>25</v>
      </c>
      <c r="G720" s="5" t="s">
        <v>8</v>
      </c>
      <c r="H720" s="7">
        <v>30991.5</v>
      </c>
      <c r="I720" s="7">
        <v>33602.75</v>
      </c>
      <c r="J720" s="7">
        <v>2611.25</v>
      </c>
      <c r="K720" s="8">
        <v>8.425697368633335E-2</v>
      </c>
    </row>
    <row r="721" spans="1:11" x14ac:dyDescent="0.3">
      <c r="A721" s="5" t="s">
        <v>45</v>
      </c>
      <c r="B721" s="6">
        <v>40251</v>
      </c>
      <c r="C721" s="5">
        <v>12</v>
      </c>
      <c r="D721" s="5">
        <v>3</v>
      </c>
      <c r="E721" s="5">
        <v>2010</v>
      </c>
      <c r="F721" s="5" t="s">
        <v>26</v>
      </c>
      <c r="G721" s="5" t="s">
        <v>10</v>
      </c>
      <c r="H721" s="7">
        <v>16836.05</v>
      </c>
      <c r="I721" s="7">
        <v>18796.88</v>
      </c>
      <c r="J721" s="7">
        <v>1960.8300000000017</v>
      </c>
      <c r="K721" s="8">
        <v>0.11646615447210015</v>
      </c>
    </row>
    <row r="722" spans="1:11" x14ac:dyDescent="0.3">
      <c r="A722" s="5" t="s">
        <v>45</v>
      </c>
      <c r="B722" s="6">
        <v>40251</v>
      </c>
      <c r="C722" s="5">
        <v>12</v>
      </c>
      <c r="D722" s="5">
        <v>3</v>
      </c>
      <c r="E722" s="5">
        <v>2010</v>
      </c>
      <c r="F722" s="5" t="s">
        <v>27</v>
      </c>
      <c r="G722" s="5" t="s">
        <v>10</v>
      </c>
      <c r="H722" s="7">
        <v>177634.91</v>
      </c>
      <c r="I722" s="7">
        <v>200650.18</v>
      </c>
      <c r="J722" s="7">
        <v>23015.26999999999</v>
      </c>
      <c r="K722" s="8">
        <v>0.12956501624596195</v>
      </c>
    </row>
    <row r="723" spans="1:11" x14ac:dyDescent="0.3">
      <c r="A723" s="5" t="s">
        <v>45</v>
      </c>
      <c r="B723" s="6">
        <v>40251</v>
      </c>
      <c r="C723" s="5">
        <v>12</v>
      </c>
      <c r="D723" s="5">
        <v>3</v>
      </c>
      <c r="E723" s="5">
        <v>2010</v>
      </c>
      <c r="F723" s="5" t="s">
        <v>28</v>
      </c>
      <c r="G723" s="5" t="s">
        <v>10</v>
      </c>
      <c r="H723" s="7">
        <v>88679.65</v>
      </c>
      <c r="I723" s="7">
        <v>98880.97</v>
      </c>
      <c r="J723" s="7">
        <v>10201.320000000007</v>
      </c>
      <c r="K723" s="8">
        <v>0.11503563669906239</v>
      </c>
    </row>
    <row r="724" spans="1:11" x14ac:dyDescent="0.3">
      <c r="A724" s="5" t="s">
        <v>45</v>
      </c>
      <c r="B724" s="6">
        <v>40251</v>
      </c>
      <c r="C724" s="5">
        <v>12</v>
      </c>
      <c r="D724" s="5">
        <v>3</v>
      </c>
      <c r="E724" s="5">
        <v>2010</v>
      </c>
      <c r="F724" s="5" t="s">
        <v>29</v>
      </c>
      <c r="G724" s="5" t="s">
        <v>10</v>
      </c>
      <c r="H724" s="7">
        <v>858942.07</v>
      </c>
      <c r="I724" s="7">
        <v>941454.54</v>
      </c>
      <c r="J724" s="7">
        <v>82512.470000000088</v>
      </c>
      <c r="K724" s="8">
        <v>9.6062904451752015E-2</v>
      </c>
    </row>
    <row r="725" spans="1:11" x14ac:dyDescent="0.3">
      <c r="A725" s="5" t="s">
        <v>45</v>
      </c>
      <c r="B725" s="6">
        <v>40251</v>
      </c>
      <c r="C725" s="5">
        <v>12</v>
      </c>
      <c r="D725" s="5">
        <v>3</v>
      </c>
      <c r="E725" s="5">
        <v>2010</v>
      </c>
      <c r="F725" s="5" t="s">
        <v>30</v>
      </c>
      <c r="G725" s="5" t="s">
        <v>10</v>
      </c>
      <c r="H725" s="7">
        <v>179139.98</v>
      </c>
      <c r="I725" s="7">
        <v>202025.36</v>
      </c>
      <c r="J725" s="7">
        <v>22885.379999999976</v>
      </c>
      <c r="K725" s="8">
        <v>0.12775138190815905</v>
      </c>
    </row>
    <row r="726" spans="1:11" x14ac:dyDescent="0.3">
      <c r="A726" s="5" t="s">
        <v>45</v>
      </c>
      <c r="B726" s="6">
        <v>40251</v>
      </c>
      <c r="C726" s="5">
        <v>12</v>
      </c>
      <c r="D726" s="5">
        <v>3</v>
      </c>
      <c r="E726" s="5">
        <v>2010</v>
      </c>
      <c r="F726" s="5" t="s">
        <v>31</v>
      </c>
      <c r="G726" s="5" t="s">
        <v>7</v>
      </c>
      <c r="H726" s="7">
        <v>45670.559999999998</v>
      </c>
      <c r="I726" s="7">
        <v>53340.160000000003</v>
      </c>
      <c r="J726" s="7">
        <v>7669.6000000000058</v>
      </c>
      <c r="K726" s="8">
        <v>0.1679331280369675</v>
      </c>
    </row>
    <row r="727" spans="1:11" x14ac:dyDescent="0.3">
      <c r="A727" s="5" t="s">
        <v>45</v>
      </c>
      <c r="B727" s="6">
        <v>40251</v>
      </c>
      <c r="C727" s="5">
        <v>12</v>
      </c>
      <c r="D727" s="5">
        <v>3</v>
      </c>
      <c r="E727" s="5">
        <v>2010</v>
      </c>
      <c r="F727" s="5" t="s">
        <v>32</v>
      </c>
      <c r="G727" s="5" t="s">
        <v>7</v>
      </c>
      <c r="H727" s="7">
        <v>47618.400000000001</v>
      </c>
      <c r="I727" s="7">
        <v>54753.96</v>
      </c>
      <c r="J727" s="7">
        <v>7135.5599999999977</v>
      </c>
      <c r="K727" s="8">
        <v>0.14984879794365197</v>
      </c>
    </row>
    <row r="728" spans="1:11" x14ac:dyDescent="0.3">
      <c r="A728" s="5" t="s">
        <v>45</v>
      </c>
      <c r="B728" s="6">
        <v>40251</v>
      </c>
      <c r="C728" s="5">
        <v>12</v>
      </c>
      <c r="D728" s="5">
        <v>3</v>
      </c>
      <c r="E728" s="5">
        <v>2010</v>
      </c>
      <c r="F728" s="5" t="s">
        <v>33</v>
      </c>
      <c r="G728" s="5" t="s">
        <v>7</v>
      </c>
      <c r="H728" s="7">
        <v>229190.31</v>
      </c>
      <c r="I728" s="7">
        <v>320647.25</v>
      </c>
      <c r="J728" s="7">
        <v>91456.94</v>
      </c>
      <c r="K728" s="8">
        <v>0.39904365939380249</v>
      </c>
    </row>
    <row r="729" spans="1:11" x14ac:dyDescent="0.3">
      <c r="A729" s="5" t="s">
        <v>45</v>
      </c>
      <c r="B729" s="6">
        <v>40251</v>
      </c>
      <c r="C729" s="5">
        <v>12</v>
      </c>
      <c r="D729" s="5">
        <v>3</v>
      </c>
      <c r="E729" s="5">
        <v>2010</v>
      </c>
      <c r="F729" s="5" t="s">
        <v>34</v>
      </c>
      <c r="G729" s="5" t="s">
        <v>7</v>
      </c>
      <c r="H729" s="7">
        <v>684</v>
      </c>
      <c r="I729" s="7">
        <v>854.86</v>
      </c>
      <c r="J729" s="7">
        <v>170.86</v>
      </c>
      <c r="K729" s="8">
        <v>0.24979532163742693</v>
      </c>
    </row>
    <row r="730" spans="1:11" x14ac:dyDescent="0.3">
      <c r="A730" s="5" t="s">
        <v>45</v>
      </c>
      <c r="B730" s="6">
        <v>40251</v>
      </c>
      <c r="C730" s="5">
        <v>12</v>
      </c>
      <c r="D730" s="5">
        <v>3</v>
      </c>
      <c r="E730" s="5">
        <v>2010</v>
      </c>
      <c r="F730" s="5" t="s">
        <v>35</v>
      </c>
      <c r="G730" s="5" t="s">
        <v>11</v>
      </c>
      <c r="H730" s="7">
        <v>3200.88</v>
      </c>
      <c r="I730" s="7">
        <v>4159.43</v>
      </c>
      <c r="J730" s="7">
        <v>958.55000000000018</v>
      </c>
      <c r="K730" s="8">
        <v>0.29946452225637954</v>
      </c>
    </row>
    <row r="731" spans="1:11" x14ac:dyDescent="0.3">
      <c r="A731" s="5" t="s">
        <v>45</v>
      </c>
      <c r="B731" s="6">
        <v>40251</v>
      </c>
      <c r="C731" s="5">
        <v>12</v>
      </c>
      <c r="D731" s="5">
        <v>3</v>
      </c>
      <c r="E731" s="5">
        <v>2010</v>
      </c>
      <c r="F731" s="5" t="s">
        <v>36</v>
      </c>
      <c r="G731" s="5" t="s">
        <v>11</v>
      </c>
      <c r="H731" s="7">
        <v>192404.24</v>
      </c>
      <c r="I731" s="7">
        <v>196698.8</v>
      </c>
      <c r="J731" s="7">
        <v>4294.5599999999977</v>
      </c>
      <c r="K731" s="8">
        <v>2.2320506034586338E-2</v>
      </c>
    </row>
    <row r="732" spans="1:11" x14ac:dyDescent="0.3">
      <c r="A732" s="5" t="s">
        <v>45</v>
      </c>
      <c r="B732" s="6">
        <v>40251</v>
      </c>
      <c r="C732" s="5">
        <v>12</v>
      </c>
      <c r="D732" s="5">
        <v>3</v>
      </c>
      <c r="E732" s="5">
        <v>2010</v>
      </c>
      <c r="F732" s="5" t="s">
        <v>37</v>
      </c>
      <c r="G732" s="5" t="s">
        <v>11</v>
      </c>
      <c r="H732" s="7">
        <v>475876.68</v>
      </c>
      <c r="I732" s="7">
        <v>512228.04</v>
      </c>
      <c r="J732" s="7">
        <v>36351.359999999986</v>
      </c>
      <c r="K732" s="8">
        <v>7.6388193680766173E-2</v>
      </c>
    </row>
    <row r="733" spans="1:11" x14ac:dyDescent="0.3">
      <c r="A733" s="5" t="s">
        <v>45</v>
      </c>
      <c r="B733" s="6">
        <v>40251</v>
      </c>
      <c r="C733" s="5">
        <v>12</v>
      </c>
      <c r="D733" s="5">
        <v>3</v>
      </c>
      <c r="E733" s="5">
        <v>2010</v>
      </c>
      <c r="F733" s="5" t="s">
        <v>38</v>
      </c>
      <c r="G733" s="5" t="s">
        <v>11</v>
      </c>
      <c r="H733" s="7">
        <v>475655.77</v>
      </c>
      <c r="I733" s="7">
        <v>473001.58</v>
      </c>
      <c r="J733" s="7">
        <v>-2654.1900000000023</v>
      </c>
      <c r="K733" s="8">
        <v>-5.5800647598577479E-3</v>
      </c>
    </row>
    <row r="734" spans="1:11" x14ac:dyDescent="0.3">
      <c r="A734" s="5" t="s">
        <v>45</v>
      </c>
      <c r="B734" s="6">
        <v>40252</v>
      </c>
      <c r="C734" s="5">
        <v>12</v>
      </c>
      <c r="D734" s="5">
        <v>3</v>
      </c>
      <c r="E734" s="5">
        <v>2010</v>
      </c>
      <c r="F734" s="5" t="s">
        <v>14</v>
      </c>
      <c r="G734" s="5" t="s">
        <v>6</v>
      </c>
      <c r="H734" s="7">
        <v>3927</v>
      </c>
      <c r="I734" s="7">
        <v>4803.8900000000003</v>
      </c>
      <c r="J734" s="7">
        <v>876.89000000000033</v>
      </c>
      <c r="K734" s="8">
        <v>0.2232976827094475</v>
      </c>
    </row>
    <row r="735" spans="1:11" x14ac:dyDescent="0.3">
      <c r="A735" s="5" t="s">
        <v>45</v>
      </c>
      <c r="B735" s="6">
        <v>40252</v>
      </c>
      <c r="C735" s="5">
        <v>12</v>
      </c>
      <c r="D735" s="5">
        <v>3</v>
      </c>
      <c r="E735" s="5">
        <v>2010</v>
      </c>
      <c r="F735" s="5" t="s">
        <v>15</v>
      </c>
      <c r="G735" s="5" t="s">
        <v>6</v>
      </c>
      <c r="H735" s="7">
        <v>66238.600000000006</v>
      </c>
      <c r="I735" s="7">
        <v>92849.600000000006</v>
      </c>
      <c r="J735" s="7">
        <v>26611</v>
      </c>
      <c r="K735" s="8">
        <v>0.40174460209002</v>
      </c>
    </row>
    <row r="736" spans="1:11" x14ac:dyDescent="0.3">
      <c r="A736" s="5" t="s">
        <v>45</v>
      </c>
      <c r="B736" s="6">
        <v>40252</v>
      </c>
      <c r="C736" s="5">
        <v>12</v>
      </c>
      <c r="D736" s="5">
        <v>3</v>
      </c>
      <c r="E736" s="5">
        <v>2010</v>
      </c>
      <c r="F736" s="5" t="s">
        <v>16</v>
      </c>
      <c r="G736" s="5" t="s">
        <v>6</v>
      </c>
      <c r="H736" s="7">
        <v>14917.76</v>
      </c>
      <c r="I736" s="7">
        <v>16822.84</v>
      </c>
      <c r="J736" s="7">
        <v>1905.08</v>
      </c>
      <c r="K736" s="8">
        <v>0.12770550002145092</v>
      </c>
    </row>
    <row r="737" spans="1:11" x14ac:dyDescent="0.3">
      <c r="A737" s="5" t="s">
        <v>45</v>
      </c>
      <c r="B737" s="6">
        <v>40252</v>
      </c>
      <c r="C737" s="5">
        <v>12</v>
      </c>
      <c r="D737" s="5">
        <v>3</v>
      </c>
      <c r="E737" s="5">
        <v>2010</v>
      </c>
      <c r="F737" s="5" t="s">
        <v>19</v>
      </c>
      <c r="G737" s="5" t="s">
        <v>5</v>
      </c>
      <c r="H737" s="7">
        <v>91187.49</v>
      </c>
      <c r="I737" s="7">
        <v>100206.99</v>
      </c>
      <c r="J737" s="7">
        <v>9019.5</v>
      </c>
      <c r="K737" s="8">
        <v>9.8911594123272828E-2</v>
      </c>
    </row>
    <row r="738" spans="1:11" x14ac:dyDescent="0.3">
      <c r="A738" s="5" t="s">
        <v>45</v>
      </c>
      <c r="B738" s="6">
        <v>40252</v>
      </c>
      <c r="C738" s="5">
        <v>12</v>
      </c>
      <c r="D738" s="5">
        <v>3</v>
      </c>
      <c r="E738" s="5">
        <v>2010</v>
      </c>
      <c r="F738" s="5" t="s">
        <v>5</v>
      </c>
      <c r="G738" s="5" t="s">
        <v>5</v>
      </c>
      <c r="H738" s="7">
        <v>299204.81</v>
      </c>
      <c r="I738" s="7">
        <v>322727.46999999997</v>
      </c>
      <c r="J738" s="7">
        <v>23522.659999999974</v>
      </c>
      <c r="K738" s="8">
        <v>7.8617252175858993E-2</v>
      </c>
    </row>
    <row r="739" spans="1:11" x14ac:dyDescent="0.3">
      <c r="A739" s="5" t="s">
        <v>45</v>
      </c>
      <c r="B739" s="6">
        <v>40252</v>
      </c>
      <c r="C739" s="5">
        <v>12</v>
      </c>
      <c r="D739" s="5">
        <v>3</v>
      </c>
      <c r="E739" s="5">
        <v>2010</v>
      </c>
      <c r="F739" s="5" t="s">
        <v>20</v>
      </c>
      <c r="G739" s="5" t="s">
        <v>5</v>
      </c>
      <c r="H739" s="7">
        <v>93558.37</v>
      </c>
      <c r="I739" s="7">
        <v>104247</v>
      </c>
      <c r="J739" s="7">
        <v>10688.630000000005</v>
      </c>
      <c r="K739" s="8">
        <v>0.11424557738660908</v>
      </c>
    </row>
    <row r="740" spans="1:11" x14ac:dyDescent="0.3">
      <c r="A740" s="5" t="s">
        <v>45</v>
      </c>
      <c r="B740" s="6">
        <v>40252</v>
      </c>
      <c r="C740" s="5">
        <v>12</v>
      </c>
      <c r="D740" s="5">
        <v>3</v>
      </c>
      <c r="E740" s="5">
        <v>2010</v>
      </c>
      <c r="F740" s="5" t="s">
        <v>21</v>
      </c>
      <c r="G740" s="5" t="s">
        <v>5</v>
      </c>
      <c r="H740" s="7">
        <v>141308.07</v>
      </c>
      <c r="I740" s="7">
        <v>155746.87</v>
      </c>
      <c r="J740" s="7">
        <v>14438.799999999988</v>
      </c>
      <c r="K740" s="8">
        <v>0.10217958535559921</v>
      </c>
    </row>
    <row r="741" spans="1:11" x14ac:dyDescent="0.3">
      <c r="A741" s="5" t="s">
        <v>45</v>
      </c>
      <c r="B741" s="6">
        <v>40252</v>
      </c>
      <c r="C741" s="5">
        <v>12</v>
      </c>
      <c r="D741" s="5">
        <v>3</v>
      </c>
      <c r="E741" s="5">
        <v>2010</v>
      </c>
      <c r="F741" s="5" t="s">
        <v>22</v>
      </c>
      <c r="G741" s="5" t="s">
        <v>8</v>
      </c>
      <c r="H741" s="7">
        <v>204402.99</v>
      </c>
      <c r="I741" s="7">
        <v>220094.55</v>
      </c>
      <c r="J741" s="7">
        <v>15691.559999999998</v>
      </c>
      <c r="K741" s="8">
        <v>7.6767761567479997E-2</v>
      </c>
    </row>
    <row r="742" spans="1:11" x14ac:dyDescent="0.3">
      <c r="A742" s="5" t="s">
        <v>45</v>
      </c>
      <c r="B742" s="6">
        <v>40252</v>
      </c>
      <c r="C742" s="5">
        <v>12</v>
      </c>
      <c r="D742" s="5">
        <v>3</v>
      </c>
      <c r="E742" s="5">
        <v>2010</v>
      </c>
      <c r="F742" s="5" t="s">
        <v>23</v>
      </c>
      <c r="G742" s="5" t="s">
        <v>8</v>
      </c>
      <c r="H742" s="7">
        <v>112010.7</v>
      </c>
      <c r="I742" s="7">
        <v>117485.6</v>
      </c>
      <c r="J742" s="7">
        <v>5474.9000000000087</v>
      </c>
      <c r="K742" s="8">
        <v>4.8878366084668778E-2</v>
      </c>
    </row>
    <row r="743" spans="1:11" x14ac:dyDescent="0.3">
      <c r="A743" s="5" t="s">
        <v>45</v>
      </c>
      <c r="B743" s="6">
        <v>40252</v>
      </c>
      <c r="C743" s="5">
        <v>12</v>
      </c>
      <c r="D743" s="5">
        <v>3</v>
      </c>
      <c r="E743" s="5">
        <v>2010</v>
      </c>
      <c r="F743" s="5" t="s">
        <v>24</v>
      </c>
      <c r="G743" s="5" t="s">
        <v>8</v>
      </c>
      <c r="H743" s="7">
        <v>67516</v>
      </c>
      <c r="I743" s="7">
        <v>72205.3</v>
      </c>
      <c r="J743" s="7">
        <v>4689.3000000000029</v>
      </c>
      <c r="K743" s="8">
        <v>6.9454647787191223E-2</v>
      </c>
    </row>
    <row r="744" spans="1:11" x14ac:dyDescent="0.3">
      <c r="A744" s="5" t="s">
        <v>45</v>
      </c>
      <c r="B744" s="6">
        <v>40252</v>
      </c>
      <c r="C744" s="5">
        <v>12</v>
      </c>
      <c r="D744" s="5">
        <v>3</v>
      </c>
      <c r="E744" s="5">
        <v>2010</v>
      </c>
      <c r="F744" s="5" t="s">
        <v>25</v>
      </c>
      <c r="G744" s="5" t="s">
        <v>8</v>
      </c>
      <c r="H744" s="7">
        <v>27651.599999999999</v>
      </c>
      <c r="I744" s="7">
        <v>29924.57</v>
      </c>
      <c r="J744" s="7">
        <v>2272.9700000000012</v>
      </c>
      <c r="K744" s="8">
        <v>8.2200306673031631E-2</v>
      </c>
    </row>
    <row r="745" spans="1:11" x14ac:dyDescent="0.3">
      <c r="A745" s="5" t="s">
        <v>45</v>
      </c>
      <c r="B745" s="6">
        <v>40252</v>
      </c>
      <c r="C745" s="5">
        <v>12</v>
      </c>
      <c r="D745" s="5">
        <v>3</v>
      </c>
      <c r="E745" s="5">
        <v>2010</v>
      </c>
      <c r="F745" s="5" t="s">
        <v>26</v>
      </c>
      <c r="G745" s="5" t="s">
        <v>10</v>
      </c>
      <c r="H745" s="7">
        <v>6668.96</v>
      </c>
      <c r="I745" s="7">
        <v>7365.85</v>
      </c>
      <c r="J745" s="7">
        <v>696.89000000000033</v>
      </c>
      <c r="K745" s="8">
        <v>0.10449755284182247</v>
      </c>
    </row>
    <row r="746" spans="1:11" x14ac:dyDescent="0.3">
      <c r="A746" s="5" t="s">
        <v>45</v>
      </c>
      <c r="B746" s="6">
        <v>40252</v>
      </c>
      <c r="C746" s="5">
        <v>12</v>
      </c>
      <c r="D746" s="5">
        <v>3</v>
      </c>
      <c r="E746" s="5">
        <v>2010</v>
      </c>
      <c r="F746" s="5" t="s">
        <v>27</v>
      </c>
      <c r="G746" s="5" t="s">
        <v>10</v>
      </c>
      <c r="H746" s="7">
        <v>119243.79</v>
      </c>
      <c r="I746" s="7">
        <v>134267.43</v>
      </c>
      <c r="J746" s="7">
        <v>15023.64</v>
      </c>
      <c r="K746" s="8">
        <v>0.12599096355458009</v>
      </c>
    </row>
    <row r="747" spans="1:11" x14ac:dyDescent="0.3">
      <c r="A747" s="5" t="s">
        <v>45</v>
      </c>
      <c r="B747" s="6">
        <v>40252</v>
      </c>
      <c r="C747" s="5">
        <v>12</v>
      </c>
      <c r="D747" s="5">
        <v>3</v>
      </c>
      <c r="E747" s="5">
        <v>2010</v>
      </c>
      <c r="F747" s="5" t="s">
        <v>28</v>
      </c>
      <c r="G747" s="5" t="s">
        <v>10</v>
      </c>
      <c r="H747" s="7">
        <v>72060.070000000007</v>
      </c>
      <c r="I747" s="7">
        <v>79441.37</v>
      </c>
      <c r="J747" s="7">
        <v>7381.2999999999884</v>
      </c>
      <c r="K747" s="8">
        <v>0.10243259547208305</v>
      </c>
    </row>
    <row r="748" spans="1:11" x14ac:dyDescent="0.3">
      <c r="A748" s="5" t="s">
        <v>45</v>
      </c>
      <c r="B748" s="6">
        <v>40252</v>
      </c>
      <c r="C748" s="5">
        <v>12</v>
      </c>
      <c r="D748" s="5">
        <v>3</v>
      </c>
      <c r="E748" s="5">
        <v>2010</v>
      </c>
      <c r="F748" s="5" t="s">
        <v>29</v>
      </c>
      <c r="G748" s="5" t="s">
        <v>10</v>
      </c>
      <c r="H748" s="7">
        <v>527186.63</v>
      </c>
      <c r="I748" s="7">
        <v>576635.22</v>
      </c>
      <c r="J748" s="7">
        <v>49448.589999999967</v>
      </c>
      <c r="K748" s="8">
        <v>9.3797124559095835E-2</v>
      </c>
    </row>
    <row r="749" spans="1:11" x14ac:dyDescent="0.3">
      <c r="A749" s="5" t="s">
        <v>45</v>
      </c>
      <c r="B749" s="6">
        <v>40252</v>
      </c>
      <c r="C749" s="5">
        <v>12</v>
      </c>
      <c r="D749" s="5">
        <v>3</v>
      </c>
      <c r="E749" s="5">
        <v>2010</v>
      </c>
      <c r="F749" s="5" t="s">
        <v>30</v>
      </c>
      <c r="G749" s="5" t="s">
        <v>10</v>
      </c>
      <c r="H749" s="7">
        <v>101802.3</v>
      </c>
      <c r="I749" s="7">
        <v>114698.24000000001</v>
      </c>
      <c r="J749" s="7">
        <v>12895.940000000002</v>
      </c>
      <c r="K749" s="8">
        <v>0.12667631281415059</v>
      </c>
    </row>
    <row r="750" spans="1:11" x14ac:dyDescent="0.3">
      <c r="A750" s="5" t="s">
        <v>45</v>
      </c>
      <c r="B750" s="6">
        <v>40252</v>
      </c>
      <c r="C750" s="5">
        <v>12</v>
      </c>
      <c r="D750" s="5">
        <v>3</v>
      </c>
      <c r="E750" s="5">
        <v>2010</v>
      </c>
      <c r="F750" s="5" t="s">
        <v>31</v>
      </c>
      <c r="G750" s="5" t="s">
        <v>7</v>
      </c>
      <c r="H750" s="7">
        <v>29248.44</v>
      </c>
      <c r="I750" s="7">
        <v>34766.5</v>
      </c>
      <c r="J750" s="7">
        <v>5518.0600000000013</v>
      </c>
      <c r="K750" s="8">
        <v>0.1886616858882047</v>
      </c>
    </row>
    <row r="751" spans="1:11" x14ac:dyDescent="0.3">
      <c r="A751" s="5" t="s">
        <v>45</v>
      </c>
      <c r="B751" s="6">
        <v>40252</v>
      </c>
      <c r="C751" s="5">
        <v>12</v>
      </c>
      <c r="D751" s="5">
        <v>3</v>
      </c>
      <c r="E751" s="5">
        <v>2010</v>
      </c>
      <c r="F751" s="5" t="s">
        <v>32</v>
      </c>
      <c r="G751" s="5" t="s">
        <v>7</v>
      </c>
      <c r="H751" s="7">
        <v>13231.59</v>
      </c>
      <c r="I751" s="7">
        <v>15213.78</v>
      </c>
      <c r="J751" s="7">
        <v>1982.1900000000005</v>
      </c>
      <c r="K751" s="8">
        <v>0.14980739276232111</v>
      </c>
    </row>
    <row r="752" spans="1:11" x14ac:dyDescent="0.3">
      <c r="A752" s="5" t="s">
        <v>45</v>
      </c>
      <c r="B752" s="6">
        <v>40252</v>
      </c>
      <c r="C752" s="5">
        <v>12</v>
      </c>
      <c r="D752" s="5">
        <v>3</v>
      </c>
      <c r="E752" s="5">
        <v>2010</v>
      </c>
      <c r="F752" s="5" t="s">
        <v>33</v>
      </c>
      <c r="G752" s="5" t="s">
        <v>7</v>
      </c>
      <c r="H752" s="7">
        <v>165344.51</v>
      </c>
      <c r="I752" s="7">
        <v>233775.81</v>
      </c>
      <c r="J752" s="7">
        <v>68431.299999999988</v>
      </c>
      <c r="K752" s="8">
        <v>0.41387101392117576</v>
      </c>
    </row>
    <row r="753" spans="1:11" x14ac:dyDescent="0.3">
      <c r="A753" s="5" t="s">
        <v>45</v>
      </c>
      <c r="B753" s="6">
        <v>40252</v>
      </c>
      <c r="C753" s="5">
        <v>12</v>
      </c>
      <c r="D753" s="5">
        <v>3</v>
      </c>
      <c r="E753" s="5">
        <v>2010</v>
      </c>
      <c r="F753" s="5" t="s">
        <v>34</v>
      </c>
      <c r="G753" s="5" t="s">
        <v>7</v>
      </c>
      <c r="H753" s="7">
        <v>608</v>
      </c>
      <c r="I753" s="7">
        <v>760</v>
      </c>
      <c r="J753" s="7">
        <v>152</v>
      </c>
      <c r="K753" s="8">
        <v>0.25</v>
      </c>
    </row>
    <row r="754" spans="1:11" x14ac:dyDescent="0.3">
      <c r="A754" s="5" t="s">
        <v>45</v>
      </c>
      <c r="B754" s="6">
        <v>40252</v>
      </c>
      <c r="C754" s="5">
        <v>12</v>
      </c>
      <c r="D754" s="5">
        <v>3</v>
      </c>
      <c r="E754" s="5">
        <v>2010</v>
      </c>
      <c r="F754" s="5" t="s">
        <v>35</v>
      </c>
      <c r="G754" s="5" t="s">
        <v>11</v>
      </c>
      <c r="H754" s="7">
        <v>2030.28</v>
      </c>
      <c r="I754" s="7">
        <v>2637.27</v>
      </c>
      <c r="J754" s="7">
        <v>606.99</v>
      </c>
      <c r="K754" s="8">
        <v>0.29896861516638101</v>
      </c>
    </row>
    <row r="755" spans="1:11" x14ac:dyDescent="0.3">
      <c r="A755" s="5" t="s">
        <v>45</v>
      </c>
      <c r="B755" s="6">
        <v>40252</v>
      </c>
      <c r="C755" s="5">
        <v>12</v>
      </c>
      <c r="D755" s="5">
        <v>3</v>
      </c>
      <c r="E755" s="5">
        <v>2010</v>
      </c>
      <c r="F755" s="5" t="s">
        <v>36</v>
      </c>
      <c r="G755" s="5" t="s">
        <v>11</v>
      </c>
      <c r="H755" s="7">
        <v>123797.26</v>
      </c>
      <c r="I755" s="7">
        <v>132175.54999999999</v>
      </c>
      <c r="J755" s="7">
        <v>8378.2899999999936</v>
      </c>
      <c r="K755" s="8">
        <v>6.7677507563576073E-2</v>
      </c>
    </row>
    <row r="756" spans="1:11" x14ac:dyDescent="0.3">
      <c r="A756" s="5" t="s">
        <v>45</v>
      </c>
      <c r="B756" s="6">
        <v>40252</v>
      </c>
      <c r="C756" s="5">
        <v>12</v>
      </c>
      <c r="D756" s="5">
        <v>3</v>
      </c>
      <c r="E756" s="5">
        <v>2010</v>
      </c>
      <c r="F756" s="5" t="s">
        <v>37</v>
      </c>
      <c r="G756" s="5" t="s">
        <v>11</v>
      </c>
      <c r="H756" s="7">
        <v>271247.24</v>
      </c>
      <c r="I756" s="7">
        <v>291395.67</v>
      </c>
      <c r="J756" s="7">
        <v>20148.429999999993</v>
      </c>
      <c r="K756" s="8">
        <v>7.4280682081778945E-2</v>
      </c>
    </row>
    <row r="757" spans="1:11" x14ac:dyDescent="0.3">
      <c r="A757" s="5" t="s">
        <v>45</v>
      </c>
      <c r="B757" s="6">
        <v>40252</v>
      </c>
      <c r="C757" s="5">
        <v>12</v>
      </c>
      <c r="D757" s="5">
        <v>3</v>
      </c>
      <c r="E757" s="5">
        <v>2010</v>
      </c>
      <c r="F757" s="5" t="s">
        <v>38</v>
      </c>
      <c r="G757" s="5" t="s">
        <v>11</v>
      </c>
      <c r="H757" s="7">
        <v>234118.37</v>
      </c>
      <c r="I757" s="7">
        <v>226140.65</v>
      </c>
      <c r="J757" s="7">
        <v>-7977.7200000000012</v>
      </c>
      <c r="K757" s="8">
        <v>-3.4075583218864891E-2</v>
      </c>
    </row>
    <row r="758" spans="1:11" x14ac:dyDescent="0.3">
      <c r="A758" s="5" t="s">
        <v>45</v>
      </c>
      <c r="B758" s="6">
        <v>40253</v>
      </c>
      <c r="C758" s="5">
        <v>12</v>
      </c>
      <c r="D758" s="5">
        <v>3</v>
      </c>
      <c r="E758" s="5">
        <v>2010</v>
      </c>
      <c r="F758" s="5" t="s">
        <v>14</v>
      </c>
      <c r="G758" s="5" t="s">
        <v>6</v>
      </c>
      <c r="H758" s="7">
        <v>3536</v>
      </c>
      <c r="I758" s="7">
        <v>4418.74</v>
      </c>
      <c r="J758" s="7">
        <v>882.73999999999978</v>
      </c>
      <c r="K758" s="8">
        <v>0.24964366515837097</v>
      </c>
    </row>
    <row r="759" spans="1:11" x14ac:dyDescent="0.3">
      <c r="A759" s="5" t="s">
        <v>45</v>
      </c>
      <c r="B759" s="6">
        <v>40253</v>
      </c>
      <c r="C759" s="5">
        <v>12</v>
      </c>
      <c r="D759" s="5">
        <v>3</v>
      </c>
      <c r="E759" s="5">
        <v>2010</v>
      </c>
      <c r="F759" s="5" t="s">
        <v>15</v>
      </c>
      <c r="G759" s="5" t="s">
        <v>6</v>
      </c>
      <c r="H759" s="7">
        <v>117850.49</v>
      </c>
      <c r="I759" s="7">
        <v>155989.06</v>
      </c>
      <c r="J759" s="7">
        <v>38138.569999999992</v>
      </c>
      <c r="K759" s="8">
        <v>0.32361825563898794</v>
      </c>
    </row>
    <row r="760" spans="1:11" x14ac:dyDescent="0.3">
      <c r="A760" s="5" t="s">
        <v>45</v>
      </c>
      <c r="B760" s="6">
        <v>40253</v>
      </c>
      <c r="C760" s="5">
        <v>12</v>
      </c>
      <c r="D760" s="5">
        <v>3</v>
      </c>
      <c r="E760" s="5">
        <v>2010</v>
      </c>
      <c r="F760" s="5" t="s">
        <v>16</v>
      </c>
      <c r="G760" s="5" t="s">
        <v>6</v>
      </c>
      <c r="H760" s="7">
        <v>27616.54</v>
      </c>
      <c r="I760" s="7">
        <v>31219.43</v>
      </c>
      <c r="J760" s="7">
        <v>3602.8899999999994</v>
      </c>
      <c r="K760" s="8">
        <v>0.13046131050450199</v>
      </c>
    </row>
    <row r="761" spans="1:11" x14ac:dyDescent="0.3">
      <c r="A761" s="5" t="s">
        <v>45</v>
      </c>
      <c r="B761" s="6">
        <v>40253</v>
      </c>
      <c r="C761" s="5">
        <v>12</v>
      </c>
      <c r="D761" s="5">
        <v>3</v>
      </c>
      <c r="E761" s="5">
        <v>2010</v>
      </c>
      <c r="F761" s="5" t="s">
        <v>17</v>
      </c>
      <c r="G761" s="5" t="s">
        <v>6</v>
      </c>
      <c r="H761" s="7">
        <v>1722</v>
      </c>
      <c r="I761" s="7">
        <v>1905.23</v>
      </c>
      <c r="J761" s="7">
        <v>183.23000000000002</v>
      </c>
      <c r="K761" s="8">
        <v>0.10640534262485483</v>
      </c>
    </row>
    <row r="762" spans="1:11" x14ac:dyDescent="0.3">
      <c r="A762" s="5" t="s">
        <v>45</v>
      </c>
      <c r="B762" s="6">
        <v>40253</v>
      </c>
      <c r="C762" s="5">
        <v>12</v>
      </c>
      <c r="D762" s="5">
        <v>3</v>
      </c>
      <c r="E762" s="5">
        <v>2010</v>
      </c>
      <c r="F762" s="5" t="s">
        <v>18</v>
      </c>
      <c r="G762" s="5" t="s">
        <v>6</v>
      </c>
      <c r="H762" s="7">
        <v>1140</v>
      </c>
      <c r="I762" s="7">
        <v>1237.8800000000001</v>
      </c>
      <c r="J762" s="7">
        <v>97.880000000000109</v>
      </c>
      <c r="K762" s="8">
        <v>8.5859649122807108E-2</v>
      </c>
    </row>
    <row r="763" spans="1:11" x14ac:dyDescent="0.3">
      <c r="A763" s="5" t="s">
        <v>45</v>
      </c>
      <c r="B763" s="6">
        <v>40253</v>
      </c>
      <c r="C763" s="5">
        <v>12</v>
      </c>
      <c r="D763" s="5">
        <v>3</v>
      </c>
      <c r="E763" s="5">
        <v>2010</v>
      </c>
      <c r="F763" s="5" t="s">
        <v>19</v>
      </c>
      <c r="G763" s="5" t="s">
        <v>5</v>
      </c>
      <c r="H763" s="7">
        <v>82732.37</v>
      </c>
      <c r="I763" s="7">
        <v>90658.43</v>
      </c>
      <c r="J763" s="7">
        <v>7926.0599999999977</v>
      </c>
      <c r="K763" s="8">
        <v>9.5803613507022684E-2</v>
      </c>
    </row>
    <row r="764" spans="1:11" x14ac:dyDescent="0.3">
      <c r="A764" s="5" t="s">
        <v>45</v>
      </c>
      <c r="B764" s="6">
        <v>40253</v>
      </c>
      <c r="C764" s="5">
        <v>12</v>
      </c>
      <c r="D764" s="5">
        <v>3</v>
      </c>
      <c r="E764" s="5">
        <v>2010</v>
      </c>
      <c r="F764" s="5" t="s">
        <v>5</v>
      </c>
      <c r="G764" s="5" t="s">
        <v>5</v>
      </c>
      <c r="H764" s="7">
        <v>427857.33</v>
      </c>
      <c r="I764" s="7">
        <v>449226.08</v>
      </c>
      <c r="J764" s="7">
        <v>21368.75</v>
      </c>
      <c r="K764" s="8">
        <v>4.9943634248360312E-2</v>
      </c>
    </row>
    <row r="765" spans="1:11" x14ac:dyDescent="0.3">
      <c r="A765" s="5" t="s">
        <v>45</v>
      </c>
      <c r="B765" s="6">
        <v>40253</v>
      </c>
      <c r="C765" s="5">
        <v>12</v>
      </c>
      <c r="D765" s="5">
        <v>3</v>
      </c>
      <c r="E765" s="5">
        <v>2010</v>
      </c>
      <c r="F765" s="5" t="s">
        <v>20</v>
      </c>
      <c r="G765" s="5" t="s">
        <v>5</v>
      </c>
      <c r="H765" s="7">
        <v>76870.080000000002</v>
      </c>
      <c r="I765" s="7">
        <v>84094</v>
      </c>
      <c r="J765" s="7">
        <v>7223.9199999999983</v>
      </c>
      <c r="K765" s="8">
        <v>9.3975705502062676E-2</v>
      </c>
    </row>
    <row r="766" spans="1:11" x14ac:dyDescent="0.3">
      <c r="A766" s="5" t="s">
        <v>45</v>
      </c>
      <c r="B766" s="6">
        <v>40253</v>
      </c>
      <c r="C766" s="5">
        <v>12</v>
      </c>
      <c r="D766" s="5">
        <v>3</v>
      </c>
      <c r="E766" s="5">
        <v>2010</v>
      </c>
      <c r="F766" s="5" t="s">
        <v>21</v>
      </c>
      <c r="G766" s="5" t="s">
        <v>5</v>
      </c>
      <c r="H766" s="7">
        <v>155743.01999999999</v>
      </c>
      <c r="I766" s="7">
        <v>167514.99</v>
      </c>
      <c r="J766" s="7">
        <v>11771.970000000001</v>
      </c>
      <c r="K766" s="8">
        <v>7.5585859321335894E-2</v>
      </c>
    </row>
    <row r="767" spans="1:11" x14ac:dyDescent="0.3">
      <c r="A767" s="5" t="s">
        <v>45</v>
      </c>
      <c r="B767" s="6">
        <v>40253</v>
      </c>
      <c r="C767" s="5">
        <v>12</v>
      </c>
      <c r="D767" s="5">
        <v>3</v>
      </c>
      <c r="E767" s="5">
        <v>2010</v>
      </c>
      <c r="F767" s="5" t="s">
        <v>22</v>
      </c>
      <c r="G767" s="5" t="s">
        <v>8</v>
      </c>
      <c r="H767" s="7">
        <v>205967.48</v>
      </c>
      <c r="I767" s="7">
        <v>224377.62</v>
      </c>
      <c r="J767" s="7">
        <v>18410.139999999985</v>
      </c>
      <c r="K767" s="8">
        <v>8.9383722129338011E-2</v>
      </c>
    </row>
    <row r="768" spans="1:11" x14ac:dyDescent="0.3">
      <c r="A768" s="5" t="s">
        <v>45</v>
      </c>
      <c r="B768" s="6">
        <v>40253</v>
      </c>
      <c r="C768" s="5">
        <v>12</v>
      </c>
      <c r="D768" s="5">
        <v>3</v>
      </c>
      <c r="E768" s="5">
        <v>2010</v>
      </c>
      <c r="F768" s="5" t="s">
        <v>23</v>
      </c>
      <c r="G768" s="5" t="s">
        <v>8</v>
      </c>
      <c r="H768" s="7">
        <v>101368.8</v>
      </c>
      <c r="I768" s="7">
        <v>106586.96</v>
      </c>
      <c r="J768" s="7">
        <v>5218.1600000000035</v>
      </c>
      <c r="K768" s="8">
        <v>5.1476983055930459E-2</v>
      </c>
    </row>
    <row r="769" spans="1:11" x14ac:dyDescent="0.3">
      <c r="A769" s="5" t="s">
        <v>45</v>
      </c>
      <c r="B769" s="6">
        <v>40253</v>
      </c>
      <c r="C769" s="5">
        <v>12</v>
      </c>
      <c r="D769" s="5">
        <v>3</v>
      </c>
      <c r="E769" s="5">
        <v>2010</v>
      </c>
      <c r="F769" s="5" t="s">
        <v>24</v>
      </c>
      <c r="G769" s="5" t="s">
        <v>8</v>
      </c>
      <c r="H769" s="7">
        <v>53754</v>
      </c>
      <c r="I769" s="7">
        <v>57326.37</v>
      </c>
      <c r="J769" s="7">
        <v>3572.3700000000026</v>
      </c>
      <c r="K769" s="8">
        <v>6.6457751981247953E-2</v>
      </c>
    </row>
    <row r="770" spans="1:11" x14ac:dyDescent="0.3">
      <c r="A770" s="5" t="s">
        <v>45</v>
      </c>
      <c r="B770" s="6">
        <v>40253</v>
      </c>
      <c r="C770" s="5">
        <v>12</v>
      </c>
      <c r="D770" s="5">
        <v>3</v>
      </c>
      <c r="E770" s="5">
        <v>2010</v>
      </c>
      <c r="F770" s="5" t="s">
        <v>25</v>
      </c>
      <c r="G770" s="5" t="s">
        <v>8</v>
      </c>
      <c r="H770" s="7">
        <v>12282.55</v>
      </c>
      <c r="I770" s="7">
        <v>13971.93</v>
      </c>
      <c r="J770" s="7">
        <v>1689.380000000001</v>
      </c>
      <c r="K770" s="8">
        <v>0.13754309976348569</v>
      </c>
    </row>
    <row r="771" spans="1:11" x14ac:dyDescent="0.3">
      <c r="A771" s="5" t="s">
        <v>45</v>
      </c>
      <c r="B771" s="6">
        <v>40253</v>
      </c>
      <c r="C771" s="5">
        <v>12</v>
      </c>
      <c r="D771" s="5">
        <v>3</v>
      </c>
      <c r="E771" s="5">
        <v>2010</v>
      </c>
      <c r="F771" s="5" t="s">
        <v>26</v>
      </c>
      <c r="G771" s="5" t="s">
        <v>10</v>
      </c>
      <c r="H771" s="7">
        <v>7347.69</v>
      </c>
      <c r="I771" s="7">
        <v>8168.92</v>
      </c>
      <c r="J771" s="7">
        <v>821.23000000000047</v>
      </c>
      <c r="K771" s="8">
        <v>0.11176709959184458</v>
      </c>
    </row>
    <row r="772" spans="1:11" x14ac:dyDescent="0.3">
      <c r="A772" s="5" t="s">
        <v>45</v>
      </c>
      <c r="B772" s="6">
        <v>40253</v>
      </c>
      <c r="C772" s="5">
        <v>12</v>
      </c>
      <c r="D772" s="5">
        <v>3</v>
      </c>
      <c r="E772" s="5">
        <v>2010</v>
      </c>
      <c r="F772" s="5" t="s">
        <v>27</v>
      </c>
      <c r="G772" s="5" t="s">
        <v>10</v>
      </c>
      <c r="H772" s="7">
        <v>89322.21</v>
      </c>
      <c r="I772" s="7">
        <v>100778.52</v>
      </c>
      <c r="J772" s="7">
        <v>11456.309999999998</v>
      </c>
      <c r="K772" s="8">
        <v>0.1282582461853552</v>
      </c>
    </row>
    <row r="773" spans="1:11" x14ac:dyDescent="0.3">
      <c r="A773" s="5" t="s">
        <v>45</v>
      </c>
      <c r="B773" s="6">
        <v>40253</v>
      </c>
      <c r="C773" s="5">
        <v>12</v>
      </c>
      <c r="D773" s="5">
        <v>3</v>
      </c>
      <c r="E773" s="5">
        <v>2010</v>
      </c>
      <c r="F773" s="5" t="s">
        <v>28</v>
      </c>
      <c r="G773" s="5" t="s">
        <v>10</v>
      </c>
      <c r="H773" s="7">
        <v>50058.04</v>
      </c>
      <c r="I773" s="7">
        <v>56576.66</v>
      </c>
      <c r="J773" s="7">
        <v>6518.6200000000026</v>
      </c>
      <c r="K773" s="8">
        <v>0.13022123918555345</v>
      </c>
    </row>
    <row r="774" spans="1:11" x14ac:dyDescent="0.3">
      <c r="A774" s="5" t="s">
        <v>45</v>
      </c>
      <c r="B774" s="6">
        <v>40253</v>
      </c>
      <c r="C774" s="5">
        <v>12</v>
      </c>
      <c r="D774" s="5">
        <v>3</v>
      </c>
      <c r="E774" s="5">
        <v>2010</v>
      </c>
      <c r="F774" s="5" t="s">
        <v>29</v>
      </c>
      <c r="G774" s="5" t="s">
        <v>10</v>
      </c>
      <c r="H774" s="7">
        <v>460201.77</v>
      </c>
      <c r="I774" s="7">
        <v>501496.68</v>
      </c>
      <c r="J774" s="7">
        <v>41294.909999999974</v>
      </c>
      <c r="K774" s="8">
        <v>8.9732184211286217E-2</v>
      </c>
    </row>
    <row r="775" spans="1:11" x14ac:dyDescent="0.3">
      <c r="A775" s="5" t="s">
        <v>45</v>
      </c>
      <c r="B775" s="6">
        <v>40253</v>
      </c>
      <c r="C775" s="5">
        <v>12</v>
      </c>
      <c r="D775" s="5">
        <v>3</v>
      </c>
      <c r="E775" s="5">
        <v>2010</v>
      </c>
      <c r="F775" s="5" t="s">
        <v>30</v>
      </c>
      <c r="G775" s="5" t="s">
        <v>10</v>
      </c>
      <c r="H775" s="7">
        <v>92350.96</v>
      </c>
      <c r="I775" s="7">
        <v>103618.82</v>
      </c>
      <c r="J775" s="7">
        <v>11267.86</v>
      </c>
      <c r="K775" s="8">
        <v>0.12201129257346106</v>
      </c>
    </row>
    <row r="776" spans="1:11" x14ac:dyDescent="0.3">
      <c r="A776" s="5" t="s">
        <v>45</v>
      </c>
      <c r="B776" s="6">
        <v>40253</v>
      </c>
      <c r="C776" s="5">
        <v>12</v>
      </c>
      <c r="D776" s="5">
        <v>3</v>
      </c>
      <c r="E776" s="5">
        <v>2010</v>
      </c>
      <c r="F776" s="5" t="s">
        <v>31</v>
      </c>
      <c r="G776" s="5" t="s">
        <v>7</v>
      </c>
      <c r="H776" s="7">
        <v>17725.09</v>
      </c>
      <c r="I776" s="7">
        <v>22420.85</v>
      </c>
      <c r="J776" s="7">
        <v>4695.7599999999984</v>
      </c>
      <c r="K776" s="8">
        <v>0.26492164496767001</v>
      </c>
    </row>
    <row r="777" spans="1:11" x14ac:dyDescent="0.3">
      <c r="A777" s="5" t="s">
        <v>45</v>
      </c>
      <c r="B777" s="6">
        <v>40253</v>
      </c>
      <c r="C777" s="5">
        <v>12</v>
      </c>
      <c r="D777" s="5">
        <v>3</v>
      </c>
      <c r="E777" s="5">
        <v>2010</v>
      </c>
      <c r="F777" s="5" t="s">
        <v>32</v>
      </c>
      <c r="G777" s="5" t="s">
        <v>7</v>
      </c>
      <c r="H777" s="7">
        <v>19596.55</v>
      </c>
      <c r="I777" s="7">
        <v>22531.040000000001</v>
      </c>
      <c r="J777" s="7">
        <v>2934.4900000000016</v>
      </c>
      <c r="K777" s="8">
        <v>0.14974523576854099</v>
      </c>
    </row>
    <row r="778" spans="1:11" x14ac:dyDescent="0.3">
      <c r="A778" s="5" t="s">
        <v>45</v>
      </c>
      <c r="B778" s="6">
        <v>40253</v>
      </c>
      <c r="C778" s="5">
        <v>12</v>
      </c>
      <c r="D778" s="5">
        <v>3</v>
      </c>
      <c r="E778" s="5">
        <v>2010</v>
      </c>
      <c r="F778" s="5" t="s">
        <v>33</v>
      </c>
      <c r="G778" s="5" t="s">
        <v>7</v>
      </c>
      <c r="H778" s="7">
        <v>188473.51</v>
      </c>
      <c r="I778" s="7">
        <v>262804.55</v>
      </c>
      <c r="J778" s="7">
        <v>74331.039999999979</v>
      </c>
      <c r="K778" s="8">
        <v>0.39438454772768849</v>
      </c>
    </row>
    <row r="779" spans="1:11" x14ac:dyDescent="0.3">
      <c r="A779" s="5" t="s">
        <v>45</v>
      </c>
      <c r="B779" s="6">
        <v>40253</v>
      </c>
      <c r="C779" s="5">
        <v>12</v>
      </c>
      <c r="D779" s="5">
        <v>3</v>
      </c>
      <c r="E779" s="5">
        <v>2010</v>
      </c>
      <c r="F779" s="5" t="s">
        <v>35</v>
      </c>
      <c r="G779" s="5" t="s">
        <v>11</v>
      </c>
      <c r="H779" s="7">
        <v>2155.92</v>
      </c>
      <c r="I779" s="7">
        <v>2802.31</v>
      </c>
      <c r="J779" s="7">
        <v>646.38999999999987</v>
      </c>
      <c r="K779" s="8">
        <v>0.29982095810605208</v>
      </c>
    </row>
    <row r="780" spans="1:11" x14ac:dyDescent="0.3">
      <c r="A780" s="5" t="s">
        <v>45</v>
      </c>
      <c r="B780" s="6">
        <v>40253</v>
      </c>
      <c r="C780" s="5">
        <v>12</v>
      </c>
      <c r="D780" s="5">
        <v>3</v>
      </c>
      <c r="E780" s="5">
        <v>2010</v>
      </c>
      <c r="F780" s="5" t="s">
        <v>36</v>
      </c>
      <c r="G780" s="5" t="s">
        <v>11</v>
      </c>
      <c r="H780" s="7">
        <v>69393.66</v>
      </c>
      <c r="I780" s="7">
        <v>74289.22</v>
      </c>
      <c r="J780" s="7">
        <v>4895.5599999999977</v>
      </c>
      <c r="K780" s="8">
        <v>7.0547655218070313E-2</v>
      </c>
    </row>
    <row r="781" spans="1:11" x14ac:dyDescent="0.3">
      <c r="A781" s="5" t="s">
        <v>45</v>
      </c>
      <c r="B781" s="6">
        <v>40253</v>
      </c>
      <c r="C781" s="5">
        <v>12</v>
      </c>
      <c r="D781" s="5">
        <v>3</v>
      </c>
      <c r="E781" s="5">
        <v>2010</v>
      </c>
      <c r="F781" s="5" t="s">
        <v>37</v>
      </c>
      <c r="G781" s="5" t="s">
        <v>11</v>
      </c>
      <c r="H781" s="7">
        <v>223816.03</v>
      </c>
      <c r="I781" s="7">
        <v>241688.39</v>
      </c>
      <c r="J781" s="7">
        <v>17872.360000000015</v>
      </c>
      <c r="K781" s="8">
        <v>7.9852904191000149E-2</v>
      </c>
    </row>
    <row r="782" spans="1:11" x14ac:dyDescent="0.3">
      <c r="A782" s="5" t="s">
        <v>45</v>
      </c>
      <c r="B782" s="6">
        <v>40253</v>
      </c>
      <c r="C782" s="5">
        <v>12</v>
      </c>
      <c r="D782" s="5">
        <v>3</v>
      </c>
      <c r="E782" s="5">
        <v>2010</v>
      </c>
      <c r="F782" s="5" t="s">
        <v>38</v>
      </c>
      <c r="G782" s="5" t="s">
        <v>11</v>
      </c>
      <c r="H782" s="7">
        <v>173759</v>
      </c>
      <c r="I782" s="7">
        <v>173342.19</v>
      </c>
      <c r="J782" s="7">
        <v>-416.80999999999767</v>
      </c>
      <c r="K782" s="8">
        <v>-2.3987822213525495E-3</v>
      </c>
    </row>
    <row r="783" spans="1:11" x14ac:dyDescent="0.3">
      <c r="A783" s="5" t="s">
        <v>45</v>
      </c>
      <c r="B783" s="6">
        <v>40254</v>
      </c>
      <c r="C783" s="5">
        <v>12</v>
      </c>
      <c r="D783" s="5">
        <v>3</v>
      </c>
      <c r="E783" s="5">
        <v>2010</v>
      </c>
      <c r="F783" s="5" t="s">
        <v>14</v>
      </c>
      <c r="G783" s="5" t="s">
        <v>6</v>
      </c>
      <c r="H783" s="7">
        <v>11087</v>
      </c>
      <c r="I783" s="7">
        <v>13147.04</v>
      </c>
      <c r="J783" s="7">
        <v>2060.0400000000009</v>
      </c>
      <c r="K783" s="8">
        <v>0.18580680075764416</v>
      </c>
    </row>
    <row r="784" spans="1:11" x14ac:dyDescent="0.3">
      <c r="A784" s="5" t="s">
        <v>45</v>
      </c>
      <c r="B784" s="6">
        <v>40254</v>
      </c>
      <c r="C784" s="5">
        <v>12</v>
      </c>
      <c r="D784" s="5">
        <v>3</v>
      </c>
      <c r="E784" s="5">
        <v>2010</v>
      </c>
      <c r="F784" s="5" t="s">
        <v>15</v>
      </c>
      <c r="G784" s="5" t="s">
        <v>6</v>
      </c>
      <c r="H784" s="7">
        <v>170314.03</v>
      </c>
      <c r="I784" s="7">
        <v>217582.78</v>
      </c>
      <c r="J784" s="7">
        <v>47268.75</v>
      </c>
      <c r="K784" s="8">
        <v>0.27753879113775887</v>
      </c>
    </row>
    <row r="785" spans="1:11" x14ac:dyDescent="0.3">
      <c r="A785" s="5" t="s">
        <v>45</v>
      </c>
      <c r="B785" s="6">
        <v>40254</v>
      </c>
      <c r="C785" s="5">
        <v>12</v>
      </c>
      <c r="D785" s="5">
        <v>3</v>
      </c>
      <c r="E785" s="5">
        <v>2010</v>
      </c>
      <c r="F785" s="5" t="s">
        <v>16</v>
      </c>
      <c r="G785" s="5" t="s">
        <v>6</v>
      </c>
      <c r="H785" s="7">
        <v>15738.45</v>
      </c>
      <c r="I785" s="7">
        <v>17716.96</v>
      </c>
      <c r="J785" s="7">
        <v>1978.5099999999984</v>
      </c>
      <c r="K785" s="8">
        <v>0.12571187124526229</v>
      </c>
    </row>
    <row r="786" spans="1:11" x14ac:dyDescent="0.3">
      <c r="A786" s="5" t="s">
        <v>45</v>
      </c>
      <c r="B786" s="6">
        <v>40254</v>
      </c>
      <c r="C786" s="5">
        <v>12</v>
      </c>
      <c r="D786" s="5">
        <v>3</v>
      </c>
      <c r="E786" s="5">
        <v>2010</v>
      </c>
      <c r="F786" s="5" t="s">
        <v>18</v>
      </c>
      <c r="G786" s="5" t="s">
        <v>6</v>
      </c>
      <c r="H786" s="7">
        <v>3524</v>
      </c>
      <c r="I786" s="7">
        <v>3937.35</v>
      </c>
      <c r="J786" s="7">
        <v>413.34999999999991</v>
      </c>
      <c r="K786" s="8">
        <v>0.11729568671963675</v>
      </c>
    </row>
    <row r="787" spans="1:11" x14ac:dyDescent="0.3">
      <c r="A787" s="5" t="s">
        <v>45</v>
      </c>
      <c r="B787" s="6">
        <v>40254</v>
      </c>
      <c r="C787" s="5">
        <v>12</v>
      </c>
      <c r="D787" s="5">
        <v>3</v>
      </c>
      <c r="E787" s="5">
        <v>2010</v>
      </c>
      <c r="F787" s="5" t="s">
        <v>19</v>
      </c>
      <c r="G787" s="5" t="s">
        <v>5</v>
      </c>
      <c r="H787" s="7">
        <v>101833.89</v>
      </c>
      <c r="I787" s="7">
        <v>111695.82</v>
      </c>
      <c r="J787" s="7">
        <v>9861.9300000000076</v>
      </c>
      <c r="K787" s="8">
        <v>9.6843300398325227E-2</v>
      </c>
    </row>
    <row r="788" spans="1:11" x14ac:dyDescent="0.3">
      <c r="A788" s="5" t="s">
        <v>45</v>
      </c>
      <c r="B788" s="6">
        <v>40254</v>
      </c>
      <c r="C788" s="5">
        <v>12</v>
      </c>
      <c r="D788" s="5">
        <v>3</v>
      </c>
      <c r="E788" s="5">
        <v>2010</v>
      </c>
      <c r="F788" s="5" t="s">
        <v>5</v>
      </c>
      <c r="G788" s="5" t="s">
        <v>5</v>
      </c>
      <c r="H788" s="7">
        <v>451102.25</v>
      </c>
      <c r="I788" s="7">
        <v>473325.05</v>
      </c>
      <c r="J788" s="7">
        <v>22222.799999999988</v>
      </c>
      <c r="K788" s="8">
        <v>4.9263332204616553E-2</v>
      </c>
    </row>
    <row r="789" spans="1:11" x14ac:dyDescent="0.3">
      <c r="A789" s="5" t="s">
        <v>45</v>
      </c>
      <c r="B789" s="6">
        <v>40254</v>
      </c>
      <c r="C789" s="5">
        <v>12</v>
      </c>
      <c r="D789" s="5">
        <v>3</v>
      </c>
      <c r="E789" s="5">
        <v>2010</v>
      </c>
      <c r="F789" s="5" t="s">
        <v>20</v>
      </c>
      <c r="G789" s="5" t="s">
        <v>5</v>
      </c>
      <c r="H789" s="7">
        <v>110808.98</v>
      </c>
      <c r="I789" s="7">
        <v>122721.25</v>
      </c>
      <c r="J789" s="7">
        <v>11912.270000000004</v>
      </c>
      <c r="K789" s="8">
        <v>0.10750274932591207</v>
      </c>
    </row>
    <row r="790" spans="1:11" x14ac:dyDescent="0.3">
      <c r="A790" s="5" t="s">
        <v>45</v>
      </c>
      <c r="B790" s="6">
        <v>40254</v>
      </c>
      <c r="C790" s="5">
        <v>12</v>
      </c>
      <c r="D790" s="5">
        <v>3</v>
      </c>
      <c r="E790" s="5">
        <v>2010</v>
      </c>
      <c r="F790" s="5" t="s">
        <v>21</v>
      </c>
      <c r="G790" s="5" t="s">
        <v>5</v>
      </c>
      <c r="H790" s="7">
        <v>167001</v>
      </c>
      <c r="I790" s="7">
        <v>179274.36</v>
      </c>
      <c r="J790" s="7">
        <v>12273.359999999986</v>
      </c>
      <c r="K790" s="8">
        <v>7.3492733576445562E-2</v>
      </c>
    </row>
    <row r="791" spans="1:11" x14ac:dyDescent="0.3">
      <c r="A791" s="5" t="s">
        <v>45</v>
      </c>
      <c r="B791" s="6">
        <v>40254</v>
      </c>
      <c r="C791" s="5">
        <v>12</v>
      </c>
      <c r="D791" s="5">
        <v>3</v>
      </c>
      <c r="E791" s="5">
        <v>2010</v>
      </c>
      <c r="F791" s="5" t="s">
        <v>22</v>
      </c>
      <c r="G791" s="5" t="s">
        <v>8</v>
      </c>
      <c r="H791" s="7">
        <v>338873.48</v>
      </c>
      <c r="I791" s="7">
        <v>360581.74</v>
      </c>
      <c r="J791" s="7">
        <v>21708.260000000009</v>
      </c>
      <c r="K791" s="8">
        <v>6.4060073393763392E-2</v>
      </c>
    </row>
    <row r="792" spans="1:11" x14ac:dyDescent="0.3">
      <c r="A792" s="5" t="s">
        <v>45</v>
      </c>
      <c r="B792" s="6">
        <v>40254</v>
      </c>
      <c r="C792" s="5">
        <v>12</v>
      </c>
      <c r="D792" s="5">
        <v>3</v>
      </c>
      <c r="E792" s="5">
        <v>2010</v>
      </c>
      <c r="F792" s="5" t="s">
        <v>23</v>
      </c>
      <c r="G792" s="5" t="s">
        <v>8</v>
      </c>
      <c r="H792" s="7">
        <v>183395.16</v>
      </c>
      <c r="I792" s="7">
        <v>191981.42</v>
      </c>
      <c r="J792" s="7">
        <v>8586.2600000000093</v>
      </c>
      <c r="K792" s="8">
        <v>4.6818356602213541E-2</v>
      </c>
    </row>
    <row r="793" spans="1:11" x14ac:dyDescent="0.3">
      <c r="A793" s="5" t="s">
        <v>45</v>
      </c>
      <c r="B793" s="6">
        <v>40254</v>
      </c>
      <c r="C793" s="5">
        <v>12</v>
      </c>
      <c r="D793" s="5">
        <v>3</v>
      </c>
      <c r="E793" s="5">
        <v>2010</v>
      </c>
      <c r="F793" s="5" t="s">
        <v>24</v>
      </c>
      <c r="G793" s="5" t="s">
        <v>8</v>
      </c>
      <c r="H793" s="7">
        <v>76501</v>
      </c>
      <c r="I793" s="7">
        <v>81299.44</v>
      </c>
      <c r="J793" s="7">
        <v>4798.4400000000023</v>
      </c>
      <c r="K793" s="8">
        <v>6.2723885962275031E-2</v>
      </c>
    </row>
    <row r="794" spans="1:11" x14ac:dyDescent="0.3">
      <c r="A794" s="5" t="s">
        <v>45</v>
      </c>
      <c r="B794" s="6">
        <v>40254</v>
      </c>
      <c r="C794" s="5">
        <v>12</v>
      </c>
      <c r="D794" s="5">
        <v>3</v>
      </c>
      <c r="E794" s="5">
        <v>2010</v>
      </c>
      <c r="F794" s="5" t="s">
        <v>25</v>
      </c>
      <c r="G794" s="5" t="s">
        <v>8</v>
      </c>
      <c r="H794" s="7">
        <v>13646.3</v>
      </c>
      <c r="I794" s="7">
        <v>15612.05</v>
      </c>
      <c r="J794" s="7">
        <v>1965.75</v>
      </c>
      <c r="K794" s="8">
        <v>0.14405003554076931</v>
      </c>
    </row>
    <row r="795" spans="1:11" x14ac:dyDescent="0.3">
      <c r="A795" s="5" t="s">
        <v>45</v>
      </c>
      <c r="B795" s="6">
        <v>40254</v>
      </c>
      <c r="C795" s="5">
        <v>12</v>
      </c>
      <c r="D795" s="5">
        <v>3</v>
      </c>
      <c r="E795" s="5">
        <v>2010</v>
      </c>
      <c r="F795" s="5" t="s">
        <v>26</v>
      </c>
      <c r="G795" s="5" t="s">
        <v>10</v>
      </c>
      <c r="H795" s="7">
        <v>10575.53</v>
      </c>
      <c r="I795" s="7">
        <v>11958.65</v>
      </c>
      <c r="J795" s="7">
        <v>1383.119999999999</v>
      </c>
      <c r="K795" s="8">
        <v>0.13078493465575711</v>
      </c>
    </row>
    <row r="796" spans="1:11" x14ac:dyDescent="0.3">
      <c r="A796" s="5" t="s">
        <v>45</v>
      </c>
      <c r="B796" s="6">
        <v>40254</v>
      </c>
      <c r="C796" s="5">
        <v>12</v>
      </c>
      <c r="D796" s="5">
        <v>3</v>
      </c>
      <c r="E796" s="5">
        <v>2010</v>
      </c>
      <c r="F796" s="5" t="s">
        <v>27</v>
      </c>
      <c r="G796" s="5" t="s">
        <v>10</v>
      </c>
      <c r="H796" s="7">
        <v>104591.83</v>
      </c>
      <c r="I796" s="7">
        <v>118648.71</v>
      </c>
      <c r="J796" s="7">
        <v>14056.880000000005</v>
      </c>
      <c r="K796" s="8">
        <v>0.13439749548315585</v>
      </c>
    </row>
    <row r="797" spans="1:11" x14ac:dyDescent="0.3">
      <c r="A797" s="5" t="s">
        <v>45</v>
      </c>
      <c r="B797" s="6">
        <v>40254</v>
      </c>
      <c r="C797" s="5">
        <v>12</v>
      </c>
      <c r="D797" s="5">
        <v>3</v>
      </c>
      <c r="E797" s="5">
        <v>2010</v>
      </c>
      <c r="F797" s="5" t="s">
        <v>28</v>
      </c>
      <c r="G797" s="5" t="s">
        <v>10</v>
      </c>
      <c r="H797" s="7">
        <v>66699.87</v>
      </c>
      <c r="I797" s="7">
        <v>75106.3</v>
      </c>
      <c r="J797" s="7">
        <v>8406.4300000000076</v>
      </c>
      <c r="K797" s="8">
        <v>0.12603367892621092</v>
      </c>
    </row>
    <row r="798" spans="1:11" x14ac:dyDescent="0.3">
      <c r="A798" s="5" t="s">
        <v>45</v>
      </c>
      <c r="B798" s="6">
        <v>40254</v>
      </c>
      <c r="C798" s="5">
        <v>12</v>
      </c>
      <c r="D798" s="5">
        <v>3</v>
      </c>
      <c r="E798" s="5">
        <v>2010</v>
      </c>
      <c r="F798" s="5" t="s">
        <v>29</v>
      </c>
      <c r="G798" s="5" t="s">
        <v>10</v>
      </c>
      <c r="H798" s="7">
        <v>539223.98</v>
      </c>
      <c r="I798" s="7">
        <v>584815.35</v>
      </c>
      <c r="J798" s="7">
        <v>45591.369999999995</v>
      </c>
      <c r="K798" s="8">
        <v>8.4549967529263068E-2</v>
      </c>
    </row>
    <row r="799" spans="1:11" x14ac:dyDescent="0.3">
      <c r="A799" s="5" t="s">
        <v>45</v>
      </c>
      <c r="B799" s="6">
        <v>40254</v>
      </c>
      <c r="C799" s="5">
        <v>12</v>
      </c>
      <c r="D799" s="5">
        <v>3</v>
      </c>
      <c r="E799" s="5">
        <v>2010</v>
      </c>
      <c r="F799" s="5" t="s">
        <v>30</v>
      </c>
      <c r="G799" s="5" t="s">
        <v>10</v>
      </c>
      <c r="H799" s="7">
        <v>64967.98</v>
      </c>
      <c r="I799" s="7">
        <v>73374.17</v>
      </c>
      <c r="J799" s="7">
        <v>8406.1899999999951</v>
      </c>
      <c r="K799" s="8">
        <v>0.12938973937622802</v>
      </c>
    </row>
    <row r="800" spans="1:11" x14ac:dyDescent="0.3">
      <c r="A800" s="5" t="s">
        <v>45</v>
      </c>
      <c r="B800" s="6">
        <v>40254</v>
      </c>
      <c r="C800" s="5">
        <v>12</v>
      </c>
      <c r="D800" s="5">
        <v>3</v>
      </c>
      <c r="E800" s="5">
        <v>2010</v>
      </c>
      <c r="F800" s="5" t="s">
        <v>31</v>
      </c>
      <c r="G800" s="5" t="s">
        <v>7</v>
      </c>
      <c r="H800" s="7">
        <v>23011.42</v>
      </c>
      <c r="I800" s="7">
        <v>30443.48</v>
      </c>
      <c r="J800" s="7">
        <v>7432.0600000000013</v>
      </c>
      <c r="K800" s="8">
        <v>0.32297268052123695</v>
      </c>
    </row>
    <row r="801" spans="1:11" x14ac:dyDescent="0.3">
      <c r="A801" s="5" t="s">
        <v>45</v>
      </c>
      <c r="B801" s="6">
        <v>40254</v>
      </c>
      <c r="C801" s="5">
        <v>12</v>
      </c>
      <c r="D801" s="5">
        <v>3</v>
      </c>
      <c r="E801" s="5">
        <v>2010</v>
      </c>
      <c r="F801" s="5" t="s">
        <v>32</v>
      </c>
      <c r="G801" s="5" t="s">
        <v>7</v>
      </c>
      <c r="H801" s="7">
        <v>19902.349999999999</v>
      </c>
      <c r="I801" s="7">
        <v>22884.02</v>
      </c>
      <c r="J801" s="7">
        <v>2981.6700000000019</v>
      </c>
      <c r="K801" s="8">
        <v>0.14981497159883139</v>
      </c>
    </row>
    <row r="802" spans="1:11" x14ac:dyDescent="0.3">
      <c r="A802" s="5" t="s">
        <v>45</v>
      </c>
      <c r="B802" s="6">
        <v>40254</v>
      </c>
      <c r="C802" s="5">
        <v>12</v>
      </c>
      <c r="D802" s="5">
        <v>3</v>
      </c>
      <c r="E802" s="5">
        <v>2010</v>
      </c>
      <c r="F802" s="5" t="s">
        <v>33</v>
      </c>
      <c r="G802" s="5" t="s">
        <v>7</v>
      </c>
      <c r="H802" s="7">
        <v>160798.01999999999</v>
      </c>
      <c r="I802" s="7">
        <v>225363.35</v>
      </c>
      <c r="J802" s="7">
        <v>64565.330000000016</v>
      </c>
      <c r="K802" s="8">
        <v>0.40153062830002523</v>
      </c>
    </row>
    <row r="803" spans="1:11" x14ac:dyDescent="0.3">
      <c r="A803" s="5" t="s">
        <v>45</v>
      </c>
      <c r="B803" s="6">
        <v>40254</v>
      </c>
      <c r="C803" s="5">
        <v>12</v>
      </c>
      <c r="D803" s="5">
        <v>3</v>
      </c>
      <c r="E803" s="5">
        <v>2010</v>
      </c>
      <c r="F803" s="5" t="s">
        <v>34</v>
      </c>
      <c r="G803" s="5" t="s">
        <v>7</v>
      </c>
      <c r="H803" s="7">
        <v>760</v>
      </c>
      <c r="I803" s="7">
        <v>949.97</v>
      </c>
      <c r="J803" s="7">
        <v>189.97000000000003</v>
      </c>
      <c r="K803" s="8">
        <v>0.24996052631578952</v>
      </c>
    </row>
    <row r="804" spans="1:11" x14ac:dyDescent="0.3">
      <c r="A804" s="5" t="s">
        <v>45</v>
      </c>
      <c r="B804" s="6">
        <v>40254</v>
      </c>
      <c r="C804" s="5">
        <v>12</v>
      </c>
      <c r="D804" s="5">
        <v>3</v>
      </c>
      <c r="E804" s="5">
        <v>2010</v>
      </c>
      <c r="F804" s="5" t="s">
        <v>35</v>
      </c>
      <c r="G804" s="5" t="s">
        <v>11</v>
      </c>
      <c r="H804" s="7">
        <v>371.6</v>
      </c>
      <c r="I804" s="7">
        <v>483.07</v>
      </c>
      <c r="J804" s="7">
        <v>111.46999999999997</v>
      </c>
      <c r="K804" s="8">
        <v>0.29997308934337991</v>
      </c>
    </row>
    <row r="805" spans="1:11" x14ac:dyDescent="0.3">
      <c r="A805" s="5" t="s">
        <v>45</v>
      </c>
      <c r="B805" s="6">
        <v>40254</v>
      </c>
      <c r="C805" s="5">
        <v>12</v>
      </c>
      <c r="D805" s="5">
        <v>3</v>
      </c>
      <c r="E805" s="5">
        <v>2010</v>
      </c>
      <c r="F805" s="5" t="s">
        <v>36</v>
      </c>
      <c r="G805" s="5" t="s">
        <v>11</v>
      </c>
      <c r="H805" s="7">
        <v>105836.29</v>
      </c>
      <c r="I805" s="7">
        <v>109633.53</v>
      </c>
      <c r="J805" s="7">
        <v>3797.2400000000052</v>
      </c>
      <c r="K805" s="8">
        <v>3.5878430734864249E-2</v>
      </c>
    </row>
    <row r="806" spans="1:11" x14ac:dyDescent="0.3">
      <c r="A806" s="5" t="s">
        <v>45</v>
      </c>
      <c r="B806" s="6">
        <v>40254</v>
      </c>
      <c r="C806" s="5">
        <v>12</v>
      </c>
      <c r="D806" s="5">
        <v>3</v>
      </c>
      <c r="E806" s="5">
        <v>2010</v>
      </c>
      <c r="F806" s="5" t="s">
        <v>37</v>
      </c>
      <c r="G806" s="5" t="s">
        <v>11</v>
      </c>
      <c r="H806" s="7">
        <v>370788.52</v>
      </c>
      <c r="I806" s="7">
        <v>394415.78</v>
      </c>
      <c r="J806" s="7">
        <v>23627.260000000009</v>
      </c>
      <c r="K806" s="8">
        <v>6.3721659990983559E-2</v>
      </c>
    </row>
    <row r="807" spans="1:11" x14ac:dyDescent="0.3">
      <c r="A807" s="5" t="s">
        <v>45</v>
      </c>
      <c r="B807" s="6">
        <v>40254</v>
      </c>
      <c r="C807" s="5">
        <v>12</v>
      </c>
      <c r="D807" s="5">
        <v>3</v>
      </c>
      <c r="E807" s="5">
        <v>2010</v>
      </c>
      <c r="F807" s="5" t="s">
        <v>38</v>
      </c>
      <c r="G807" s="5" t="s">
        <v>11</v>
      </c>
      <c r="H807" s="7">
        <v>276273.24</v>
      </c>
      <c r="I807" s="7">
        <v>284734.27</v>
      </c>
      <c r="J807" s="7">
        <v>8461.0300000000279</v>
      </c>
      <c r="K807" s="8">
        <v>3.0625586466499717E-2</v>
      </c>
    </row>
    <row r="808" spans="1:11" x14ac:dyDescent="0.3">
      <c r="A808" s="5" t="s">
        <v>45</v>
      </c>
      <c r="B808" s="6">
        <v>40255</v>
      </c>
      <c r="C808" s="5">
        <v>12</v>
      </c>
      <c r="D808" s="5">
        <v>3</v>
      </c>
      <c r="E808" s="5">
        <v>2010</v>
      </c>
      <c r="F808" s="5" t="s">
        <v>14</v>
      </c>
      <c r="G808" s="5" t="s">
        <v>6</v>
      </c>
      <c r="H808" s="7">
        <v>12698</v>
      </c>
      <c r="I808" s="7">
        <v>15072.16</v>
      </c>
      <c r="J808" s="7">
        <v>2374.16</v>
      </c>
      <c r="K808" s="8">
        <v>0.18697117656323831</v>
      </c>
    </row>
    <row r="809" spans="1:11" x14ac:dyDescent="0.3">
      <c r="A809" s="5" t="s">
        <v>45</v>
      </c>
      <c r="B809" s="6">
        <v>40255</v>
      </c>
      <c r="C809" s="5">
        <v>12</v>
      </c>
      <c r="D809" s="5">
        <v>3</v>
      </c>
      <c r="E809" s="5">
        <v>2010</v>
      </c>
      <c r="F809" s="5" t="s">
        <v>15</v>
      </c>
      <c r="G809" s="5" t="s">
        <v>6</v>
      </c>
      <c r="H809" s="7">
        <v>193073.35</v>
      </c>
      <c r="I809" s="7">
        <v>251895.25</v>
      </c>
      <c r="J809" s="7">
        <v>58821.899999999994</v>
      </c>
      <c r="K809" s="8">
        <v>0.30466089701142074</v>
      </c>
    </row>
    <row r="810" spans="1:11" x14ac:dyDescent="0.3">
      <c r="A810" s="5" t="s">
        <v>45</v>
      </c>
      <c r="B810" s="6">
        <v>40255</v>
      </c>
      <c r="C810" s="5">
        <v>12</v>
      </c>
      <c r="D810" s="5">
        <v>3</v>
      </c>
      <c r="E810" s="5">
        <v>2010</v>
      </c>
      <c r="F810" s="5" t="s">
        <v>16</v>
      </c>
      <c r="G810" s="5" t="s">
        <v>6</v>
      </c>
      <c r="H810" s="7">
        <v>27638.34</v>
      </c>
      <c r="I810" s="7">
        <v>31016.14</v>
      </c>
      <c r="J810" s="7">
        <v>3377.7999999999993</v>
      </c>
      <c r="K810" s="8">
        <v>0.12221428638623011</v>
      </c>
    </row>
    <row r="811" spans="1:11" x14ac:dyDescent="0.3">
      <c r="A811" s="5" t="s">
        <v>45</v>
      </c>
      <c r="B811" s="6">
        <v>40255</v>
      </c>
      <c r="C811" s="5">
        <v>12</v>
      </c>
      <c r="D811" s="5">
        <v>3</v>
      </c>
      <c r="E811" s="5">
        <v>2010</v>
      </c>
      <c r="F811" s="5" t="s">
        <v>17</v>
      </c>
      <c r="G811" s="5" t="s">
        <v>6</v>
      </c>
      <c r="H811" s="7">
        <v>574</v>
      </c>
      <c r="I811" s="7">
        <v>585.39</v>
      </c>
      <c r="J811" s="7">
        <v>11.389999999999986</v>
      </c>
      <c r="K811" s="8">
        <v>1.9843205574912866E-2</v>
      </c>
    </row>
    <row r="812" spans="1:11" x14ac:dyDescent="0.3">
      <c r="A812" s="5" t="s">
        <v>45</v>
      </c>
      <c r="B812" s="6">
        <v>40255</v>
      </c>
      <c r="C812" s="5">
        <v>12</v>
      </c>
      <c r="D812" s="5">
        <v>3</v>
      </c>
      <c r="E812" s="5">
        <v>2010</v>
      </c>
      <c r="F812" s="5" t="s">
        <v>18</v>
      </c>
      <c r="G812" s="5" t="s">
        <v>6</v>
      </c>
      <c r="H812" s="7">
        <v>2642</v>
      </c>
      <c r="I812" s="7">
        <v>2961.38</v>
      </c>
      <c r="J812" s="7">
        <v>319.38000000000011</v>
      </c>
      <c r="K812" s="8">
        <v>0.12088569265707801</v>
      </c>
    </row>
    <row r="813" spans="1:11" x14ac:dyDescent="0.3">
      <c r="A813" s="5" t="s">
        <v>45</v>
      </c>
      <c r="B813" s="6">
        <v>40255</v>
      </c>
      <c r="C813" s="5">
        <v>12</v>
      </c>
      <c r="D813" s="5">
        <v>3</v>
      </c>
      <c r="E813" s="5">
        <v>2010</v>
      </c>
      <c r="F813" s="5" t="s">
        <v>19</v>
      </c>
      <c r="G813" s="5" t="s">
        <v>5</v>
      </c>
      <c r="H813" s="7">
        <v>76875.92</v>
      </c>
      <c r="I813" s="7">
        <v>84328.69</v>
      </c>
      <c r="J813" s="7">
        <v>7452.7700000000041</v>
      </c>
      <c r="K813" s="8">
        <v>9.6945441433416393E-2</v>
      </c>
    </row>
    <row r="814" spans="1:11" x14ac:dyDescent="0.3">
      <c r="A814" s="5" t="s">
        <v>45</v>
      </c>
      <c r="B814" s="6">
        <v>40255</v>
      </c>
      <c r="C814" s="5">
        <v>12</v>
      </c>
      <c r="D814" s="5">
        <v>3</v>
      </c>
      <c r="E814" s="5">
        <v>2010</v>
      </c>
      <c r="F814" s="5" t="s">
        <v>5</v>
      </c>
      <c r="G814" s="5" t="s">
        <v>5</v>
      </c>
      <c r="H814" s="7">
        <v>457472.92</v>
      </c>
      <c r="I814" s="7">
        <v>481147.07</v>
      </c>
      <c r="J814" s="7">
        <v>23674.150000000023</v>
      </c>
      <c r="K814" s="8">
        <v>5.1749839094300976E-2</v>
      </c>
    </row>
    <row r="815" spans="1:11" x14ac:dyDescent="0.3">
      <c r="A815" s="5" t="s">
        <v>45</v>
      </c>
      <c r="B815" s="6">
        <v>40255</v>
      </c>
      <c r="C815" s="5">
        <v>12</v>
      </c>
      <c r="D815" s="5">
        <v>3</v>
      </c>
      <c r="E815" s="5">
        <v>2010</v>
      </c>
      <c r="F815" s="5" t="s">
        <v>20</v>
      </c>
      <c r="G815" s="5" t="s">
        <v>5</v>
      </c>
      <c r="H815" s="7">
        <v>101059.64</v>
      </c>
      <c r="I815" s="7">
        <v>112645.68</v>
      </c>
      <c r="J815" s="7">
        <v>11586.039999999994</v>
      </c>
      <c r="K815" s="8">
        <v>0.11464556968538571</v>
      </c>
    </row>
    <row r="816" spans="1:11" x14ac:dyDescent="0.3">
      <c r="A816" s="5" t="s">
        <v>45</v>
      </c>
      <c r="B816" s="6">
        <v>40255</v>
      </c>
      <c r="C816" s="5">
        <v>12</v>
      </c>
      <c r="D816" s="5">
        <v>3</v>
      </c>
      <c r="E816" s="5">
        <v>2010</v>
      </c>
      <c r="F816" s="5" t="s">
        <v>21</v>
      </c>
      <c r="G816" s="5" t="s">
        <v>5</v>
      </c>
      <c r="H816" s="7">
        <v>150001.95000000001</v>
      </c>
      <c r="I816" s="7">
        <v>159816.25</v>
      </c>
      <c r="J816" s="7">
        <v>9814.2999999999884</v>
      </c>
      <c r="K816" s="8">
        <v>6.5427816105057213E-2</v>
      </c>
    </row>
    <row r="817" spans="1:11" x14ac:dyDescent="0.3">
      <c r="A817" s="5" t="s">
        <v>45</v>
      </c>
      <c r="B817" s="6">
        <v>40255</v>
      </c>
      <c r="C817" s="5">
        <v>12</v>
      </c>
      <c r="D817" s="5">
        <v>3</v>
      </c>
      <c r="E817" s="5">
        <v>2010</v>
      </c>
      <c r="F817" s="5" t="s">
        <v>22</v>
      </c>
      <c r="G817" s="5" t="s">
        <v>8</v>
      </c>
      <c r="H817" s="7">
        <v>236735</v>
      </c>
      <c r="I817" s="7">
        <v>266147.67</v>
      </c>
      <c r="J817" s="7">
        <v>29412.669999999984</v>
      </c>
      <c r="K817" s="8">
        <v>0.12424301434092966</v>
      </c>
    </row>
    <row r="818" spans="1:11" x14ac:dyDescent="0.3">
      <c r="A818" s="5" t="s">
        <v>45</v>
      </c>
      <c r="B818" s="6">
        <v>40255</v>
      </c>
      <c r="C818" s="5">
        <v>12</v>
      </c>
      <c r="D818" s="5">
        <v>3</v>
      </c>
      <c r="E818" s="5">
        <v>2010</v>
      </c>
      <c r="F818" s="5" t="s">
        <v>23</v>
      </c>
      <c r="G818" s="5" t="s">
        <v>8</v>
      </c>
      <c r="H818" s="7">
        <v>136533.9</v>
      </c>
      <c r="I818" s="7">
        <v>142253.78</v>
      </c>
      <c r="J818" s="7">
        <v>5719.8800000000047</v>
      </c>
      <c r="K818" s="8">
        <v>4.1893478469449748E-2</v>
      </c>
    </row>
    <row r="819" spans="1:11" x14ac:dyDescent="0.3">
      <c r="A819" s="5" t="s">
        <v>45</v>
      </c>
      <c r="B819" s="6">
        <v>40255</v>
      </c>
      <c r="C819" s="5">
        <v>12</v>
      </c>
      <c r="D819" s="5">
        <v>3</v>
      </c>
      <c r="E819" s="5">
        <v>2010</v>
      </c>
      <c r="F819" s="5" t="s">
        <v>24</v>
      </c>
      <c r="G819" s="5" t="s">
        <v>8</v>
      </c>
      <c r="H819" s="7">
        <v>47949</v>
      </c>
      <c r="I819" s="7">
        <v>51778.3</v>
      </c>
      <c r="J819" s="7">
        <v>3829.3000000000029</v>
      </c>
      <c r="K819" s="8">
        <v>7.9861936641014472E-2</v>
      </c>
    </row>
    <row r="820" spans="1:11" x14ac:dyDescent="0.3">
      <c r="A820" s="5" t="s">
        <v>45</v>
      </c>
      <c r="B820" s="6">
        <v>40255</v>
      </c>
      <c r="C820" s="5">
        <v>12</v>
      </c>
      <c r="D820" s="5">
        <v>3</v>
      </c>
      <c r="E820" s="5">
        <v>2010</v>
      </c>
      <c r="F820" s="5" t="s">
        <v>25</v>
      </c>
      <c r="G820" s="5" t="s">
        <v>8</v>
      </c>
      <c r="H820" s="7">
        <v>28042.15</v>
      </c>
      <c r="I820" s="7">
        <v>30289.119999999999</v>
      </c>
      <c r="J820" s="7">
        <v>2246.9699999999975</v>
      </c>
      <c r="K820" s="8">
        <v>8.0128306852363232E-2</v>
      </c>
    </row>
    <row r="821" spans="1:11" x14ac:dyDescent="0.3">
      <c r="A821" s="5" t="s">
        <v>45</v>
      </c>
      <c r="B821" s="6">
        <v>40255</v>
      </c>
      <c r="C821" s="5">
        <v>12</v>
      </c>
      <c r="D821" s="5">
        <v>3</v>
      </c>
      <c r="E821" s="5">
        <v>2010</v>
      </c>
      <c r="F821" s="5" t="s">
        <v>26</v>
      </c>
      <c r="G821" s="5" t="s">
        <v>10</v>
      </c>
      <c r="H821" s="7">
        <v>16664.71</v>
      </c>
      <c r="I821" s="7">
        <v>18948.740000000002</v>
      </c>
      <c r="J821" s="7">
        <v>2284.0300000000025</v>
      </c>
      <c r="K821" s="8">
        <v>0.13705789059635617</v>
      </c>
    </row>
    <row r="822" spans="1:11" x14ac:dyDescent="0.3">
      <c r="A822" s="5" t="s">
        <v>45</v>
      </c>
      <c r="B822" s="6">
        <v>40255</v>
      </c>
      <c r="C822" s="5">
        <v>12</v>
      </c>
      <c r="D822" s="5">
        <v>3</v>
      </c>
      <c r="E822" s="5">
        <v>2010</v>
      </c>
      <c r="F822" s="5" t="s">
        <v>27</v>
      </c>
      <c r="G822" s="5" t="s">
        <v>10</v>
      </c>
      <c r="H822" s="7">
        <v>141250.1</v>
      </c>
      <c r="I822" s="7">
        <v>159444.32999999999</v>
      </c>
      <c r="J822" s="7">
        <v>18194.229999999981</v>
      </c>
      <c r="K822" s="8">
        <v>0.12880861677266056</v>
      </c>
    </row>
    <row r="823" spans="1:11" x14ac:dyDescent="0.3">
      <c r="A823" s="5" t="s">
        <v>45</v>
      </c>
      <c r="B823" s="6">
        <v>40255</v>
      </c>
      <c r="C823" s="5">
        <v>12</v>
      </c>
      <c r="D823" s="5">
        <v>3</v>
      </c>
      <c r="E823" s="5">
        <v>2010</v>
      </c>
      <c r="F823" s="5" t="s">
        <v>28</v>
      </c>
      <c r="G823" s="5" t="s">
        <v>10</v>
      </c>
      <c r="H823" s="7">
        <v>93380.14</v>
      </c>
      <c r="I823" s="7">
        <v>105708.53</v>
      </c>
      <c r="J823" s="7">
        <v>12328.39</v>
      </c>
      <c r="K823" s="8">
        <v>0.13202368298012832</v>
      </c>
    </row>
    <row r="824" spans="1:11" x14ac:dyDescent="0.3">
      <c r="A824" s="5" t="s">
        <v>45</v>
      </c>
      <c r="B824" s="6">
        <v>40255</v>
      </c>
      <c r="C824" s="5">
        <v>12</v>
      </c>
      <c r="D824" s="5">
        <v>3</v>
      </c>
      <c r="E824" s="5">
        <v>2010</v>
      </c>
      <c r="F824" s="5" t="s">
        <v>29</v>
      </c>
      <c r="G824" s="5" t="s">
        <v>10</v>
      </c>
      <c r="H824" s="7">
        <v>582822.62</v>
      </c>
      <c r="I824" s="7">
        <v>631645.56999999995</v>
      </c>
      <c r="J824" s="7">
        <v>48822.949999999953</v>
      </c>
      <c r="K824" s="8">
        <v>8.3769826915777487E-2</v>
      </c>
    </row>
    <row r="825" spans="1:11" x14ac:dyDescent="0.3">
      <c r="A825" s="5" t="s">
        <v>45</v>
      </c>
      <c r="B825" s="6">
        <v>40255</v>
      </c>
      <c r="C825" s="5">
        <v>12</v>
      </c>
      <c r="D825" s="5">
        <v>3</v>
      </c>
      <c r="E825" s="5">
        <v>2010</v>
      </c>
      <c r="F825" s="5" t="s">
        <v>30</v>
      </c>
      <c r="G825" s="5" t="s">
        <v>10</v>
      </c>
      <c r="H825" s="7">
        <v>121897.42</v>
      </c>
      <c r="I825" s="7">
        <v>137125.6</v>
      </c>
      <c r="J825" s="7">
        <v>15228.180000000008</v>
      </c>
      <c r="K825" s="8">
        <v>0.12492618793736576</v>
      </c>
    </row>
    <row r="826" spans="1:11" x14ac:dyDescent="0.3">
      <c r="A826" s="5" t="s">
        <v>45</v>
      </c>
      <c r="B826" s="6">
        <v>40255</v>
      </c>
      <c r="C826" s="5">
        <v>12</v>
      </c>
      <c r="D826" s="5">
        <v>3</v>
      </c>
      <c r="E826" s="5">
        <v>2010</v>
      </c>
      <c r="F826" s="5" t="s">
        <v>31</v>
      </c>
      <c r="G826" s="5" t="s">
        <v>7</v>
      </c>
      <c r="H826" s="7">
        <v>13116.42</v>
      </c>
      <c r="I826" s="7">
        <v>16750.71</v>
      </c>
      <c r="J826" s="7">
        <v>3634.2899999999991</v>
      </c>
      <c r="K826" s="8">
        <v>0.27707941648712064</v>
      </c>
    </row>
    <row r="827" spans="1:11" x14ac:dyDescent="0.3">
      <c r="A827" s="5" t="s">
        <v>45</v>
      </c>
      <c r="B827" s="6">
        <v>40255</v>
      </c>
      <c r="C827" s="5">
        <v>12</v>
      </c>
      <c r="D827" s="5">
        <v>3</v>
      </c>
      <c r="E827" s="5">
        <v>2010</v>
      </c>
      <c r="F827" s="5" t="s">
        <v>32</v>
      </c>
      <c r="G827" s="5" t="s">
        <v>7</v>
      </c>
      <c r="H827" s="7">
        <v>19492.12</v>
      </c>
      <c r="I827" s="7">
        <v>22412.42</v>
      </c>
      <c r="J827" s="7">
        <v>2920.2999999999993</v>
      </c>
      <c r="K827" s="8">
        <v>0.1498195168098698</v>
      </c>
    </row>
    <row r="828" spans="1:11" x14ac:dyDescent="0.3">
      <c r="A828" s="5" t="s">
        <v>45</v>
      </c>
      <c r="B828" s="6">
        <v>40255</v>
      </c>
      <c r="C828" s="5">
        <v>12</v>
      </c>
      <c r="D828" s="5">
        <v>3</v>
      </c>
      <c r="E828" s="5">
        <v>2010</v>
      </c>
      <c r="F828" s="5" t="s">
        <v>33</v>
      </c>
      <c r="G828" s="5" t="s">
        <v>7</v>
      </c>
      <c r="H828" s="7">
        <v>196754.29</v>
      </c>
      <c r="I828" s="7">
        <v>275084.52</v>
      </c>
      <c r="J828" s="7">
        <v>78330.23000000001</v>
      </c>
      <c r="K828" s="8">
        <v>0.39811192935107037</v>
      </c>
    </row>
    <row r="829" spans="1:11" x14ac:dyDescent="0.3">
      <c r="A829" s="5" t="s">
        <v>45</v>
      </c>
      <c r="B829" s="6">
        <v>40255</v>
      </c>
      <c r="C829" s="5">
        <v>12</v>
      </c>
      <c r="D829" s="5">
        <v>3</v>
      </c>
      <c r="E829" s="5">
        <v>2010</v>
      </c>
      <c r="F829" s="5" t="s">
        <v>34</v>
      </c>
      <c r="G829" s="5" t="s">
        <v>7</v>
      </c>
      <c r="H829" s="7">
        <v>684</v>
      </c>
      <c r="I829" s="7">
        <v>854.77</v>
      </c>
      <c r="J829" s="7">
        <v>170.76999999999998</v>
      </c>
      <c r="K829" s="8">
        <v>0.24966374269005845</v>
      </c>
    </row>
    <row r="830" spans="1:11" x14ac:dyDescent="0.3">
      <c r="A830" s="5" t="s">
        <v>45</v>
      </c>
      <c r="B830" s="6">
        <v>40255</v>
      </c>
      <c r="C830" s="5">
        <v>12</v>
      </c>
      <c r="D830" s="5">
        <v>3</v>
      </c>
      <c r="E830" s="5">
        <v>2010</v>
      </c>
      <c r="F830" s="5" t="s">
        <v>35</v>
      </c>
      <c r="G830" s="5" t="s">
        <v>11</v>
      </c>
      <c r="H830" s="7">
        <v>2135.3200000000002</v>
      </c>
      <c r="I830" s="7">
        <v>2774.22</v>
      </c>
      <c r="J830" s="7">
        <v>638.89999999999964</v>
      </c>
      <c r="K830" s="8">
        <v>0.29920573965494612</v>
      </c>
    </row>
    <row r="831" spans="1:11" x14ac:dyDescent="0.3">
      <c r="A831" s="5" t="s">
        <v>45</v>
      </c>
      <c r="B831" s="6">
        <v>40255</v>
      </c>
      <c r="C831" s="5">
        <v>12</v>
      </c>
      <c r="D831" s="5">
        <v>3</v>
      </c>
      <c r="E831" s="5">
        <v>2010</v>
      </c>
      <c r="F831" s="5" t="s">
        <v>36</v>
      </c>
      <c r="G831" s="5" t="s">
        <v>11</v>
      </c>
      <c r="H831" s="7">
        <v>99581.45</v>
      </c>
      <c r="I831" s="7">
        <v>105682.67</v>
      </c>
      <c r="J831" s="7">
        <v>6101.2200000000012</v>
      </c>
      <c r="K831" s="8">
        <v>6.1268639892269106E-2</v>
      </c>
    </row>
    <row r="832" spans="1:11" x14ac:dyDescent="0.3">
      <c r="A832" s="5" t="s">
        <v>45</v>
      </c>
      <c r="B832" s="6">
        <v>40255</v>
      </c>
      <c r="C832" s="5">
        <v>12</v>
      </c>
      <c r="D832" s="5">
        <v>3</v>
      </c>
      <c r="E832" s="5">
        <v>2010</v>
      </c>
      <c r="F832" s="5" t="s">
        <v>37</v>
      </c>
      <c r="G832" s="5" t="s">
        <v>11</v>
      </c>
      <c r="H832" s="7">
        <v>276162.46000000002</v>
      </c>
      <c r="I832" s="7">
        <v>296669.67</v>
      </c>
      <c r="J832" s="7">
        <v>20507.209999999963</v>
      </c>
      <c r="K832" s="8">
        <v>7.4257775658574166E-2</v>
      </c>
    </row>
    <row r="833" spans="1:11" x14ac:dyDescent="0.3">
      <c r="A833" s="5" t="s">
        <v>45</v>
      </c>
      <c r="B833" s="6">
        <v>40255</v>
      </c>
      <c r="C833" s="5">
        <v>12</v>
      </c>
      <c r="D833" s="5">
        <v>3</v>
      </c>
      <c r="E833" s="5">
        <v>2010</v>
      </c>
      <c r="F833" s="5" t="s">
        <v>38</v>
      </c>
      <c r="G833" s="5" t="s">
        <v>11</v>
      </c>
      <c r="H833" s="7">
        <v>225711</v>
      </c>
      <c r="I833" s="7">
        <v>228473.12</v>
      </c>
      <c r="J833" s="7">
        <v>2762.1199999999953</v>
      </c>
      <c r="K833" s="8">
        <v>1.2237418645967611E-2</v>
      </c>
    </row>
    <row r="834" spans="1:11" x14ac:dyDescent="0.3">
      <c r="A834" s="5" t="s">
        <v>45</v>
      </c>
      <c r="B834" s="6">
        <v>40256</v>
      </c>
      <c r="C834" s="5">
        <v>12</v>
      </c>
      <c r="D834" s="5">
        <v>3</v>
      </c>
      <c r="E834" s="5">
        <v>2010</v>
      </c>
      <c r="F834" s="5" t="s">
        <v>14</v>
      </c>
      <c r="G834" s="5" t="s">
        <v>6</v>
      </c>
      <c r="H834" s="7">
        <v>10121</v>
      </c>
      <c r="I834" s="7">
        <v>12235.14</v>
      </c>
      <c r="J834" s="7">
        <v>2114.1399999999994</v>
      </c>
      <c r="K834" s="8">
        <v>0.20888647366860977</v>
      </c>
    </row>
    <row r="835" spans="1:11" x14ac:dyDescent="0.3">
      <c r="A835" s="5" t="s">
        <v>45</v>
      </c>
      <c r="B835" s="6">
        <v>40256</v>
      </c>
      <c r="C835" s="5">
        <v>12</v>
      </c>
      <c r="D835" s="5">
        <v>3</v>
      </c>
      <c r="E835" s="5">
        <v>2010</v>
      </c>
      <c r="F835" s="5" t="s">
        <v>15</v>
      </c>
      <c r="G835" s="5" t="s">
        <v>6</v>
      </c>
      <c r="H835" s="7">
        <v>213630.96</v>
      </c>
      <c r="I835" s="7">
        <v>305110.84999999998</v>
      </c>
      <c r="J835" s="7">
        <v>91479.889999999985</v>
      </c>
      <c r="K835" s="8">
        <v>0.42821457152090686</v>
      </c>
    </row>
    <row r="836" spans="1:11" x14ac:dyDescent="0.3">
      <c r="A836" s="5" t="s">
        <v>45</v>
      </c>
      <c r="B836" s="6">
        <v>40256</v>
      </c>
      <c r="C836" s="5">
        <v>12</v>
      </c>
      <c r="D836" s="5">
        <v>3</v>
      </c>
      <c r="E836" s="5">
        <v>2010</v>
      </c>
      <c r="F836" s="5" t="s">
        <v>16</v>
      </c>
      <c r="G836" s="5" t="s">
        <v>6</v>
      </c>
      <c r="H836" s="7">
        <v>72934.39</v>
      </c>
      <c r="I836" s="7">
        <v>80584.89</v>
      </c>
      <c r="J836" s="7">
        <v>7650.5</v>
      </c>
      <c r="K836" s="8">
        <v>0.10489564662157318</v>
      </c>
    </row>
    <row r="837" spans="1:11" x14ac:dyDescent="0.3">
      <c r="A837" s="5" t="s">
        <v>45</v>
      </c>
      <c r="B837" s="6">
        <v>40256</v>
      </c>
      <c r="C837" s="5">
        <v>12</v>
      </c>
      <c r="D837" s="5">
        <v>3</v>
      </c>
      <c r="E837" s="5">
        <v>2010</v>
      </c>
      <c r="F837" s="5" t="s">
        <v>17</v>
      </c>
      <c r="G837" s="5" t="s">
        <v>6</v>
      </c>
      <c r="H837" s="7">
        <v>1722</v>
      </c>
      <c r="I837" s="7">
        <v>1905.31</v>
      </c>
      <c r="J837" s="7">
        <v>183.30999999999995</v>
      </c>
      <c r="K837" s="8">
        <v>0.10645180023228801</v>
      </c>
    </row>
    <row r="838" spans="1:11" x14ac:dyDescent="0.3">
      <c r="A838" s="5" t="s">
        <v>45</v>
      </c>
      <c r="B838" s="6">
        <v>40256</v>
      </c>
      <c r="C838" s="5">
        <v>12</v>
      </c>
      <c r="D838" s="5">
        <v>3</v>
      </c>
      <c r="E838" s="5">
        <v>2010</v>
      </c>
      <c r="F838" s="5" t="s">
        <v>18</v>
      </c>
      <c r="G838" s="5" t="s">
        <v>6</v>
      </c>
      <c r="H838" s="7">
        <v>588</v>
      </c>
      <c r="I838" s="7">
        <v>675.95</v>
      </c>
      <c r="J838" s="7">
        <v>87.950000000000045</v>
      </c>
      <c r="K838" s="8">
        <v>0.14957482993197288</v>
      </c>
    </row>
    <row r="839" spans="1:11" x14ac:dyDescent="0.3">
      <c r="A839" s="5" t="s">
        <v>45</v>
      </c>
      <c r="B839" s="6">
        <v>40256</v>
      </c>
      <c r="C839" s="5">
        <v>12</v>
      </c>
      <c r="D839" s="5">
        <v>3</v>
      </c>
      <c r="E839" s="5">
        <v>2010</v>
      </c>
      <c r="F839" s="5" t="s">
        <v>19</v>
      </c>
      <c r="G839" s="5" t="s">
        <v>5</v>
      </c>
      <c r="H839" s="7">
        <v>123603.02</v>
      </c>
      <c r="I839" s="7">
        <v>134443.65</v>
      </c>
      <c r="J839" s="7">
        <v>10840.62999999999</v>
      </c>
      <c r="K839" s="8">
        <v>8.7705219500300149E-2</v>
      </c>
    </row>
    <row r="840" spans="1:11" x14ac:dyDescent="0.3">
      <c r="A840" s="5" t="s">
        <v>45</v>
      </c>
      <c r="B840" s="6">
        <v>40256</v>
      </c>
      <c r="C840" s="5">
        <v>12</v>
      </c>
      <c r="D840" s="5">
        <v>3</v>
      </c>
      <c r="E840" s="5">
        <v>2010</v>
      </c>
      <c r="F840" s="5" t="s">
        <v>5</v>
      </c>
      <c r="G840" s="5" t="s">
        <v>5</v>
      </c>
      <c r="H840" s="7">
        <v>514287.65</v>
      </c>
      <c r="I840" s="7">
        <v>545999.13</v>
      </c>
      <c r="J840" s="7">
        <v>31711.479999999981</v>
      </c>
      <c r="K840" s="8">
        <v>6.166097902603724E-2</v>
      </c>
    </row>
    <row r="841" spans="1:11" x14ac:dyDescent="0.3">
      <c r="A841" s="5" t="s">
        <v>45</v>
      </c>
      <c r="B841" s="6">
        <v>40256</v>
      </c>
      <c r="C841" s="5">
        <v>12</v>
      </c>
      <c r="D841" s="5">
        <v>3</v>
      </c>
      <c r="E841" s="5">
        <v>2010</v>
      </c>
      <c r="F841" s="5" t="s">
        <v>20</v>
      </c>
      <c r="G841" s="5" t="s">
        <v>5</v>
      </c>
      <c r="H841" s="7">
        <v>162658.87</v>
      </c>
      <c r="I841" s="7">
        <v>180851.38</v>
      </c>
      <c r="J841" s="7">
        <v>18192.510000000009</v>
      </c>
      <c r="K841" s="8">
        <v>0.1118445615661784</v>
      </c>
    </row>
    <row r="842" spans="1:11" x14ac:dyDescent="0.3">
      <c r="A842" s="5" t="s">
        <v>45</v>
      </c>
      <c r="B842" s="6">
        <v>40256</v>
      </c>
      <c r="C842" s="5">
        <v>12</v>
      </c>
      <c r="D842" s="5">
        <v>3</v>
      </c>
      <c r="E842" s="5">
        <v>2010</v>
      </c>
      <c r="F842" s="5" t="s">
        <v>21</v>
      </c>
      <c r="G842" s="5" t="s">
        <v>5</v>
      </c>
      <c r="H842" s="7">
        <v>207036.35</v>
      </c>
      <c r="I842" s="7">
        <v>221787.43</v>
      </c>
      <c r="J842" s="7">
        <v>14751.079999999987</v>
      </c>
      <c r="K842" s="8">
        <v>7.1248744483758467E-2</v>
      </c>
    </row>
    <row r="843" spans="1:11" x14ac:dyDescent="0.3">
      <c r="A843" s="5" t="s">
        <v>45</v>
      </c>
      <c r="B843" s="6">
        <v>40256</v>
      </c>
      <c r="C843" s="5">
        <v>12</v>
      </c>
      <c r="D843" s="5">
        <v>3</v>
      </c>
      <c r="E843" s="5">
        <v>2010</v>
      </c>
      <c r="F843" s="5" t="s">
        <v>22</v>
      </c>
      <c r="G843" s="5" t="s">
        <v>8</v>
      </c>
      <c r="H843" s="7">
        <v>440742.99</v>
      </c>
      <c r="I843" s="7">
        <v>480873.95</v>
      </c>
      <c r="J843" s="7">
        <v>40130.960000000021</v>
      </c>
      <c r="K843" s="8">
        <v>9.1052973979234522E-2</v>
      </c>
    </row>
    <row r="844" spans="1:11" x14ac:dyDescent="0.3">
      <c r="A844" s="5" t="s">
        <v>45</v>
      </c>
      <c r="B844" s="6">
        <v>40256</v>
      </c>
      <c r="C844" s="5">
        <v>12</v>
      </c>
      <c r="D844" s="5">
        <v>3</v>
      </c>
      <c r="E844" s="5">
        <v>2010</v>
      </c>
      <c r="F844" s="5" t="s">
        <v>23</v>
      </c>
      <c r="G844" s="5" t="s">
        <v>8</v>
      </c>
      <c r="H844" s="7">
        <v>228882.1</v>
      </c>
      <c r="I844" s="7">
        <v>237784.83</v>
      </c>
      <c r="J844" s="7">
        <v>8902.7299999999814</v>
      </c>
      <c r="K844" s="8">
        <v>3.8896576010094198E-2</v>
      </c>
    </row>
    <row r="845" spans="1:11" x14ac:dyDescent="0.3">
      <c r="A845" s="5" t="s">
        <v>45</v>
      </c>
      <c r="B845" s="6">
        <v>40256</v>
      </c>
      <c r="C845" s="5">
        <v>12</v>
      </c>
      <c r="D845" s="5">
        <v>3</v>
      </c>
      <c r="E845" s="5">
        <v>2010</v>
      </c>
      <c r="F845" s="5" t="s">
        <v>24</v>
      </c>
      <c r="G845" s="5" t="s">
        <v>8</v>
      </c>
      <c r="H845" s="7">
        <v>62686</v>
      </c>
      <c r="I845" s="7">
        <v>66707.16</v>
      </c>
      <c r="J845" s="7">
        <v>4021.1600000000035</v>
      </c>
      <c r="K845" s="8">
        <v>6.4147656574035719E-2</v>
      </c>
    </row>
    <row r="846" spans="1:11" x14ac:dyDescent="0.3">
      <c r="A846" s="5" t="s">
        <v>45</v>
      </c>
      <c r="B846" s="6">
        <v>40256</v>
      </c>
      <c r="C846" s="5">
        <v>12</v>
      </c>
      <c r="D846" s="5">
        <v>3</v>
      </c>
      <c r="E846" s="5">
        <v>2010</v>
      </c>
      <c r="F846" s="5" t="s">
        <v>25</v>
      </c>
      <c r="G846" s="5" t="s">
        <v>8</v>
      </c>
      <c r="H846" s="7">
        <v>18599.599999999999</v>
      </c>
      <c r="I846" s="7">
        <v>21239.93</v>
      </c>
      <c r="J846" s="7">
        <v>2640.3300000000017</v>
      </c>
      <c r="K846" s="8">
        <v>0.14195627862964805</v>
      </c>
    </row>
    <row r="847" spans="1:11" x14ac:dyDescent="0.3">
      <c r="A847" s="5" t="s">
        <v>45</v>
      </c>
      <c r="B847" s="6">
        <v>40256</v>
      </c>
      <c r="C847" s="5">
        <v>12</v>
      </c>
      <c r="D847" s="5">
        <v>3</v>
      </c>
      <c r="E847" s="5">
        <v>2010</v>
      </c>
      <c r="F847" s="5" t="s">
        <v>26</v>
      </c>
      <c r="G847" s="5" t="s">
        <v>10</v>
      </c>
      <c r="H847" s="7">
        <v>11113.37</v>
      </c>
      <c r="I847" s="7">
        <v>12343.74</v>
      </c>
      <c r="J847" s="7">
        <v>1230.369999999999</v>
      </c>
      <c r="K847" s="8">
        <v>0.11071079249588549</v>
      </c>
    </row>
    <row r="848" spans="1:11" x14ac:dyDescent="0.3">
      <c r="A848" s="5" t="s">
        <v>45</v>
      </c>
      <c r="B848" s="6">
        <v>40256</v>
      </c>
      <c r="C848" s="5">
        <v>12</v>
      </c>
      <c r="D848" s="5">
        <v>3</v>
      </c>
      <c r="E848" s="5">
        <v>2010</v>
      </c>
      <c r="F848" s="5" t="s">
        <v>27</v>
      </c>
      <c r="G848" s="5" t="s">
        <v>10</v>
      </c>
      <c r="H848" s="7">
        <v>142717.26999999999</v>
      </c>
      <c r="I848" s="7">
        <v>160608.4</v>
      </c>
      <c r="J848" s="7">
        <v>17891.130000000005</v>
      </c>
      <c r="K848" s="8">
        <v>0.12536065186785036</v>
      </c>
    </row>
    <row r="849" spans="1:11" x14ac:dyDescent="0.3">
      <c r="A849" s="5" t="s">
        <v>45</v>
      </c>
      <c r="B849" s="6">
        <v>40256</v>
      </c>
      <c r="C849" s="5">
        <v>12</v>
      </c>
      <c r="D849" s="5">
        <v>3</v>
      </c>
      <c r="E849" s="5">
        <v>2010</v>
      </c>
      <c r="F849" s="5" t="s">
        <v>28</v>
      </c>
      <c r="G849" s="5" t="s">
        <v>10</v>
      </c>
      <c r="H849" s="7">
        <v>114934.84</v>
      </c>
      <c r="I849" s="7">
        <v>127901.89</v>
      </c>
      <c r="J849" s="7">
        <v>12967.050000000003</v>
      </c>
      <c r="K849" s="8">
        <v>0.11282088181442636</v>
      </c>
    </row>
    <row r="850" spans="1:11" x14ac:dyDescent="0.3">
      <c r="A850" s="5" t="s">
        <v>45</v>
      </c>
      <c r="B850" s="6">
        <v>40256</v>
      </c>
      <c r="C850" s="5">
        <v>12</v>
      </c>
      <c r="D850" s="5">
        <v>3</v>
      </c>
      <c r="E850" s="5">
        <v>2010</v>
      </c>
      <c r="F850" s="5" t="s">
        <v>29</v>
      </c>
      <c r="G850" s="5" t="s">
        <v>10</v>
      </c>
      <c r="H850" s="7">
        <v>666366.12</v>
      </c>
      <c r="I850" s="7">
        <v>726673.14</v>
      </c>
      <c r="J850" s="7">
        <v>60307.020000000019</v>
      </c>
      <c r="K850" s="8">
        <v>9.0501329809504746E-2</v>
      </c>
    </row>
    <row r="851" spans="1:11" x14ac:dyDescent="0.3">
      <c r="A851" s="5" t="s">
        <v>45</v>
      </c>
      <c r="B851" s="6">
        <v>40256</v>
      </c>
      <c r="C851" s="5">
        <v>12</v>
      </c>
      <c r="D851" s="5">
        <v>3</v>
      </c>
      <c r="E851" s="5">
        <v>2010</v>
      </c>
      <c r="F851" s="5" t="s">
        <v>30</v>
      </c>
      <c r="G851" s="5" t="s">
        <v>10</v>
      </c>
      <c r="H851" s="7">
        <v>181392.96</v>
      </c>
      <c r="I851" s="7">
        <v>204595.48</v>
      </c>
      <c r="J851" s="7">
        <v>23202.520000000019</v>
      </c>
      <c r="K851" s="8">
        <v>0.12791301272111122</v>
      </c>
    </row>
    <row r="852" spans="1:11" x14ac:dyDescent="0.3">
      <c r="A852" s="5" t="s">
        <v>45</v>
      </c>
      <c r="B852" s="6">
        <v>40256</v>
      </c>
      <c r="C852" s="5">
        <v>12</v>
      </c>
      <c r="D852" s="5">
        <v>3</v>
      </c>
      <c r="E852" s="5">
        <v>2010</v>
      </c>
      <c r="F852" s="5" t="s">
        <v>31</v>
      </c>
      <c r="G852" s="5" t="s">
        <v>7</v>
      </c>
      <c r="H852" s="7">
        <v>31369.41</v>
      </c>
      <c r="I852" s="7">
        <v>36574.97</v>
      </c>
      <c r="J852" s="7">
        <v>5205.5600000000013</v>
      </c>
      <c r="K852" s="8">
        <v>0.16594382871721214</v>
      </c>
    </row>
    <row r="853" spans="1:11" x14ac:dyDescent="0.3">
      <c r="A853" s="5" t="s">
        <v>45</v>
      </c>
      <c r="B853" s="6">
        <v>40256</v>
      </c>
      <c r="C853" s="5">
        <v>12</v>
      </c>
      <c r="D853" s="5">
        <v>3</v>
      </c>
      <c r="E853" s="5">
        <v>2010</v>
      </c>
      <c r="F853" s="5" t="s">
        <v>32</v>
      </c>
      <c r="G853" s="5" t="s">
        <v>7</v>
      </c>
      <c r="H853" s="7">
        <v>16729.3</v>
      </c>
      <c r="I853" s="7">
        <v>19236.91</v>
      </c>
      <c r="J853" s="7">
        <v>2507.6100000000006</v>
      </c>
      <c r="K853" s="8">
        <v>0.14989330097493622</v>
      </c>
    </row>
    <row r="854" spans="1:11" x14ac:dyDescent="0.3">
      <c r="A854" s="5" t="s">
        <v>45</v>
      </c>
      <c r="B854" s="6">
        <v>40256</v>
      </c>
      <c r="C854" s="5">
        <v>12</v>
      </c>
      <c r="D854" s="5">
        <v>3</v>
      </c>
      <c r="E854" s="5">
        <v>2010</v>
      </c>
      <c r="F854" s="5" t="s">
        <v>33</v>
      </c>
      <c r="G854" s="5" t="s">
        <v>7</v>
      </c>
      <c r="H854" s="7">
        <v>244027.67</v>
      </c>
      <c r="I854" s="7">
        <v>333440.74</v>
      </c>
      <c r="J854" s="7">
        <v>89413.069999999978</v>
      </c>
      <c r="K854" s="8">
        <v>0.36640545721720807</v>
      </c>
    </row>
    <row r="855" spans="1:11" x14ac:dyDescent="0.3">
      <c r="A855" s="5" t="s">
        <v>45</v>
      </c>
      <c r="B855" s="6">
        <v>40256</v>
      </c>
      <c r="C855" s="5">
        <v>12</v>
      </c>
      <c r="D855" s="5">
        <v>3</v>
      </c>
      <c r="E855" s="5">
        <v>2010</v>
      </c>
      <c r="F855" s="5" t="s">
        <v>34</v>
      </c>
      <c r="G855" s="5" t="s">
        <v>7</v>
      </c>
      <c r="H855" s="7">
        <v>608</v>
      </c>
      <c r="I855" s="7">
        <v>759.96</v>
      </c>
      <c r="J855" s="7">
        <v>151.96000000000004</v>
      </c>
      <c r="K855" s="8">
        <v>0.24993421052631584</v>
      </c>
    </row>
    <row r="856" spans="1:11" x14ac:dyDescent="0.3">
      <c r="A856" s="5" t="s">
        <v>45</v>
      </c>
      <c r="B856" s="6">
        <v>40256</v>
      </c>
      <c r="C856" s="5">
        <v>12</v>
      </c>
      <c r="D856" s="5">
        <v>3</v>
      </c>
      <c r="E856" s="5">
        <v>2010</v>
      </c>
      <c r="F856" s="5" t="s">
        <v>35</v>
      </c>
      <c r="G856" s="5" t="s">
        <v>11</v>
      </c>
      <c r="H856" s="7">
        <v>2251.7600000000002</v>
      </c>
      <c r="I856" s="7">
        <v>2926.42</v>
      </c>
      <c r="J856" s="7">
        <v>674.65999999999985</v>
      </c>
      <c r="K856" s="8">
        <v>0.29961452375031078</v>
      </c>
    </row>
    <row r="857" spans="1:11" x14ac:dyDescent="0.3">
      <c r="A857" s="5" t="s">
        <v>45</v>
      </c>
      <c r="B857" s="6">
        <v>40256</v>
      </c>
      <c r="C857" s="5">
        <v>12</v>
      </c>
      <c r="D857" s="5">
        <v>3</v>
      </c>
      <c r="E857" s="5">
        <v>2010</v>
      </c>
      <c r="F857" s="5" t="s">
        <v>36</v>
      </c>
      <c r="G857" s="5" t="s">
        <v>11</v>
      </c>
      <c r="H857" s="7">
        <v>167933.77</v>
      </c>
      <c r="I857" s="7">
        <v>181446.08</v>
      </c>
      <c r="J857" s="7">
        <v>13512.309999999998</v>
      </c>
      <c r="K857" s="8">
        <v>8.0462136948393395E-2</v>
      </c>
    </row>
    <row r="858" spans="1:11" x14ac:dyDescent="0.3">
      <c r="A858" s="5" t="s">
        <v>45</v>
      </c>
      <c r="B858" s="6">
        <v>40256</v>
      </c>
      <c r="C858" s="5">
        <v>12</v>
      </c>
      <c r="D858" s="5">
        <v>3</v>
      </c>
      <c r="E858" s="5">
        <v>2010</v>
      </c>
      <c r="F858" s="5" t="s">
        <v>37</v>
      </c>
      <c r="G858" s="5" t="s">
        <v>11</v>
      </c>
      <c r="H858" s="7">
        <v>408066.26</v>
      </c>
      <c r="I858" s="7">
        <v>441556.16</v>
      </c>
      <c r="J858" s="7">
        <v>33489.899999999965</v>
      </c>
      <c r="K858" s="8">
        <v>8.2069759945357812E-2</v>
      </c>
    </row>
    <row r="859" spans="1:11" x14ac:dyDescent="0.3">
      <c r="A859" s="5" t="s">
        <v>45</v>
      </c>
      <c r="B859" s="6">
        <v>40256</v>
      </c>
      <c r="C859" s="5">
        <v>12</v>
      </c>
      <c r="D859" s="5">
        <v>3</v>
      </c>
      <c r="E859" s="5">
        <v>2010</v>
      </c>
      <c r="F859" s="5" t="s">
        <v>38</v>
      </c>
      <c r="G859" s="5" t="s">
        <v>11</v>
      </c>
      <c r="H859" s="7">
        <v>374226.47</v>
      </c>
      <c r="I859" s="7">
        <v>378729.26</v>
      </c>
      <c r="J859" s="7">
        <v>4502.7900000000373</v>
      </c>
      <c r="K859" s="8">
        <v>1.2032259503182759E-2</v>
      </c>
    </row>
    <row r="860" spans="1:11" x14ac:dyDescent="0.3">
      <c r="A860" s="5" t="s">
        <v>45</v>
      </c>
      <c r="B860" s="6">
        <v>40257</v>
      </c>
      <c r="C860" s="5">
        <v>12</v>
      </c>
      <c r="D860" s="5">
        <v>3</v>
      </c>
      <c r="E860" s="5">
        <v>2010</v>
      </c>
      <c r="F860" s="5" t="s">
        <v>14</v>
      </c>
      <c r="G860" s="5" t="s">
        <v>6</v>
      </c>
      <c r="H860" s="7">
        <v>24897</v>
      </c>
      <c r="I860" s="7">
        <v>29484.9</v>
      </c>
      <c r="J860" s="7">
        <v>4587.9000000000015</v>
      </c>
      <c r="K860" s="8">
        <v>0.18427521388119056</v>
      </c>
    </row>
    <row r="861" spans="1:11" x14ac:dyDescent="0.3">
      <c r="A861" s="5" t="s">
        <v>45</v>
      </c>
      <c r="B861" s="6">
        <v>40257</v>
      </c>
      <c r="C861" s="5">
        <v>12</v>
      </c>
      <c r="D861" s="5">
        <v>3</v>
      </c>
      <c r="E861" s="5">
        <v>2010</v>
      </c>
      <c r="F861" s="5" t="s">
        <v>15</v>
      </c>
      <c r="G861" s="5" t="s">
        <v>6</v>
      </c>
      <c r="H861" s="7">
        <v>389832.46</v>
      </c>
      <c r="I861" s="7">
        <v>503169.37</v>
      </c>
      <c r="J861" s="7">
        <v>113336.90999999997</v>
      </c>
      <c r="K861" s="8">
        <v>0.29073235717723445</v>
      </c>
    </row>
    <row r="862" spans="1:11" x14ac:dyDescent="0.3">
      <c r="A862" s="5" t="s">
        <v>45</v>
      </c>
      <c r="B862" s="6">
        <v>40257</v>
      </c>
      <c r="C862" s="5">
        <v>12</v>
      </c>
      <c r="D862" s="5">
        <v>3</v>
      </c>
      <c r="E862" s="5">
        <v>2010</v>
      </c>
      <c r="F862" s="5" t="s">
        <v>16</v>
      </c>
      <c r="G862" s="5" t="s">
        <v>6</v>
      </c>
      <c r="H862" s="7">
        <v>154184.72</v>
      </c>
      <c r="I862" s="7">
        <v>173416.3</v>
      </c>
      <c r="J862" s="7">
        <v>19231.579999999987</v>
      </c>
      <c r="K862" s="8">
        <v>0.12473077747263145</v>
      </c>
    </row>
    <row r="863" spans="1:11" x14ac:dyDescent="0.3">
      <c r="A863" s="5" t="s">
        <v>45</v>
      </c>
      <c r="B863" s="6">
        <v>40257</v>
      </c>
      <c r="C863" s="5">
        <v>12</v>
      </c>
      <c r="D863" s="5">
        <v>3</v>
      </c>
      <c r="E863" s="5">
        <v>2010</v>
      </c>
      <c r="F863" s="5" t="s">
        <v>17</v>
      </c>
      <c r="G863" s="5" t="s">
        <v>6</v>
      </c>
      <c r="H863" s="7">
        <v>574</v>
      </c>
      <c r="I863" s="7">
        <v>659.95</v>
      </c>
      <c r="J863" s="7">
        <v>85.950000000000045</v>
      </c>
      <c r="K863" s="8">
        <v>0.14973867595818824</v>
      </c>
    </row>
    <row r="864" spans="1:11" x14ac:dyDescent="0.3">
      <c r="A864" s="5" t="s">
        <v>45</v>
      </c>
      <c r="B864" s="6">
        <v>40257</v>
      </c>
      <c r="C864" s="5">
        <v>12</v>
      </c>
      <c r="D864" s="5">
        <v>3</v>
      </c>
      <c r="E864" s="5">
        <v>2010</v>
      </c>
      <c r="F864" s="5" t="s">
        <v>18</v>
      </c>
      <c r="G864" s="5" t="s">
        <v>6</v>
      </c>
      <c r="H864" s="7">
        <v>882</v>
      </c>
      <c r="I864" s="7">
        <v>975.38</v>
      </c>
      <c r="J864" s="7">
        <v>93.38</v>
      </c>
      <c r="K864" s="8">
        <v>0.10587301587301587</v>
      </c>
    </row>
    <row r="865" spans="1:11" x14ac:dyDescent="0.3">
      <c r="A865" s="5" t="s">
        <v>45</v>
      </c>
      <c r="B865" s="6">
        <v>40257</v>
      </c>
      <c r="C865" s="5">
        <v>12</v>
      </c>
      <c r="D865" s="5">
        <v>3</v>
      </c>
      <c r="E865" s="5">
        <v>2010</v>
      </c>
      <c r="F865" s="5" t="s">
        <v>19</v>
      </c>
      <c r="G865" s="5" t="s">
        <v>5</v>
      </c>
      <c r="H865" s="7">
        <v>214316.87</v>
      </c>
      <c r="I865" s="7">
        <v>235713.18</v>
      </c>
      <c r="J865" s="7">
        <v>21396.309999999998</v>
      </c>
      <c r="K865" s="8">
        <v>9.9834931333217011E-2</v>
      </c>
    </row>
    <row r="866" spans="1:11" x14ac:dyDescent="0.3">
      <c r="A866" s="5" t="s">
        <v>45</v>
      </c>
      <c r="B866" s="6">
        <v>40257</v>
      </c>
      <c r="C866" s="5">
        <v>12</v>
      </c>
      <c r="D866" s="5">
        <v>3</v>
      </c>
      <c r="E866" s="5">
        <v>2010</v>
      </c>
      <c r="F866" s="5" t="s">
        <v>5</v>
      </c>
      <c r="G866" s="5" t="s">
        <v>5</v>
      </c>
      <c r="H866" s="7">
        <v>739419.85</v>
      </c>
      <c r="I866" s="7">
        <v>782861.52</v>
      </c>
      <c r="J866" s="7">
        <v>43441.670000000042</v>
      </c>
      <c r="K866" s="8">
        <v>5.8751019464787217E-2</v>
      </c>
    </row>
    <row r="867" spans="1:11" x14ac:dyDescent="0.3">
      <c r="A867" s="5" t="s">
        <v>45</v>
      </c>
      <c r="B867" s="6">
        <v>40257</v>
      </c>
      <c r="C867" s="5">
        <v>12</v>
      </c>
      <c r="D867" s="5">
        <v>3</v>
      </c>
      <c r="E867" s="5">
        <v>2010</v>
      </c>
      <c r="F867" s="5" t="s">
        <v>20</v>
      </c>
      <c r="G867" s="5" t="s">
        <v>5</v>
      </c>
      <c r="H867" s="7">
        <v>229940.46</v>
      </c>
      <c r="I867" s="7">
        <v>253621.02</v>
      </c>
      <c r="J867" s="7">
        <v>23680.559999999998</v>
      </c>
      <c r="K867" s="8">
        <v>0.10298561636347078</v>
      </c>
    </row>
    <row r="868" spans="1:11" x14ac:dyDescent="0.3">
      <c r="A868" s="5" t="s">
        <v>45</v>
      </c>
      <c r="B868" s="6">
        <v>40257</v>
      </c>
      <c r="C868" s="5">
        <v>12</v>
      </c>
      <c r="D868" s="5">
        <v>3</v>
      </c>
      <c r="E868" s="5">
        <v>2010</v>
      </c>
      <c r="F868" s="5" t="s">
        <v>21</v>
      </c>
      <c r="G868" s="5" t="s">
        <v>5</v>
      </c>
      <c r="H868" s="7">
        <v>327979.65000000002</v>
      </c>
      <c r="I868" s="7">
        <v>350788.54</v>
      </c>
      <c r="J868" s="7">
        <v>22808.889999999956</v>
      </c>
      <c r="K868" s="8">
        <v>6.9543613452846709E-2</v>
      </c>
    </row>
    <row r="869" spans="1:11" x14ac:dyDescent="0.3">
      <c r="A869" s="5" t="s">
        <v>45</v>
      </c>
      <c r="B869" s="6">
        <v>40257</v>
      </c>
      <c r="C869" s="5">
        <v>12</v>
      </c>
      <c r="D869" s="5">
        <v>3</v>
      </c>
      <c r="E869" s="5">
        <v>2010</v>
      </c>
      <c r="F869" s="5" t="s">
        <v>22</v>
      </c>
      <c r="G869" s="5" t="s">
        <v>8</v>
      </c>
      <c r="H869" s="7">
        <v>692174.98</v>
      </c>
      <c r="I869" s="7">
        <v>751237.13</v>
      </c>
      <c r="J869" s="7">
        <v>59062.150000000023</v>
      </c>
      <c r="K869" s="8">
        <v>8.5328351510191872E-2</v>
      </c>
    </row>
    <row r="870" spans="1:11" x14ac:dyDescent="0.3">
      <c r="A870" s="5" t="s">
        <v>45</v>
      </c>
      <c r="B870" s="6">
        <v>40257</v>
      </c>
      <c r="C870" s="5">
        <v>12</v>
      </c>
      <c r="D870" s="5">
        <v>3</v>
      </c>
      <c r="E870" s="5">
        <v>2010</v>
      </c>
      <c r="F870" s="5" t="s">
        <v>23</v>
      </c>
      <c r="G870" s="5" t="s">
        <v>8</v>
      </c>
      <c r="H870" s="7">
        <v>322383.5</v>
      </c>
      <c r="I870" s="7">
        <v>334772.81</v>
      </c>
      <c r="J870" s="7">
        <v>12389.309999999998</v>
      </c>
      <c r="K870" s="8">
        <v>3.8430347707001128E-2</v>
      </c>
    </row>
    <row r="871" spans="1:11" x14ac:dyDescent="0.3">
      <c r="A871" s="5" t="s">
        <v>45</v>
      </c>
      <c r="B871" s="6">
        <v>40257</v>
      </c>
      <c r="C871" s="5">
        <v>12</v>
      </c>
      <c r="D871" s="5">
        <v>3</v>
      </c>
      <c r="E871" s="5">
        <v>2010</v>
      </c>
      <c r="F871" s="5" t="s">
        <v>24</v>
      </c>
      <c r="G871" s="5" t="s">
        <v>8</v>
      </c>
      <c r="H871" s="7">
        <v>199743</v>
      </c>
      <c r="I871" s="7">
        <v>207142.13</v>
      </c>
      <c r="J871" s="7">
        <v>7399.1300000000047</v>
      </c>
      <c r="K871" s="8">
        <v>3.7043250576991454E-2</v>
      </c>
    </row>
    <row r="872" spans="1:11" x14ac:dyDescent="0.3">
      <c r="A872" s="5" t="s">
        <v>45</v>
      </c>
      <c r="B872" s="6">
        <v>40257</v>
      </c>
      <c r="C872" s="5">
        <v>12</v>
      </c>
      <c r="D872" s="5">
        <v>3</v>
      </c>
      <c r="E872" s="5">
        <v>2010</v>
      </c>
      <c r="F872" s="5" t="s">
        <v>25</v>
      </c>
      <c r="G872" s="5" t="s">
        <v>8</v>
      </c>
      <c r="H872" s="7">
        <v>28518.95</v>
      </c>
      <c r="I872" s="7">
        <v>31946.67</v>
      </c>
      <c r="J872" s="7">
        <v>3427.7199999999975</v>
      </c>
      <c r="K872" s="8">
        <v>0.12019096074715224</v>
      </c>
    </row>
    <row r="873" spans="1:11" x14ac:dyDescent="0.3">
      <c r="A873" s="5" t="s">
        <v>45</v>
      </c>
      <c r="B873" s="6">
        <v>40257</v>
      </c>
      <c r="C873" s="5">
        <v>12</v>
      </c>
      <c r="D873" s="5">
        <v>3</v>
      </c>
      <c r="E873" s="5">
        <v>2010</v>
      </c>
      <c r="F873" s="5" t="s">
        <v>26</v>
      </c>
      <c r="G873" s="5" t="s">
        <v>10</v>
      </c>
      <c r="H873" s="7">
        <v>12974.11</v>
      </c>
      <c r="I873" s="7">
        <v>14537.51</v>
      </c>
      <c r="J873" s="7">
        <v>1563.3999999999996</v>
      </c>
      <c r="K873" s="8">
        <v>0.12050152187703045</v>
      </c>
    </row>
    <row r="874" spans="1:11" x14ac:dyDescent="0.3">
      <c r="A874" s="5" t="s">
        <v>45</v>
      </c>
      <c r="B874" s="6">
        <v>40257</v>
      </c>
      <c r="C874" s="5">
        <v>12</v>
      </c>
      <c r="D874" s="5">
        <v>3</v>
      </c>
      <c r="E874" s="5">
        <v>2010</v>
      </c>
      <c r="F874" s="5" t="s">
        <v>27</v>
      </c>
      <c r="G874" s="5" t="s">
        <v>10</v>
      </c>
      <c r="H874" s="7">
        <v>199740.11</v>
      </c>
      <c r="I874" s="7">
        <v>226792.15</v>
      </c>
      <c r="J874" s="7">
        <v>27052.040000000008</v>
      </c>
      <c r="K874" s="8">
        <v>0.13543619256042269</v>
      </c>
    </row>
    <row r="875" spans="1:11" x14ac:dyDescent="0.3">
      <c r="A875" s="5" t="s">
        <v>45</v>
      </c>
      <c r="B875" s="6">
        <v>40257</v>
      </c>
      <c r="C875" s="5">
        <v>12</v>
      </c>
      <c r="D875" s="5">
        <v>3</v>
      </c>
      <c r="E875" s="5">
        <v>2010</v>
      </c>
      <c r="F875" s="5" t="s">
        <v>28</v>
      </c>
      <c r="G875" s="5" t="s">
        <v>10</v>
      </c>
      <c r="H875" s="7">
        <v>130792.8</v>
      </c>
      <c r="I875" s="7">
        <v>149249.34</v>
      </c>
      <c r="J875" s="7">
        <v>18456.539999999994</v>
      </c>
      <c r="K875" s="8">
        <v>0.14111281354936964</v>
      </c>
    </row>
    <row r="876" spans="1:11" x14ac:dyDescent="0.3">
      <c r="A876" s="5" t="s">
        <v>45</v>
      </c>
      <c r="B876" s="6">
        <v>40257</v>
      </c>
      <c r="C876" s="5">
        <v>12</v>
      </c>
      <c r="D876" s="5">
        <v>3</v>
      </c>
      <c r="E876" s="5">
        <v>2010</v>
      </c>
      <c r="F876" s="5" t="s">
        <v>29</v>
      </c>
      <c r="G876" s="5" t="s">
        <v>10</v>
      </c>
      <c r="H876" s="7">
        <v>1096754.52</v>
      </c>
      <c r="I876" s="7">
        <v>1189171.6100000001</v>
      </c>
      <c r="J876" s="7">
        <v>92417.090000000084</v>
      </c>
      <c r="K876" s="8">
        <v>8.4264152382978172E-2</v>
      </c>
    </row>
    <row r="877" spans="1:11" x14ac:dyDescent="0.3">
      <c r="A877" s="5" t="s">
        <v>45</v>
      </c>
      <c r="B877" s="6">
        <v>40257</v>
      </c>
      <c r="C877" s="5">
        <v>12</v>
      </c>
      <c r="D877" s="5">
        <v>3</v>
      </c>
      <c r="E877" s="5">
        <v>2010</v>
      </c>
      <c r="F877" s="5" t="s">
        <v>30</v>
      </c>
      <c r="G877" s="5" t="s">
        <v>10</v>
      </c>
      <c r="H877" s="7">
        <v>265962.78000000003</v>
      </c>
      <c r="I877" s="7">
        <v>299466.08</v>
      </c>
      <c r="J877" s="7">
        <v>33503.299999999988</v>
      </c>
      <c r="K877" s="8">
        <v>0.12596988195115116</v>
      </c>
    </row>
    <row r="878" spans="1:11" x14ac:dyDescent="0.3">
      <c r="A878" s="5" t="s">
        <v>45</v>
      </c>
      <c r="B878" s="6">
        <v>40257</v>
      </c>
      <c r="C878" s="5">
        <v>12</v>
      </c>
      <c r="D878" s="5">
        <v>3</v>
      </c>
      <c r="E878" s="5">
        <v>2010</v>
      </c>
      <c r="F878" s="5" t="s">
        <v>31</v>
      </c>
      <c r="G878" s="5" t="s">
        <v>7</v>
      </c>
      <c r="H878" s="7">
        <v>52635.55</v>
      </c>
      <c r="I878" s="7">
        <v>65593.13</v>
      </c>
      <c r="J878" s="7">
        <v>12957.580000000002</v>
      </c>
      <c r="K878" s="8">
        <v>0.24617544606259459</v>
      </c>
    </row>
    <row r="879" spans="1:11" x14ac:dyDescent="0.3">
      <c r="A879" s="5" t="s">
        <v>45</v>
      </c>
      <c r="B879" s="6">
        <v>40257</v>
      </c>
      <c r="C879" s="5">
        <v>12</v>
      </c>
      <c r="D879" s="5">
        <v>3</v>
      </c>
      <c r="E879" s="5">
        <v>2010</v>
      </c>
      <c r="F879" s="5" t="s">
        <v>32</v>
      </c>
      <c r="G879" s="5" t="s">
        <v>7</v>
      </c>
      <c r="H879" s="7">
        <v>48809.21</v>
      </c>
      <c r="I879" s="7">
        <v>56122.76</v>
      </c>
      <c r="J879" s="7">
        <v>7313.5500000000029</v>
      </c>
      <c r="K879" s="8">
        <v>0.14983954872451333</v>
      </c>
    </row>
    <row r="880" spans="1:11" x14ac:dyDescent="0.3">
      <c r="A880" s="5" t="s">
        <v>45</v>
      </c>
      <c r="B880" s="6">
        <v>40257</v>
      </c>
      <c r="C880" s="5">
        <v>12</v>
      </c>
      <c r="D880" s="5">
        <v>3</v>
      </c>
      <c r="E880" s="5">
        <v>2010</v>
      </c>
      <c r="F880" s="5" t="s">
        <v>33</v>
      </c>
      <c r="G880" s="5" t="s">
        <v>7</v>
      </c>
      <c r="H880" s="7">
        <v>316717.17</v>
      </c>
      <c r="I880" s="7">
        <v>426089.97</v>
      </c>
      <c r="J880" s="7">
        <v>109372.79999999999</v>
      </c>
      <c r="K880" s="8">
        <v>0.34533271435836582</v>
      </c>
    </row>
    <row r="881" spans="1:11" x14ac:dyDescent="0.3">
      <c r="A881" s="5" t="s">
        <v>45</v>
      </c>
      <c r="B881" s="6">
        <v>40257</v>
      </c>
      <c r="C881" s="5">
        <v>12</v>
      </c>
      <c r="D881" s="5">
        <v>3</v>
      </c>
      <c r="E881" s="5">
        <v>2010</v>
      </c>
      <c r="F881" s="5" t="s">
        <v>34</v>
      </c>
      <c r="G881" s="5" t="s">
        <v>7</v>
      </c>
      <c r="H881" s="7">
        <v>684</v>
      </c>
      <c r="I881" s="7">
        <v>854.96</v>
      </c>
      <c r="J881" s="7">
        <v>170.96000000000004</v>
      </c>
      <c r="K881" s="8">
        <v>0.2499415204678363</v>
      </c>
    </row>
    <row r="882" spans="1:11" x14ac:dyDescent="0.3">
      <c r="A882" s="5" t="s">
        <v>45</v>
      </c>
      <c r="B882" s="6">
        <v>40257</v>
      </c>
      <c r="C882" s="5">
        <v>12</v>
      </c>
      <c r="D882" s="5">
        <v>3</v>
      </c>
      <c r="E882" s="5">
        <v>2010</v>
      </c>
      <c r="F882" s="5" t="s">
        <v>35</v>
      </c>
      <c r="G882" s="5" t="s">
        <v>11</v>
      </c>
      <c r="H882" s="7">
        <v>2317.88</v>
      </c>
      <c r="I882" s="7">
        <v>3012.68</v>
      </c>
      <c r="J882" s="7">
        <v>694.79999999999973</v>
      </c>
      <c r="K882" s="8">
        <v>0.29975667420228819</v>
      </c>
    </row>
    <row r="883" spans="1:11" x14ac:dyDescent="0.3">
      <c r="A883" s="5" t="s">
        <v>45</v>
      </c>
      <c r="B883" s="6">
        <v>40257</v>
      </c>
      <c r="C883" s="5">
        <v>12</v>
      </c>
      <c r="D883" s="5">
        <v>3</v>
      </c>
      <c r="E883" s="5">
        <v>2010</v>
      </c>
      <c r="F883" s="5" t="s">
        <v>36</v>
      </c>
      <c r="G883" s="5" t="s">
        <v>11</v>
      </c>
      <c r="H883" s="7">
        <v>248612.95</v>
      </c>
      <c r="I883" s="7">
        <v>265362.38</v>
      </c>
      <c r="J883" s="7">
        <v>16749.429999999993</v>
      </c>
      <c r="K883" s="8">
        <v>6.7371510615195196E-2</v>
      </c>
    </row>
    <row r="884" spans="1:11" x14ac:dyDescent="0.3">
      <c r="A884" s="5" t="s">
        <v>45</v>
      </c>
      <c r="B884" s="6">
        <v>40257</v>
      </c>
      <c r="C884" s="5">
        <v>12</v>
      </c>
      <c r="D884" s="5">
        <v>3</v>
      </c>
      <c r="E884" s="5">
        <v>2010</v>
      </c>
      <c r="F884" s="5" t="s">
        <v>37</v>
      </c>
      <c r="G884" s="5" t="s">
        <v>11</v>
      </c>
      <c r="H884" s="7">
        <v>927134.42</v>
      </c>
      <c r="I884" s="7">
        <v>736898.92</v>
      </c>
      <c r="J884" s="7">
        <v>-190235.5</v>
      </c>
      <c r="K884" s="8">
        <v>-0.20518653595020234</v>
      </c>
    </row>
    <row r="885" spans="1:11" x14ac:dyDescent="0.3">
      <c r="A885" s="5" t="s">
        <v>45</v>
      </c>
      <c r="B885" s="6">
        <v>40257</v>
      </c>
      <c r="C885" s="5">
        <v>12</v>
      </c>
      <c r="D885" s="5">
        <v>3</v>
      </c>
      <c r="E885" s="5">
        <v>2010</v>
      </c>
      <c r="F885" s="5" t="s">
        <v>38</v>
      </c>
      <c r="G885" s="5" t="s">
        <v>11</v>
      </c>
      <c r="H885" s="7">
        <v>361287.12</v>
      </c>
      <c r="I885" s="7">
        <v>374113.38</v>
      </c>
      <c r="J885" s="7">
        <v>12826.260000000009</v>
      </c>
      <c r="K885" s="8">
        <v>3.5501570053203139E-2</v>
      </c>
    </row>
    <row r="886" spans="1:11" x14ac:dyDescent="0.3">
      <c r="A886" s="5" t="s">
        <v>45</v>
      </c>
      <c r="B886" s="6">
        <v>40258</v>
      </c>
      <c r="C886" s="5">
        <v>13</v>
      </c>
      <c r="D886" s="5">
        <v>3</v>
      </c>
      <c r="E886" s="5">
        <v>2010</v>
      </c>
      <c r="F886" s="5" t="s">
        <v>14</v>
      </c>
      <c r="G886" s="5" t="s">
        <v>6</v>
      </c>
      <c r="H886" s="7">
        <v>10214.32</v>
      </c>
      <c r="I886" s="7">
        <v>12239.92</v>
      </c>
      <c r="J886" s="7">
        <v>2025.6000000000004</v>
      </c>
      <c r="K886" s="8">
        <v>0.19830982385513676</v>
      </c>
    </row>
    <row r="887" spans="1:11" x14ac:dyDescent="0.3">
      <c r="A887" s="5" t="s">
        <v>45</v>
      </c>
      <c r="B887" s="6">
        <v>40258</v>
      </c>
      <c r="C887" s="5">
        <v>13</v>
      </c>
      <c r="D887" s="5">
        <v>3</v>
      </c>
      <c r="E887" s="5">
        <v>2010</v>
      </c>
      <c r="F887" s="5" t="s">
        <v>15</v>
      </c>
      <c r="G887" s="5" t="s">
        <v>6</v>
      </c>
      <c r="H887" s="7">
        <v>304899.40999999997</v>
      </c>
      <c r="I887" s="7">
        <v>410559.75</v>
      </c>
      <c r="J887" s="7">
        <v>105660.34000000003</v>
      </c>
      <c r="K887" s="8">
        <v>0.3465416348296641</v>
      </c>
    </row>
    <row r="888" spans="1:11" x14ac:dyDescent="0.3">
      <c r="A888" s="5" t="s">
        <v>45</v>
      </c>
      <c r="B888" s="6">
        <v>40258</v>
      </c>
      <c r="C888" s="5">
        <v>13</v>
      </c>
      <c r="D888" s="5">
        <v>3</v>
      </c>
      <c r="E888" s="5">
        <v>2010</v>
      </c>
      <c r="F888" s="5" t="s">
        <v>16</v>
      </c>
      <c r="G888" s="5" t="s">
        <v>6</v>
      </c>
      <c r="H888" s="7">
        <v>111885.33</v>
      </c>
      <c r="I888" s="7">
        <v>124729.3</v>
      </c>
      <c r="J888" s="7">
        <v>12843.970000000001</v>
      </c>
      <c r="K888" s="8">
        <v>0.1147958360582214</v>
      </c>
    </row>
    <row r="889" spans="1:11" x14ac:dyDescent="0.3">
      <c r="A889" s="5" t="s">
        <v>45</v>
      </c>
      <c r="B889" s="6">
        <v>40258</v>
      </c>
      <c r="C889" s="5">
        <v>13</v>
      </c>
      <c r="D889" s="5">
        <v>3</v>
      </c>
      <c r="E889" s="5">
        <v>2010</v>
      </c>
      <c r="F889" s="5" t="s">
        <v>17</v>
      </c>
      <c r="G889" s="5" t="s">
        <v>6</v>
      </c>
      <c r="H889" s="7">
        <v>574</v>
      </c>
      <c r="I889" s="7">
        <v>585.33000000000004</v>
      </c>
      <c r="J889" s="7">
        <v>11.330000000000041</v>
      </c>
      <c r="K889" s="8">
        <v>1.9738675958188224E-2</v>
      </c>
    </row>
    <row r="890" spans="1:11" x14ac:dyDescent="0.3">
      <c r="A890" s="5" t="s">
        <v>45</v>
      </c>
      <c r="B890" s="6">
        <v>40258</v>
      </c>
      <c r="C890" s="5">
        <v>13</v>
      </c>
      <c r="D890" s="5">
        <v>3</v>
      </c>
      <c r="E890" s="5">
        <v>2010</v>
      </c>
      <c r="F890" s="5" t="s">
        <v>18</v>
      </c>
      <c r="G890" s="5" t="s">
        <v>6</v>
      </c>
      <c r="H890" s="7">
        <v>1360</v>
      </c>
      <c r="I890" s="7">
        <v>1414.61</v>
      </c>
      <c r="J890" s="7">
        <v>54.6099999999999</v>
      </c>
      <c r="K890" s="8">
        <v>4.0154411764705807E-2</v>
      </c>
    </row>
    <row r="891" spans="1:11" x14ac:dyDescent="0.3">
      <c r="A891" s="5" t="s">
        <v>45</v>
      </c>
      <c r="B891" s="6">
        <v>40258</v>
      </c>
      <c r="C891" s="5">
        <v>13</v>
      </c>
      <c r="D891" s="5">
        <v>3</v>
      </c>
      <c r="E891" s="5">
        <v>2010</v>
      </c>
      <c r="F891" s="5" t="s">
        <v>19</v>
      </c>
      <c r="G891" s="5" t="s">
        <v>5</v>
      </c>
      <c r="H891" s="7">
        <v>215178.19</v>
      </c>
      <c r="I891" s="7">
        <v>234541.13</v>
      </c>
      <c r="J891" s="7">
        <v>19362.940000000002</v>
      </c>
      <c r="K891" s="8">
        <v>8.9985606812660712E-2</v>
      </c>
    </row>
    <row r="892" spans="1:11" x14ac:dyDescent="0.3">
      <c r="A892" s="5" t="s">
        <v>45</v>
      </c>
      <c r="B892" s="6">
        <v>40258</v>
      </c>
      <c r="C892" s="5">
        <v>13</v>
      </c>
      <c r="D892" s="5">
        <v>3</v>
      </c>
      <c r="E892" s="5">
        <v>2010</v>
      </c>
      <c r="F892" s="5" t="s">
        <v>5</v>
      </c>
      <c r="G892" s="5" t="s">
        <v>5</v>
      </c>
      <c r="H892" s="7">
        <v>672596.78</v>
      </c>
      <c r="I892" s="7">
        <v>712702.74</v>
      </c>
      <c r="J892" s="7">
        <v>40105.959999999963</v>
      </c>
      <c r="K892" s="8">
        <v>5.962853405274994E-2</v>
      </c>
    </row>
    <row r="893" spans="1:11" x14ac:dyDescent="0.3">
      <c r="A893" s="5" t="s">
        <v>45</v>
      </c>
      <c r="B893" s="6">
        <v>40258</v>
      </c>
      <c r="C893" s="5">
        <v>13</v>
      </c>
      <c r="D893" s="5">
        <v>3</v>
      </c>
      <c r="E893" s="5">
        <v>2010</v>
      </c>
      <c r="F893" s="5" t="s">
        <v>20</v>
      </c>
      <c r="G893" s="5" t="s">
        <v>5</v>
      </c>
      <c r="H893" s="7">
        <v>169210.64</v>
      </c>
      <c r="I893" s="7">
        <v>187542.07</v>
      </c>
      <c r="J893" s="7">
        <v>18331.429999999993</v>
      </c>
      <c r="K893" s="8">
        <v>0.10833497231616163</v>
      </c>
    </row>
    <row r="894" spans="1:11" x14ac:dyDescent="0.3">
      <c r="A894" s="5" t="s">
        <v>45</v>
      </c>
      <c r="B894" s="6">
        <v>40258</v>
      </c>
      <c r="C894" s="5">
        <v>13</v>
      </c>
      <c r="D894" s="5">
        <v>3</v>
      </c>
      <c r="E894" s="5">
        <v>2010</v>
      </c>
      <c r="F894" s="5" t="s">
        <v>21</v>
      </c>
      <c r="G894" s="5" t="s">
        <v>5</v>
      </c>
      <c r="H894" s="7">
        <v>279622.64</v>
      </c>
      <c r="I894" s="7">
        <v>302818.03999999998</v>
      </c>
      <c r="J894" s="7">
        <v>23195.399999999965</v>
      </c>
      <c r="K894" s="8">
        <v>8.2952510569244187E-2</v>
      </c>
    </row>
    <row r="895" spans="1:11" x14ac:dyDescent="0.3">
      <c r="A895" s="5" t="s">
        <v>45</v>
      </c>
      <c r="B895" s="6">
        <v>40258</v>
      </c>
      <c r="C895" s="5">
        <v>13</v>
      </c>
      <c r="D895" s="5">
        <v>3</v>
      </c>
      <c r="E895" s="5">
        <v>2010</v>
      </c>
      <c r="F895" s="5" t="s">
        <v>22</v>
      </c>
      <c r="G895" s="5" t="s">
        <v>8</v>
      </c>
      <c r="H895" s="7">
        <v>395763.93</v>
      </c>
      <c r="I895" s="7">
        <v>428855.67</v>
      </c>
      <c r="J895" s="7">
        <v>33091.739999999991</v>
      </c>
      <c r="K895" s="8">
        <v>8.3614845850151095E-2</v>
      </c>
    </row>
    <row r="896" spans="1:11" x14ac:dyDescent="0.3">
      <c r="A896" s="5" t="s">
        <v>45</v>
      </c>
      <c r="B896" s="6">
        <v>40258</v>
      </c>
      <c r="C896" s="5">
        <v>13</v>
      </c>
      <c r="D896" s="5">
        <v>3</v>
      </c>
      <c r="E896" s="5">
        <v>2010</v>
      </c>
      <c r="F896" s="5" t="s">
        <v>23</v>
      </c>
      <c r="G896" s="5" t="s">
        <v>8</v>
      </c>
      <c r="H896" s="7">
        <v>236894.9</v>
      </c>
      <c r="I896" s="7">
        <v>245963.47</v>
      </c>
      <c r="J896" s="7">
        <v>9068.570000000007</v>
      </c>
      <c r="K896" s="8">
        <v>3.8280984520983809E-2</v>
      </c>
    </row>
    <row r="897" spans="1:11" x14ac:dyDescent="0.3">
      <c r="A897" s="5" t="s">
        <v>45</v>
      </c>
      <c r="B897" s="6">
        <v>40258</v>
      </c>
      <c r="C897" s="5">
        <v>13</v>
      </c>
      <c r="D897" s="5">
        <v>3</v>
      </c>
      <c r="E897" s="5">
        <v>2010</v>
      </c>
      <c r="F897" s="5" t="s">
        <v>24</v>
      </c>
      <c r="G897" s="5" t="s">
        <v>8</v>
      </c>
      <c r="H897" s="7">
        <v>139069</v>
      </c>
      <c r="I897" s="7">
        <v>145118.26999999999</v>
      </c>
      <c r="J897" s="7">
        <v>6049.2699999999895</v>
      </c>
      <c r="K897" s="8">
        <v>4.3498335358706751E-2</v>
      </c>
    </row>
    <row r="898" spans="1:11" x14ac:dyDescent="0.3">
      <c r="A898" s="5" t="s">
        <v>45</v>
      </c>
      <c r="B898" s="6">
        <v>40258</v>
      </c>
      <c r="C898" s="5">
        <v>13</v>
      </c>
      <c r="D898" s="5">
        <v>3</v>
      </c>
      <c r="E898" s="5">
        <v>2010</v>
      </c>
      <c r="F898" s="5" t="s">
        <v>25</v>
      </c>
      <c r="G898" s="5" t="s">
        <v>8</v>
      </c>
      <c r="H898" s="7">
        <v>18979.5</v>
      </c>
      <c r="I898" s="7">
        <v>21199.4</v>
      </c>
      <c r="J898" s="7">
        <v>2219.9000000000015</v>
      </c>
      <c r="K898" s="8">
        <v>0.11696303906846869</v>
      </c>
    </row>
    <row r="899" spans="1:11" x14ac:dyDescent="0.3">
      <c r="A899" s="5" t="s">
        <v>45</v>
      </c>
      <c r="B899" s="6">
        <v>40258</v>
      </c>
      <c r="C899" s="5">
        <v>13</v>
      </c>
      <c r="D899" s="5">
        <v>3</v>
      </c>
      <c r="E899" s="5">
        <v>2010</v>
      </c>
      <c r="F899" s="5" t="s">
        <v>26</v>
      </c>
      <c r="G899" s="5" t="s">
        <v>10</v>
      </c>
      <c r="H899" s="7">
        <v>12540.29</v>
      </c>
      <c r="I899" s="7">
        <v>14090.67</v>
      </c>
      <c r="J899" s="7">
        <v>1550.3799999999992</v>
      </c>
      <c r="K899" s="8">
        <v>0.12363190962888411</v>
      </c>
    </row>
    <row r="900" spans="1:11" x14ac:dyDescent="0.3">
      <c r="A900" s="5" t="s">
        <v>45</v>
      </c>
      <c r="B900" s="6">
        <v>40258</v>
      </c>
      <c r="C900" s="5">
        <v>13</v>
      </c>
      <c r="D900" s="5">
        <v>3</v>
      </c>
      <c r="E900" s="5">
        <v>2010</v>
      </c>
      <c r="F900" s="5" t="s">
        <v>27</v>
      </c>
      <c r="G900" s="5" t="s">
        <v>10</v>
      </c>
      <c r="H900" s="7">
        <v>144444.67000000001</v>
      </c>
      <c r="I900" s="7">
        <v>163381.34</v>
      </c>
      <c r="J900" s="7">
        <v>18936.669999999984</v>
      </c>
      <c r="K900" s="8">
        <v>0.13109981835951429</v>
      </c>
    </row>
    <row r="901" spans="1:11" x14ac:dyDescent="0.3">
      <c r="A901" s="5" t="s">
        <v>45</v>
      </c>
      <c r="B901" s="6">
        <v>40258</v>
      </c>
      <c r="C901" s="5">
        <v>13</v>
      </c>
      <c r="D901" s="5">
        <v>3</v>
      </c>
      <c r="E901" s="5">
        <v>2010</v>
      </c>
      <c r="F901" s="5" t="s">
        <v>28</v>
      </c>
      <c r="G901" s="5" t="s">
        <v>10</v>
      </c>
      <c r="H901" s="7">
        <v>101094.96</v>
      </c>
      <c r="I901" s="7">
        <v>117264.07</v>
      </c>
      <c r="J901" s="7">
        <v>16169.11</v>
      </c>
      <c r="K901" s="8">
        <v>0.1599398229150098</v>
      </c>
    </row>
    <row r="902" spans="1:11" x14ac:dyDescent="0.3">
      <c r="A902" s="5" t="s">
        <v>45</v>
      </c>
      <c r="B902" s="6">
        <v>40258</v>
      </c>
      <c r="C902" s="5">
        <v>13</v>
      </c>
      <c r="D902" s="5">
        <v>3</v>
      </c>
      <c r="E902" s="5">
        <v>2010</v>
      </c>
      <c r="F902" s="5" t="s">
        <v>29</v>
      </c>
      <c r="G902" s="5" t="s">
        <v>10</v>
      </c>
      <c r="H902" s="7">
        <v>782201.48</v>
      </c>
      <c r="I902" s="7">
        <v>846275.24</v>
      </c>
      <c r="J902" s="7">
        <v>64073.760000000009</v>
      </c>
      <c r="K902" s="8">
        <v>8.1914649407209009E-2</v>
      </c>
    </row>
    <row r="903" spans="1:11" x14ac:dyDescent="0.3">
      <c r="A903" s="5" t="s">
        <v>45</v>
      </c>
      <c r="B903" s="6">
        <v>40258</v>
      </c>
      <c r="C903" s="5">
        <v>13</v>
      </c>
      <c r="D903" s="5">
        <v>3</v>
      </c>
      <c r="E903" s="5">
        <v>2010</v>
      </c>
      <c r="F903" s="5" t="s">
        <v>30</v>
      </c>
      <c r="G903" s="5" t="s">
        <v>10</v>
      </c>
      <c r="H903" s="7">
        <v>178153.96</v>
      </c>
      <c r="I903" s="7">
        <v>202203.31</v>
      </c>
      <c r="J903" s="7">
        <v>24049.350000000006</v>
      </c>
      <c r="K903" s="8">
        <v>0.13499194741447232</v>
      </c>
    </row>
    <row r="904" spans="1:11" x14ac:dyDescent="0.3">
      <c r="A904" s="5" t="s">
        <v>45</v>
      </c>
      <c r="B904" s="6">
        <v>40258</v>
      </c>
      <c r="C904" s="5">
        <v>13</v>
      </c>
      <c r="D904" s="5">
        <v>3</v>
      </c>
      <c r="E904" s="5">
        <v>2010</v>
      </c>
      <c r="F904" s="5" t="s">
        <v>31</v>
      </c>
      <c r="G904" s="5" t="s">
        <v>7</v>
      </c>
      <c r="H904" s="7">
        <v>66224.160000000003</v>
      </c>
      <c r="I904" s="7">
        <v>83001.47</v>
      </c>
      <c r="J904" s="7">
        <v>16777.309999999998</v>
      </c>
      <c r="K904" s="8">
        <v>0.25334122773320183</v>
      </c>
    </row>
    <row r="905" spans="1:11" x14ac:dyDescent="0.3">
      <c r="A905" s="5" t="s">
        <v>45</v>
      </c>
      <c r="B905" s="6">
        <v>40258</v>
      </c>
      <c r="C905" s="5">
        <v>13</v>
      </c>
      <c r="D905" s="5">
        <v>3</v>
      </c>
      <c r="E905" s="5">
        <v>2010</v>
      </c>
      <c r="F905" s="5" t="s">
        <v>32</v>
      </c>
      <c r="G905" s="5" t="s">
        <v>7</v>
      </c>
      <c r="H905" s="7">
        <v>34254.839999999997</v>
      </c>
      <c r="I905" s="7">
        <v>39387.699999999997</v>
      </c>
      <c r="J905" s="7">
        <v>5132.8600000000006</v>
      </c>
      <c r="K905" s="8">
        <v>0.14984335060388551</v>
      </c>
    </row>
    <row r="906" spans="1:11" x14ac:dyDescent="0.3">
      <c r="A906" s="5" t="s">
        <v>45</v>
      </c>
      <c r="B906" s="6">
        <v>40258</v>
      </c>
      <c r="C906" s="5">
        <v>13</v>
      </c>
      <c r="D906" s="5">
        <v>3</v>
      </c>
      <c r="E906" s="5">
        <v>2010</v>
      </c>
      <c r="F906" s="5" t="s">
        <v>33</v>
      </c>
      <c r="G906" s="5" t="s">
        <v>7</v>
      </c>
      <c r="H906" s="7">
        <v>246525.62</v>
      </c>
      <c r="I906" s="7">
        <v>341345.52</v>
      </c>
      <c r="J906" s="7">
        <v>94819.900000000023</v>
      </c>
      <c r="K906" s="8">
        <v>0.38462493269462228</v>
      </c>
    </row>
    <row r="907" spans="1:11" x14ac:dyDescent="0.3">
      <c r="A907" s="5" t="s">
        <v>45</v>
      </c>
      <c r="B907" s="6">
        <v>40258</v>
      </c>
      <c r="C907" s="5">
        <v>13</v>
      </c>
      <c r="D907" s="5">
        <v>3</v>
      </c>
      <c r="E907" s="5">
        <v>2010</v>
      </c>
      <c r="F907" s="5" t="s">
        <v>34</v>
      </c>
      <c r="G907" s="5" t="s">
        <v>7</v>
      </c>
      <c r="H907" s="7">
        <v>456</v>
      </c>
      <c r="I907" s="7">
        <v>569.99</v>
      </c>
      <c r="J907" s="7">
        <v>113.99000000000001</v>
      </c>
      <c r="K907" s="8">
        <v>0.2499780701754386</v>
      </c>
    </row>
    <row r="908" spans="1:11" x14ac:dyDescent="0.3">
      <c r="A908" s="5" t="s">
        <v>45</v>
      </c>
      <c r="B908" s="6">
        <v>40258</v>
      </c>
      <c r="C908" s="5">
        <v>13</v>
      </c>
      <c r="D908" s="5">
        <v>3</v>
      </c>
      <c r="E908" s="5">
        <v>2010</v>
      </c>
      <c r="F908" s="5" t="s">
        <v>35</v>
      </c>
      <c r="G908" s="5" t="s">
        <v>11</v>
      </c>
      <c r="H908" s="7">
        <v>2130.44</v>
      </c>
      <c r="I908" s="7">
        <v>2768.25</v>
      </c>
      <c r="J908" s="7">
        <v>637.80999999999995</v>
      </c>
      <c r="K908" s="8">
        <v>0.29937947090741818</v>
      </c>
    </row>
    <row r="909" spans="1:11" x14ac:dyDescent="0.3">
      <c r="A909" s="5" t="s">
        <v>45</v>
      </c>
      <c r="B909" s="6">
        <v>40258</v>
      </c>
      <c r="C909" s="5">
        <v>13</v>
      </c>
      <c r="D909" s="5">
        <v>3</v>
      </c>
      <c r="E909" s="5">
        <v>2010</v>
      </c>
      <c r="F909" s="5" t="s">
        <v>36</v>
      </c>
      <c r="G909" s="5" t="s">
        <v>11</v>
      </c>
      <c r="H909" s="7">
        <v>201296.48</v>
      </c>
      <c r="I909" s="7">
        <v>214039.66</v>
      </c>
      <c r="J909" s="7">
        <v>12743.179999999993</v>
      </c>
      <c r="K909" s="8">
        <v>6.3305528243712911E-2</v>
      </c>
    </row>
    <row r="910" spans="1:11" x14ac:dyDescent="0.3">
      <c r="A910" s="5" t="s">
        <v>45</v>
      </c>
      <c r="B910" s="6">
        <v>40258</v>
      </c>
      <c r="C910" s="5">
        <v>13</v>
      </c>
      <c r="D910" s="5">
        <v>3</v>
      </c>
      <c r="E910" s="5">
        <v>2010</v>
      </c>
      <c r="F910" s="5" t="s">
        <v>37</v>
      </c>
      <c r="G910" s="5" t="s">
        <v>11</v>
      </c>
      <c r="H910" s="7">
        <v>460622.38</v>
      </c>
      <c r="I910" s="7">
        <v>455391.23</v>
      </c>
      <c r="J910" s="7">
        <v>-5231.1500000000233</v>
      </c>
      <c r="K910" s="8">
        <v>-1.1356699602828728E-2</v>
      </c>
    </row>
    <row r="911" spans="1:11" x14ac:dyDescent="0.3">
      <c r="A911" s="5" t="s">
        <v>45</v>
      </c>
      <c r="B911" s="6">
        <v>40258</v>
      </c>
      <c r="C911" s="5">
        <v>13</v>
      </c>
      <c r="D911" s="5">
        <v>3</v>
      </c>
      <c r="E911" s="5">
        <v>2010</v>
      </c>
      <c r="F911" s="5" t="s">
        <v>38</v>
      </c>
      <c r="G911" s="5" t="s">
        <v>11</v>
      </c>
      <c r="H911" s="7">
        <v>307305.5</v>
      </c>
      <c r="I911" s="7">
        <v>312517.71000000002</v>
      </c>
      <c r="J911" s="7">
        <v>5212.210000000021</v>
      </c>
      <c r="K911" s="8">
        <v>1.6961004602911504E-2</v>
      </c>
    </row>
    <row r="912" spans="1:11" x14ac:dyDescent="0.3">
      <c r="A912" s="5" t="s">
        <v>45</v>
      </c>
      <c r="B912" s="6">
        <v>40259</v>
      </c>
      <c r="C912" s="5">
        <v>13</v>
      </c>
      <c r="D912" s="5">
        <v>3</v>
      </c>
      <c r="E912" s="5">
        <v>2010</v>
      </c>
      <c r="F912" s="5" t="s">
        <v>14</v>
      </c>
      <c r="G912" s="5" t="s">
        <v>6</v>
      </c>
      <c r="H912" s="7">
        <v>15447.64</v>
      </c>
      <c r="I912" s="7">
        <v>18117.32</v>
      </c>
      <c r="J912" s="7">
        <v>2669.6800000000003</v>
      </c>
      <c r="K912" s="8">
        <v>0.1728212205877403</v>
      </c>
    </row>
    <row r="913" spans="1:11" x14ac:dyDescent="0.3">
      <c r="A913" s="5" t="s">
        <v>45</v>
      </c>
      <c r="B913" s="6">
        <v>40259</v>
      </c>
      <c r="C913" s="5">
        <v>13</v>
      </c>
      <c r="D913" s="5">
        <v>3</v>
      </c>
      <c r="E913" s="5">
        <v>2010</v>
      </c>
      <c r="F913" s="5" t="s">
        <v>15</v>
      </c>
      <c r="G913" s="5" t="s">
        <v>6</v>
      </c>
      <c r="H913" s="7">
        <v>337064.5</v>
      </c>
      <c r="I913" s="7">
        <v>461361.62</v>
      </c>
      <c r="J913" s="7">
        <v>124297.12</v>
      </c>
      <c r="K913" s="8">
        <v>0.36876360459199942</v>
      </c>
    </row>
    <row r="914" spans="1:11" x14ac:dyDescent="0.3">
      <c r="A914" s="5" t="s">
        <v>45</v>
      </c>
      <c r="B914" s="6">
        <v>40259</v>
      </c>
      <c r="C914" s="5">
        <v>13</v>
      </c>
      <c r="D914" s="5">
        <v>3</v>
      </c>
      <c r="E914" s="5">
        <v>2010</v>
      </c>
      <c r="F914" s="5" t="s">
        <v>16</v>
      </c>
      <c r="G914" s="5" t="s">
        <v>6</v>
      </c>
      <c r="H914" s="7">
        <v>95447.92</v>
      </c>
      <c r="I914" s="7">
        <v>106588.32</v>
      </c>
      <c r="J914" s="7">
        <v>11140.400000000009</v>
      </c>
      <c r="K914" s="8">
        <v>0.11671705365606719</v>
      </c>
    </row>
    <row r="915" spans="1:11" x14ac:dyDescent="0.3">
      <c r="A915" s="5" t="s">
        <v>45</v>
      </c>
      <c r="B915" s="6">
        <v>40259</v>
      </c>
      <c r="C915" s="5">
        <v>13</v>
      </c>
      <c r="D915" s="5">
        <v>3</v>
      </c>
      <c r="E915" s="5">
        <v>2010</v>
      </c>
      <c r="F915" s="5" t="s">
        <v>17</v>
      </c>
      <c r="G915" s="5" t="s">
        <v>6</v>
      </c>
      <c r="H915" s="7">
        <v>1722</v>
      </c>
      <c r="I915" s="7">
        <v>1979.82</v>
      </c>
      <c r="J915" s="7">
        <v>257.81999999999994</v>
      </c>
      <c r="K915" s="8">
        <v>0.14972125435540065</v>
      </c>
    </row>
    <row r="916" spans="1:11" x14ac:dyDescent="0.3">
      <c r="A916" s="5" t="s">
        <v>45</v>
      </c>
      <c r="B916" s="6">
        <v>40259</v>
      </c>
      <c r="C916" s="5">
        <v>13</v>
      </c>
      <c r="D916" s="5">
        <v>3</v>
      </c>
      <c r="E916" s="5">
        <v>2010</v>
      </c>
      <c r="F916" s="5" t="s">
        <v>18</v>
      </c>
      <c r="G916" s="5" t="s">
        <v>6</v>
      </c>
      <c r="H916" s="7">
        <v>294</v>
      </c>
      <c r="I916" s="7">
        <v>299.83</v>
      </c>
      <c r="J916" s="7">
        <v>5.8299999999999841</v>
      </c>
      <c r="K916" s="8">
        <v>1.9829931972789063E-2</v>
      </c>
    </row>
    <row r="917" spans="1:11" x14ac:dyDescent="0.3">
      <c r="A917" s="5" t="s">
        <v>45</v>
      </c>
      <c r="B917" s="6">
        <v>40259</v>
      </c>
      <c r="C917" s="5">
        <v>13</v>
      </c>
      <c r="D917" s="5">
        <v>3</v>
      </c>
      <c r="E917" s="5">
        <v>2010</v>
      </c>
      <c r="F917" s="5" t="s">
        <v>19</v>
      </c>
      <c r="G917" s="5" t="s">
        <v>5</v>
      </c>
      <c r="H917" s="7">
        <v>155586.91</v>
      </c>
      <c r="I917" s="7">
        <v>171843.41</v>
      </c>
      <c r="J917" s="7">
        <v>16256.5</v>
      </c>
      <c r="K917" s="8">
        <v>0.104485010981965</v>
      </c>
    </row>
    <row r="918" spans="1:11" x14ac:dyDescent="0.3">
      <c r="A918" s="5" t="s">
        <v>45</v>
      </c>
      <c r="B918" s="6">
        <v>40259</v>
      </c>
      <c r="C918" s="5">
        <v>13</v>
      </c>
      <c r="D918" s="5">
        <v>3</v>
      </c>
      <c r="E918" s="5">
        <v>2010</v>
      </c>
      <c r="F918" s="5" t="s">
        <v>5</v>
      </c>
      <c r="G918" s="5" t="s">
        <v>5</v>
      </c>
      <c r="H918" s="7">
        <v>473476.18</v>
      </c>
      <c r="I918" s="7">
        <v>501156.97</v>
      </c>
      <c r="J918" s="7">
        <v>27680.789999999979</v>
      </c>
      <c r="K918" s="8">
        <v>5.8462898809397298E-2</v>
      </c>
    </row>
    <row r="919" spans="1:11" x14ac:dyDescent="0.3">
      <c r="A919" s="5" t="s">
        <v>45</v>
      </c>
      <c r="B919" s="6">
        <v>40259</v>
      </c>
      <c r="C919" s="5">
        <v>13</v>
      </c>
      <c r="D919" s="5">
        <v>3</v>
      </c>
      <c r="E919" s="5">
        <v>2010</v>
      </c>
      <c r="F919" s="5" t="s">
        <v>20</v>
      </c>
      <c r="G919" s="5" t="s">
        <v>5</v>
      </c>
      <c r="H919" s="7">
        <v>131265.31</v>
      </c>
      <c r="I919" s="7">
        <v>144988.97</v>
      </c>
      <c r="J919" s="7">
        <v>13723.660000000003</v>
      </c>
      <c r="K919" s="8">
        <v>0.10454902365293621</v>
      </c>
    </row>
    <row r="920" spans="1:11" x14ac:dyDescent="0.3">
      <c r="A920" s="5" t="s">
        <v>45</v>
      </c>
      <c r="B920" s="6">
        <v>40259</v>
      </c>
      <c r="C920" s="5">
        <v>13</v>
      </c>
      <c r="D920" s="5">
        <v>3</v>
      </c>
      <c r="E920" s="5">
        <v>2010</v>
      </c>
      <c r="F920" s="5" t="s">
        <v>21</v>
      </c>
      <c r="G920" s="5" t="s">
        <v>5</v>
      </c>
      <c r="H920" s="7">
        <v>197925.54</v>
      </c>
      <c r="I920" s="7">
        <v>211783.84</v>
      </c>
      <c r="J920" s="7">
        <v>13858.299999999988</v>
      </c>
      <c r="K920" s="8">
        <v>7.0017745057055228E-2</v>
      </c>
    </row>
    <row r="921" spans="1:11" x14ac:dyDescent="0.3">
      <c r="A921" s="5" t="s">
        <v>45</v>
      </c>
      <c r="B921" s="6">
        <v>40259</v>
      </c>
      <c r="C921" s="5">
        <v>13</v>
      </c>
      <c r="D921" s="5">
        <v>3</v>
      </c>
      <c r="E921" s="5">
        <v>2010</v>
      </c>
      <c r="F921" s="5" t="s">
        <v>22</v>
      </c>
      <c r="G921" s="5" t="s">
        <v>8</v>
      </c>
      <c r="H921" s="7">
        <v>341712.67</v>
      </c>
      <c r="I921" s="7">
        <v>373084.23</v>
      </c>
      <c r="J921" s="7">
        <v>31371.559999999998</v>
      </c>
      <c r="K921" s="8">
        <v>9.1806838768957552E-2</v>
      </c>
    </row>
    <row r="922" spans="1:11" x14ac:dyDescent="0.3">
      <c r="A922" s="5" t="s">
        <v>45</v>
      </c>
      <c r="B922" s="6">
        <v>40259</v>
      </c>
      <c r="C922" s="5">
        <v>13</v>
      </c>
      <c r="D922" s="5">
        <v>3</v>
      </c>
      <c r="E922" s="5">
        <v>2010</v>
      </c>
      <c r="F922" s="5" t="s">
        <v>23</v>
      </c>
      <c r="G922" s="5" t="s">
        <v>8</v>
      </c>
      <c r="H922" s="7">
        <v>185177.60000000001</v>
      </c>
      <c r="I922" s="7">
        <v>194584.83</v>
      </c>
      <c r="J922" s="7">
        <v>9407.2299999999814</v>
      </c>
      <c r="K922" s="8">
        <v>5.0801122813990358E-2</v>
      </c>
    </row>
    <row r="923" spans="1:11" x14ac:dyDescent="0.3">
      <c r="A923" s="5" t="s">
        <v>45</v>
      </c>
      <c r="B923" s="6">
        <v>40259</v>
      </c>
      <c r="C923" s="5">
        <v>13</v>
      </c>
      <c r="D923" s="5">
        <v>3</v>
      </c>
      <c r="E923" s="5">
        <v>2010</v>
      </c>
      <c r="F923" s="5" t="s">
        <v>24</v>
      </c>
      <c r="G923" s="5" t="s">
        <v>8</v>
      </c>
      <c r="H923" s="7">
        <v>60940</v>
      </c>
      <c r="I923" s="7">
        <v>64744.23</v>
      </c>
      <c r="J923" s="7">
        <v>3804.2300000000032</v>
      </c>
      <c r="K923" s="8">
        <v>6.2425828683951481E-2</v>
      </c>
    </row>
    <row r="924" spans="1:11" x14ac:dyDescent="0.3">
      <c r="A924" s="5" t="s">
        <v>45</v>
      </c>
      <c r="B924" s="6">
        <v>40259</v>
      </c>
      <c r="C924" s="5">
        <v>13</v>
      </c>
      <c r="D924" s="5">
        <v>3</v>
      </c>
      <c r="E924" s="5">
        <v>2010</v>
      </c>
      <c r="F924" s="5" t="s">
        <v>25</v>
      </c>
      <c r="G924" s="5" t="s">
        <v>8</v>
      </c>
      <c r="H924" s="7">
        <v>22575.1</v>
      </c>
      <c r="I924" s="7">
        <v>25298.01</v>
      </c>
      <c r="J924" s="7">
        <v>2722.91</v>
      </c>
      <c r="K924" s="8">
        <v>0.12061563403927336</v>
      </c>
    </row>
    <row r="925" spans="1:11" x14ac:dyDescent="0.3">
      <c r="A925" s="5" t="s">
        <v>45</v>
      </c>
      <c r="B925" s="6">
        <v>40259</v>
      </c>
      <c r="C925" s="5">
        <v>13</v>
      </c>
      <c r="D925" s="5">
        <v>3</v>
      </c>
      <c r="E925" s="5">
        <v>2010</v>
      </c>
      <c r="F925" s="5" t="s">
        <v>26</v>
      </c>
      <c r="G925" s="5" t="s">
        <v>10</v>
      </c>
      <c r="H925" s="7">
        <v>13706.26</v>
      </c>
      <c r="I925" s="7">
        <v>15517.17</v>
      </c>
      <c r="J925" s="7">
        <v>1810.9099999999999</v>
      </c>
      <c r="K925" s="8">
        <v>0.13212284022045401</v>
      </c>
    </row>
    <row r="926" spans="1:11" x14ac:dyDescent="0.3">
      <c r="A926" s="5" t="s">
        <v>45</v>
      </c>
      <c r="B926" s="6">
        <v>40259</v>
      </c>
      <c r="C926" s="5">
        <v>13</v>
      </c>
      <c r="D926" s="5">
        <v>3</v>
      </c>
      <c r="E926" s="5">
        <v>2010</v>
      </c>
      <c r="F926" s="5" t="s">
        <v>27</v>
      </c>
      <c r="G926" s="5" t="s">
        <v>10</v>
      </c>
      <c r="H926" s="7">
        <v>101120.92</v>
      </c>
      <c r="I926" s="7">
        <v>115788.72</v>
      </c>
      <c r="J926" s="7">
        <v>14667.800000000003</v>
      </c>
      <c r="K926" s="8">
        <v>0.14505208220020152</v>
      </c>
    </row>
    <row r="927" spans="1:11" x14ac:dyDescent="0.3">
      <c r="A927" s="5" t="s">
        <v>45</v>
      </c>
      <c r="B927" s="6">
        <v>40259</v>
      </c>
      <c r="C927" s="5">
        <v>13</v>
      </c>
      <c r="D927" s="5">
        <v>3</v>
      </c>
      <c r="E927" s="5">
        <v>2010</v>
      </c>
      <c r="F927" s="5" t="s">
        <v>28</v>
      </c>
      <c r="G927" s="5" t="s">
        <v>10</v>
      </c>
      <c r="H927" s="7">
        <v>71179.149999999994</v>
      </c>
      <c r="I927" s="7">
        <v>80736.13</v>
      </c>
      <c r="J927" s="7">
        <v>9556.9800000000105</v>
      </c>
      <c r="K927" s="8">
        <v>0.13426656541978951</v>
      </c>
    </row>
    <row r="928" spans="1:11" x14ac:dyDescent="0.3">
      <c r="A928" s="5" t="s">
        <v>45</v>
      </c>
      <c r="B928" s="6">
        <v>40259</v>
      </c>
      <c r="C928" s="5">
        <v>13</v>
      </c>
      <c r="D928" s="5">
        <v>3</v>
      </c>
      <c r="E928" s="5">
        <v>2010</v>
      </c>
      <c r="F928" s="5" t="s">
        <v>29</v>
      </c>
      <c r="G928" s="5" t="s">
        <v>10</v>
      </c>
      <c r="H928" s="7">
        <v>398198</v>
      </c>
      <c r="I928" s="7">
        <v>429950.77</v>
      </c>
      <c r="J928" s="7">
        <v>31752.770000000019</v>
      </c>
      <c r="K928" s="8">
        <v>7.9741158920938873E-2</v>
      </c>
    </row>
    <row r="929" spans="1:11" x14ac:dyDescent="0.3">
      <c r="A929" s="5" t="s">
        <v>45</v>
      </c>
      <c r="B929" s="6">
        <v>40259</v>
      </c>
      <c r="C929" s="5">
        <v>13</v>
      </c>
      <c r="D929" s="5">
        <v>3</v>
      </c>
      <c r="E929" s="5">
        <v>2010</v>
      </c>
      <c r="F929" s="5" t="s">
        <v>30</v>
      </c>
      <c r="G929" s="5" t="s">
        <v>10</v>
      </c>
      <c r="H929" s="7">
        <v>89060.04</v>
      </c>
      <c r="I929" s="7">
        <v>102672.97</v>
      </c>
      <c r="J929" s="7">
        <v>13612.930000000008</v>
      </c>
      <c r="K929" s="8">
        <v>0.15285115524313719</v>
      </c>
    </row>
    <row r="930" spans="1:11" x14ac:dyDescent="0.3">
      <c r="A930" s="5" t="s">
        <v>45</v>
      </c>
      <c r="B930" s="6">
        <v>40259</v>
      </c>
      <c r="C930" s="5">
        <v>13</v>
      </c>
      <c r="D930" s="5">
        <v>3</v>
      </c>
      <c r="E930" s="5">
        <v>2010</v>
      </c>
      <c r="F930" s="5" t="s">
        <v>31</v>
      </c>
      <c r="G930" s="5" t="s">
        <v>7</v>
      </c>
      <c r="H930" s="7">
        <v>94779.85</v>
      </c>
      <c r="I930" s="7">
        <v>111850.67</v>
      </c>
      <c r="J930" s="7">
        <v>17070.819999999992</v>
      </c>
      <c r="K930" s="8">
        <v>0.18011022385032252</v>
      </c>
    </row>
    <row r="931" spans="1:11" x14ac:dyDescent="0.3">
      <c r="A931" s="5" t="s">
        <v>45</v>
      </c>
      <c r="B931" s="6">
        <v>40259</v>
      </c>
      <c r="C931" s="5">
        <v>13</v>
      </c>
      <c r="D931" s="5">
        <v>3</v>
      </c>
      <c r="E931" s="5">
        <v>2010</v>
      </c>
      <c r="F931" s="5" t="s">
        <v>32</v>
      </c>
      <c r="G931" s="5" t="s">
        <v>7</v>
      </c>
      <c r="H931" s="7">
        <v>38681.1</v>
      </c>
      <c r="I931" s="7">
        <v>44475.59</v>
      </c>
      <c r="J931" s="7">
        <v>5794.489999999998</v>
      </c>
      <c r="K931" s="8">
        <v>0.14980158268508389</v>
      </c>
    </row>
    <row r="932" spans="1:11" x14ac:dyDescent="0.3">
      <c r="A932" s="5" t="s">
        <v>45</v>
      </c>
      <c r="B932" s="6">
        <v>40259</v>
      </c>
      <c r="C932" s="5">
        <v>13</v>
      </c>
      <c r="D932" s="5">
        <v>3</v>
      </c>
      <c r="E932" s="5">
        <v>2010</v>
      </c>
      <c r="F932" s="5" t="s">
        <v>33</v>
      </c>
      <c r="G932" s="5" t="s">
        <v>7</v>
      </c>
      <c r="H932" s="7">
        <v>265252.11</v>
      </c>
      <c r="I932" s="7">
        <v>357650.5</v>
      </c>
      <c r="J932" s="7">
        <v>92398.390000000014</v>
      </c>
      <c r="K932" s="8">
        <v>0.3483417719089964</v>
      </c>
    </row>
    <row r="933" spans="1:11" x14ac:dyDescent="0.3">
      <c r="A933" s="5" t="s">
        <v>45</v>
      </c>
      <c r="B933" s="6">
        <v>40259</v>
      </c>
      <c r="C933" s="5">
        <v>13</v>
      </c>
      <c r="D933" s="5">
        <v>3</v>
      </c>
      <c r="E933" s="5">
        <v>2010</v>
      </c>
      <c r="F933" s="5" t="s">
        <v>34</v>
      </c>
      <c r="G933" s="5" t="s">
        <v>7</v>
      </c>
      <c r="H933" s="7">
        <v>304</v>
      </c>
      <c r="I933" s="7">
        <v>380</v>
      </c>
      <c r="J933" s="7">
        <v>76</v>
      </c>
      <c r="K933" s="8">
        <v>0.25</v>
      </c>
    </row>
    <row r="934" spans="1:11" x14ac:dyDescent="0.3">
      <c r="A934" s="5" t="s">
        <v>45</v>
      </c>
      <c r="B934" s="6">
        <v>40259</v>
      </c>
      <c r="C934" s="5">
        <v>13</v>
      </c>
      <c r="D934" s="5">
        <v>3</v>
      </c>
      <c r="E934" s="5">
        <v>2010</v>
      </c>
      <c r="F934" s="5" t="s">
        <v>35</v>
      </c>
      <c r="G934" s="5" t="s">
        <v>11</v>
      </c>
      <c r="H934" s="7">
        <v>1869.96</v>
      </c>
      <c r="I934" s="7">
        <v>2430.19</v>
      </c>
      <c r="J934" s="7">
        <v>560.23</v>
      </c>
      <c r="K934" s="8">
        <v>0.29959464373569489</v>
      </c>
    </row>
    <row r="935" spans="1:11" x14ac:dyDescent="0.3">
      <c r="A935" s="5" t="s">
        <v>45</v>
      </c>
      <c r="B935" s="6">
        <v>40259</v>
      </c>
      <c r="C935" s="5">
        <v>13</v>
      </c>
      <c r="D935" s="5">
        <v>3</v>
      </c>
      <c r="E935" s="5">
        <v>2010</v>
      </c>
      <c r="F935" s="5" t="s">
        <v>36</v>
      </c>
      <c r="G935" s="5" t="s">
        <v>11</v>
      </c>
      <c r="H935" s="7">
        <v>146562.5</v>
      </c>
      <c r="I935" s="7">
        <v>159552.4</v>
      </c>
      <c r="J935" s="7">
        <v>12989.899999999994</v>
      </c>
      <c r="K935" s="8">
        <v>8.8630447761193984E-2</v>
      </c>
    </row>
    <row r="936" spans="1:11" x14ac:dyDescent="0.3">
      <c r="A936" s="5" t="s">
        <v>45</v>
      </c>
      <c r="B936" s="6">
        <v>40259</v>
      </c>
      <c r="C936" s="5">
        <v>13</v>
      </c>
      <c r="D936" s="5">
        <v>3</v>
      </c>
      <c r="E936" s="5">
        <v>2010</v>
      </c>
      <c r="F936" s="5" t="s">
        <v>37</v>
      </c>
      <c r="G936" s="5" t="s">
        <v>11</v>
      </c>
      <c r="H936" s="7">
        <v>301991.65999999997</v>
      </c>
      <c r="I936" s="7">
        <v>328664.95</v>
      </c>
      <c r="J936" s="7">
        <v>26673.290000000037</v>
      </c>
      <c r="K936" s="8">
        <v>8.8324591480440348E-2</v>
      </c>
    </row>
    <row r="937" spans="1:11" x14ac:dyDescent="0.3">
      <c r="A937" s="5" t="s">
        <v>45</v>
      </c>
      <c r="B937" s="6">
        <v>40259</v>
      </c>
      <c r="C937" s="5">
        <v>13</v>
      </c>
      <c r="D937" s="5">
        <v>3</v>
      </c>
      <c r="E937" s="5">
        <v>2010</v>
      </c>
      <c r="F937" s="5" t="s">
        <v>38</v>
      </c>
      <c r="G937" s="5" t="s">
        <v>11</v>
      </c>
      <c r="H937" s="7">
        <v>224952.91</v>
      </c>
      <c r="I937" s="7">
        <v>225856.04</v>
      </c>
      <c r="J937" s="7">
        <v>903.13000000000466</v>
      </c>
      <c r="K937" s="8">
        <v>4.0147513539611672E-3</v>
      </c>
    </row>
    <row r="938" spans="1:11" x14ac:dyDescent="0.3">
      <c r="A938" s="5" t="s">
        <v>45</v>
      </c>
      <c r="B938" s="6">
        <v>40260</v>
      </c>
      <c r="C938" s="5">
        <v>13</v>
      </c>
      <c r="D938" s="5">
        <v>3</v>
      </c>
      <c r="E938" s="5">
        <v>2010</v>
      </c>
      <c r="F938" s="5" t="s">
        <v>14</v>
      </c>
      <c r="G938" s="5" t="s">
        <v>6</v>
      </c>
      <c r="H938" s="7">
        <v>9112.61</v>
      </c>
      <c r="I938" s="7">
        <v>10679.7</v>
      </c>
      <c r="J938" s="7">
        <v>1567.0900000000001</v>
      </c>
      <c r="K938" s="8">
        <v>0.17196939186467983</v>
      </c>
    </row>
    <row r="939" spans="1:11" x14ac:dyDescent="0.3">
      <c r="A939" s="5" t="s">
        <v>45</v>
      </c>
      <c r="B939" s="6">
        <v>40260</v>
      </c>
      <c r="C939" s="5">
        <v>13</v>
      </c>
      <c r="D939" s="5">
        <v>3</v>
      </c>
      <c r="E939" s="5">
        <v>2010</v>
      </c>
      <c r="F939" s="5" t="s">
        <v>15</v>
      </c>
      <c r="G939" s="5" t="s">
        <v>6</v>
      </c>
      <c r="H939" s="7">
        <v>167762.04</v>
      </c>
      <c r="I939" s="7">
        <v>217422.39</v>
      </c>
      <c r="J939" s="7">
        <v>49660.350000000006</v>
      </c>
      <c r="K939" s="8">
        <v>0.29601660780949018</v>
      </c>
    </row>
    <row r="940" spans="1:11" x14ac:dyDescent="0.3">
      <c r="A940" s="5" t="s">
        <v>45</v>
      </c>
      <c r="B940" s="6">
        <v>40260</v>
      </c>
      <c r="C940" s="5">
        <v>13</v>
      </c>
      <c r="D940" s="5">
        <v>3</v>
      </c>
      <c r="E940" s="5">
        <v>2010</v>
      </c>
      <c r="F940" s="5" t="s">
        <v>16</v>
      </c>
      <c r="G940" s="5" t="s">
        <v>6</v>
      </c>
      <c r="H940" s="7">
        <v>71428.070000000007</v>
      </c>
      <c r="I940" s="7">
        <v>81338.649999999994</v>
      </c>
      <c r="J940" s="7">
        <v>9910.5799999999872</v>
      </c>
      <c r="K940" s="8">
        <v>0.13874909401863983</v>
      </c>
    </row>
    <row r="941" spans="1:11" x14ac:dyDescent="0.3">
      <c r="A941" s="5" t="s">
        <v>45</v>
      </c>
      <c r="B941" s="6">
        <v>40260</v>
      </c>
      <c r="C941" s="5">
        <v>13</v>
      </c>
      <c r="D941" s="5">
        <v>3</v>
      </c>
      <c r="E941" s="5">
        <v>2010</v>
      </c>
      <c r="F941" s="5" t="s">
        <v>18</v>
      </c>
      <c r="G941" s="5" t="s">
        <v>6</v>
      </c>
      <c r="H941" s="7">
        <v>1133</v>
      </c>
      <c r="I941" s="7">
        <v>1193.75</v>
      </c>
      <c r="J941" s="7">
        <v>60.75</v>
      </c>
      <c r="K941" s="8">
        <v>5.3618711385701678E-2</v>
      </c>
    </row>
    <row r="942" spans="1:11" x14ac:dyDescent="0.3">
      <c r="A942" s="5" t="s">
        <v>45</v>
      </c>
      <c r="B942" s="6">
        <v>40260</v>
      </c>
      <c r="C942" s="5">
        <v>13</v>
      </c>
      <c r="D942" s="5">
        <v>3</v>
      </c>
      <c r="E942" s="5">
        <v>2010</v>
      </c>
      <c r="F942" s="5" t="s">
        <v>19</v>
      </c>
      <c r="G942" s="5" t="s">
        <v>5</v>
      </c>
      <c r="H942" s="7">
        <v>147971.71</v>
      </c>
      <c r="I942" s="7">
        <v>161713.26999999999</v>
      </c>
      <c r="J942" s="7">
        <v>13741.559999999998</v>
      </c>
      <c r="K942" s="8">
        <v>9.2866129613559237E-2</v>
      </c>
    </row>
    <row r="943" spans="1:11" x14ac:dyDescent="0.3">
      <c r="A943" s="5" t="s">
        <v>45</v>
      </c>
      <c r="B943" s="6">
        <v>40260</v>
      </c>
      <c r="C943" s="5">
        <v>13</v>
      </c>
      <c r="D943" s="5">
        <v>3</v>
      </c>
      <c r="E943" s="5">
        <v>2010</v>
      </c>
      <c r="F943" s="5" t="s">
        <v>5</v>
      </c>
      <c r="G943" s="5" t="s">
        <v>5</v>
      </c>
      <c r="H943" s="7">
        <v>418794.03</v>
      </c>
      <c r="I943" s="7">
        <v>442087.25</v>
      </c>
      <c r="J943" s="7">
        <v>23293.219999999972</v>
      </c>
      <c r="K943" s="8">
        <v>5.5619751790635531E-2</v>
      </c>
    </row>
    <row r="944" spans="1:11" x14ac:dyDescent="0.3">
      <c r="A944" s="5" t="s">
        <v>45</v>
      </c>
      <c r="B944" s="6">
        <v>40260</v>
      </c>
      <c r="C944" s="5">
        <v>13</v>
      </c>
      <c r="D944" s="5">
        <v>3</v>
      </c>
      <c r="E944" s="5">
        <v>2010</v>
      </c>
      <c r="F944" s="5" t="s">
        <v>20</v>
      </c>
      <c r="G944" s="5" t="s">
        <v>5</v>
      </c>
      <c r="H944" s="7">
        <v>100057.59</v>
      </c>
      <c r="I944" s="7">
        <v>109765.93</v>
      </c>
      <c r="J944" s="7">
        <v>9708.3399999999965</v>
      </c>
      <c r="K944" s="8">
        <v>9.7027521850166457E-2</v>
      </c>
    </row>
    <row r="945" spans="1:11" x14ac:dyDescent="0.3">
      <c r="A945" s="5" t="s">
        <v>45</v>
      </c>
      <c r="B945" s="6">
        <v>40260</v>
      </c>
      <c r="C945" s="5">
        <v>13</v>
      </c>
      <c r="D945" s="5">
        <v>3</v>
      </c>
      <c r="E945" s="5">
        <v>2010</v>
      </c>
      <c r="F945" s="5" t="s">
        <v>21</v>
      </c>
      <c r="G945" s="5" t="s">
        <v>5</v>
      </c>
      <c r="H945" s="7">
        <v>128091.16</v>
      </c>
      <c r="I945" s="7">
        <v>140509.17000000001</v>
      </c>
      <c r="J945" s="7">
        <v>12418.010000000009</v>
      </c>
      <c r="K945" s="8">
        <v>9.6946658926345963E-2</v>
      </c>
    </row>
    <row r="946" spans="1:11" x14ac:dyDescent="0.3">
      <c r="A946" s="5" t="s">
        <v>45</v>
      </c>
      <c r="B946" s="6">
        <v>40260</v>
      </c>
      <c r="C946" s="5">
        <v>13</v>
      </c>
      <c r="D946" s="5">
        <v>3</v>
      </c>
      <c r="E946" s="5">
        <v>2010</v>
      </c>
      <c r="F946" s="5" t="s">
        <v>22</v>
      </c>
      <c r="G946" s="5" t="s">
        <v>8</v>
      </c>
      <c r="H946" s="7">
        <v>194590.44</v>
      </c>
      <c r="I946" s="7">
        <v>209747.87</v>
      </c>
      <c r="J946" s="7">
        <v>15157.429999999993</v>
      </c>
      <c r="K946" s="8">
        <v>7.7894011648259764E-2</v>
      </c>
    </row>
    <row r="947" spans="1:11" x14ac:dyDescent="0.3">
      <c r="A947" s="5" t="s">
        <v>45</v>
      </c>
      <c r="B947" s="6">
        <v>40260</v>
      </c>
      <c r="C947" s="5">
        <v>13</v>
      </c>
      <c r="D947" s="5">
        <v>3</v>
      </c>
      <c r="E947" s="5">
        <v>2010</v>
      </c>
      <c r="F947" s="5" t="s">
        <v>23</v>
      </c>
      <c r="G947" s="5" t="s">
        <v>8</v>
      </c>
      <c r="H947" s="7">
        <v>156488.20000000001</v>
      </c>
      <c r="I947" s="7">
        <v>163418.18</v>
      </c>
      <c r="J947" s="7">
        <v>6929.9799999999814</v>
      </c>
      <c r="K947" s="8">
        <v>4.4284361376768222E-2</v>
      </c>
    </row>
    <row r="948" spans="1:11" x14ac:dyDescent="0.3">
      <c r="A948" s="5" t="s">
        <v>45</v>
      </c>
      <c r="B948" s="6">
        <v>40260</v>
      </c>
      <c r="C948" s="5">
        <v>13</v>
      </c>
      <c r="D948" s="5">
        <v>3</v>
      </c>
      <c r="E948" s="5">
        <v>2010</v>
      </c>
      <c r="F948" s="5" t="s">
        <v>24</v>
      </c>
      <c r="G948" s="5" t="s">
        <v>8</v>
      </c>
      <c r="H948" s="7">
        <v>44541</v>
      </c>
      <c r="I948" s="7">
        <v>46794.91</v>
      </c>
      <c r="J948" s="7">
        <v>2253.9100000000035</v>
      </c>
      <c r="K948" s="8">
        <v>5.0603039895826395E-2</v>
      </c>
    </row>
    <row r="949" spans="1:11" x14ac:dyDescent="0.3">
      <c r="A949" s="5" t="s">
        <v>45</v>
      </c>
      <c r="B949" s="6">
        <v>40260</v>
      </c>
      <c r="C949" s="5">
        <v>13</v>
      </c>
      <c r="D949" s="5">
        <v>3</v>
      </c>
      <c r="E949" s="5">
        <v>2010</v>
      </c>
      <c r="F949" s="5" t="s">
        <v>25</v>
      </c>
      <c r="G949" s="5" t="s">
        <v>8</v>
      </c>
      <c r="H949" s="7">
        <v>15898.15</v>
      </c>
      <c r="I949" s="7">
        <v>17697.46</v>
      </c>
      <c r="J949" s="7">
        <v>1799.3099999999995</v>
      </c>
      <c r="K949" s="8">
        <v>0.11317731937363779</v>
      </c>
    </row>
    <row r="950" spans="1:11" x14ac:dyDescent="0.3">
      <c r="A950" s="5" t="s">
        <v>45</v>
      </c>
      <c r="B950" s="6">
        <v>40260</v>
      </c>
      <c r="C950" s="5">
        <v>13</v>
      </c>
      <c r="D950" s="5">
        <v>3</v>
      </c>
      <c r="E950" s="5">
        <v>2010</v>
      </c>
      <c r="F950" s="5" t="s">
        <v>26</v>
      </c>
      <c r="G950" s="5" t="s">
        <v>10</v>
      </c>
      <c r="H950" s="7">
        <v>7195.59</v>
      </c>
      <c r="I950" s="7">
        <v>8126.62</v>
      </c>
      <c r="J950" s="7">
        <v>931.02999999999975</v>
      </c>
      <c r="K950" s="8">
        <v>0.12938897296816518</v>
      </c>
    </row>
    <row r="951" spans="1:11" x14ac:dyDescent="0.3">
      <c r="A951" s="5" t="s">
        <v>45</v>
      </c>
      <c r="B951" s="6">
        <v>40260</v>
      </c>
      <c r="C951" s="5">
        <v>13</v>
      </c>
      <c r="D951" s="5">
        <v>3</v>
      </c>
      <c r="E951" s="5">
        <v>2010</v>
      </c>
      <c r="F951" s="5" t="s">
        <v>27</v>
      </c>
      <c r="G951" s="5" t="s">
        <v>10</v>
      </c>
      <c r="H951" s="7">
        <v>70089.78</v>
      </c>
      <c r="I951" s="7">
        <v>79791.259999999995</v>
      </c>
      <c r="J951" s="7">
        <v>9701.4799999999959</v>
      </c>
      <c r="K951" s="8">
        <v>0.13841504424753504</v>
      </c>
    </row>
    <row r="952" spans="1:11" x14ac:dyDescent="0.3">
      <c r="A952" s="5" t="s">
        <v>45</v>
      </c>
      <c r="B952" s="6">
        <v>40260</v>
      </c>
      <c r="C952" s="5">
        <v>13</v>
      </c>
      <c r="D952" s="5">
        <v>3</v>
      </c>
      <c r="E952" s="5">
        <v>2010</v>
      </c>
      <c r="F952" s="5" t="s">
        <v>28</v>
      </c>
      <c r="G952" s="5" t="s">
        <v>10</v>
      </c>
      <c r="H952" s="7">
        <v>40096.94</v>
      </c>
      <c r="I952" s="7">
        <v>47481.81</v>
      </c>
      <c r="J952" s="7">
        <v>7384.8699999999953</v>
      </c>
      <c r="K952" s="8">
        <v>0.18417540091588025</v>
      </c>
    </row>
    <row r="953" spans="1:11" x14ac:dyDescent="0.3">
      <c r="A953" s="5" t="s">
        <v>45</v>
      </c>
      <c r="B953" s="6">
        <v>40260</v>
      </c>
      <c r="C953" s="5">
        <v>13</v>
      </c>
      <c r="D953" s="5">
        <v>3</v>
      </c>
      <c r="E953" s="5">
        <v>2010</v>
      </c>
      <c r="F953" s="5" t="s">
        <v>29</v>
      </c>
      <c r="G953" s="5" t="s">
        <v>10</v>
      </c>
      <c r="H953" s="7">
        <v>297011</v>
      </c>
      <c r="I953" s="7">
        <v>322183.34999999998</v>
      </c>
      <c r="J953" s="7">
        <v>25172.349999999977</v>
      </c>
      <c r="K953" s="8">
        <v>8.475224823323034E-2</v>
      </c>
    </row>
    <row r="954" spans="1:11" x14ac:dyDescent="0.3">
      <c r="A954" s="5" t="s">
        <v>45</v>
      </c>
      <c r="B954" s="6">
        <v>40260</v>
      </c>
      <c r="C954" s="5">
        <v>13</v>
      </c>
      <c r="D954" s="5">
        <v>3</v>
      </c>
      <c r="E954" s="5">
        <v>2010</v>
      </c>
      <c r="F954" s="5" t="s">
        <v>30</v>
      </c>
      <c r="G954" s="5" t="s">
        <v>10</v>
      </c>
      <c r="H954" s="7">
        <v>55841.94</v>
      </c>
      <c r="I954" s="7">
        <v>64637.39</v>
      </c>
      <c r="J954" s="7">
        <v>8795.4499999999971</v>
      </c>
      <c r="K954" s="8">
        <v>0.15750616830289199</v>
      </c>
    </row>
    <row r="955" spans="1:11" x14ac:dyDescent="0.3">
      <c r="A955" s="5" t="s">
        <v>45</v>
      </c>
      <c r="B955" s="6">
        <v>40260</v>
      </c>
      <c r="C955" s="5">
        <v>13</v>
      </c>
      <c r="D955" s="5">
        <v>3</v>
      </c>
      <c r="E955" s="5">
        <v>2010</v>
      </c>
      <c r="F955" s="5" t="s">
        <v>31</v>
      </c>
      <c r="G955" s="5" t="s">
        <v>7</v>
      </c>
      <c r="H955" s="7">
        <v>59211.57</v>
      </c>
      <c r="I955" s="7">
        <v>70963.320000000007</v>
      </c>
      <c r="J955" s="7">
        <v>11751.750000000007</v>
      </c>
      <c r="K955" s="8">
        <v>0.19847050162662477</v>
      </c>
    </row>
    <row r="956" spans="1:11" x14ac:dyDescent="0.3">
      <c r="A956" s="5" t="s">
        <v>45</v>
      </c>
      <c r="B956" s="6">
        <v>40260</v>
      </c>
      <c r="C956" s="5">
        <v>13</v>
      </c>
      <c r="D956" s="5">
        <v>3</v>
      </c>
      <c r="E956" s="5">
        <v>2010</v>
      </c>
      <c r="F956" s="5" t="s">
        <v>32</v>
      </c>
      <c r="G956" s="5" t="s">
        <v>7</v>
      </c>
      <c r="H956" s="7">
        <v>23950.21</v>
      </c>
      <c r="I956" s="7">
        <v>27536.49</v>
      </c>
      <c r="J956" s="7">
        <v>3586.2800000000025</v>
      </c>
      <c r="K956" s="8">
        <v>0.14973897932418975</v>
      </c>
    </row>
    <row r="957" spans="1:11" x14ac:dyDescent="0.3">
      <c r="A957" s="5" t="s">
        <v>45</v>
      </c>
      <c r="B957" s="6">
        <v>40260</v>
      </c>
      <c r="C957" s="5">
        <v>13</v>
      </c>
      <c r="D957" s="5">
        <v>3</v>
      </c>
      <c r="E957" s="5">
        <v>2010</v>
      </c>
      <c r="F957" s="5" t="s">
        <v>33</v>
      </c>
      <c r="G957" s="5" t="s">
        <v>7</v>
      </c>
      <c r="H957" s="7">
        <v>160582.76</v>
      </c>
      <c r="I957" s="7">
        <v>223660.7</v>
      </c>
      <c r="J957" s="7">
        <v>63077.94</v>
      </c>
      <c r="K957" s="8">
        <v>0.39280642579564579</v>
      </c>
    </row>
    <row r="958" spans="1:11" x14ac:dyDescent="0.3">
      <c r="A958" s="5" t="s">
        <v>45</v>
      </c>
      <c r="B958" s="6">
        <v>40260</v>
      </c>
      <c r="C958" s="5">
        <v>13</v>
      </c>
      <c r="D958" s="5">
        <v>3</v>
      </c>
      <c r="E958" s="5">
        <v>2010</v>
      </c>
      <c r="F958" s="5" t="s">
        <v>34</v>
      </c>
      <c r="G958" s="5" t="s">
        <v>7</v>
      </c>
      <c r="H958" s="7">
        <v>152</v>
      </c>
      <c r="I958" s="7">
        <v>189.99</v>
      </c>
      <c r="J958" s="7">
        <v>37.990000000000009</v>
      </c>
      <c r="K958" s="8">
        <v>0.24993421052631584</v>
      </c>
    </row>
    <row r="959" spans="1:11" x14ac:dyDescent="0.3">
      <c r="A959" s="5" t="s">
        <v>45</v>
      </c>
      <c r="B959" s="6">
        <v>40260</v>
      </c>
      <c r="C959" s="5">
        <v>13</v>
      </c>
      <c r="D959" s="5">
        <v>3</v>
      </c>
      <c r="E959" s="5">
        <v>2010</v>
      </c>
      <c r="F959" s="5" t="s">
        <v>35</v>
      </c>
      <c r="G959" s="5" t="s">
        <v>11</v>
      </c>
      <c r="H959" s="7">
        <v>2746.36</v>
      </c>
      <c r="I959" s="7">
        <v>3567.86</v>
      </c>
      <c r="J959" s="7">
        <v>821.5</v>
      </c>
      <c r="K959" s="8">
        <v>0.2991232030760716</v>
      </c>
    </row>
    <row r="960" spans="1:11" x14ac:dyDescent="0.3">
      <c r="A960" s="5" t="s">
        <v>45</v>
      </c>
      <c r="B960" s="6">
        <v>40260</v>
      </c>
      <c r="C960" s="5">
        <v>13</v>
      </c>
      <c r="D960" s="5">
        <v>3</v>
      </c>
      <c r="E960" s="5">
        <v>2010</v>
      </c>
      <c r="F960" s="5" t="s">
        <v>36</v>
      </c>
      <c r="G960" s="5" t="s">
        <v>11</v>
      </c>
      <c r="H960" s="7">
        <v>141605.51999999999</v>
      </c>
      <c r="I960" s="7">
        <v>145152.25</v>
      </c>
      <c r="J960" s="7">
        <v>3546.7300000000105</v>
      </c>
      <c r="K960" s="8">
        <v>2.5046551857583029E-2</v>
      </c>
    </row>
    <row r="961" spans="1:11" x14ac:dyDescent="0.3">
      <c r="A961" s="5" t="s">
        <v>45</v>
      </c>
      <c r="B961" s="6">
        <v>40260</v>
      </c>
      <c r="C961" s="5">
        <v>13</v>
      </c>
      <c r="D961" s="5">
        <v>3</v>
      </c>
      <c r="E961" s="5">
        <v>2010</v>
      </c>
      <c r="F961" s="5" t="s">
        <v>37</v>
      </c>
      <c r="G961" s="5" t="s">
        <v>11</v>
      </c>
      <c r="H961" s="7">
        <v>264214.34000000003</v>
      </c>
      <c r="I961" s="7">
        <v>286189.92</v>
      </c>
      <c r="J961" s="7">
        <v>21975.579999999958</v>
      </c>
      <c r="K961" s="8">
        <v>8.317330543073459E-2</v>
      </c>
    </row>
    <row r="962" spans="1:11" x14ac:dyDescent="0.3">
      <c r="A962" s="5" t="s">
        <v>45</v>
      </c>
      <c r="B962" s="6">
        <v>40260</v>
      </c>
      <c r="C962" s="5">
        <v>13</v>
      </c>
      <c r="D962" s="5">
        <v>3</v>
      </c>
      <c r="E962" s="5">
        <v>2010</v>
      </c>
      <c r="F962" s="5" t="s">
        <v>38</v>
      </c>
      <c r="G962" s="5" t="s">
        <v>11</v>
      </c>
      <c r="H962" s="7">
        <v>239639.71</v>
      </c>
      <c r="I962" s="7">
        <v>244944.27</v>
      </c>
      <c r="J962" s="7">
        <v>5304.5599999999977</v>
      </c>
      <c r="K962" s="8">
        <v>2.213556342561088E-2</v>
      </c>
    </row>
    <row r="963" spans="1:11" x14ac:dyDescent="0.3">
      <c r="A963" s="5" t="s">
        <v>45</v>
      </c>
      <c r="B963" s="6">
        <v>40261</v>
      </c>
      <c r="C963" s="5">
        <v>13</v>
      </c>
      <c r="D963" s="5">
        <v>3</v>
      </c>
      <c r="E963" s="5">
        <v>2010</v>
      </c>
      <c r="F963" s="5" t="s">
        <v>14</v>
      </c>
      <c r="G963" s="5" t="s">
        <v>6</v>
      </c>
      <c r="H963" s="7">
        <v>5222.3900000000003</v>
      </c>
      <c r="I963" s="7">
        <v>6119.1</v>
      </c>
      <c r="J963" s="7">
        <v>896.71</v>
      </c>
      <c r="K963" s="8">
        <v>0.17170490905504951</v>
      </c>
    </row>
    <row r="964" spans="1:11" x14ac:dyDescent="0.3">
      <c r="A964" s="5" t="s">
        <v>45</v>
      </c>
      <c r="B964" s="6">
        <v>40261</v>
      </c>
      <c r="C964" s="5">
        <v>13</v>
      </c>
      <c r="D964" s="5">
        <v>3</v>
      </c>
      <c r="E964" s="5">
        <v>2010</v>
      </c>
      <c r="F964" s="5" t="s">
        <v>15</v>
      </c>
      <c r="G964" s="5" t="s">
        <v>6</v>
      </c>
      <c r="H964" s="7">
        <v>117000.58</v>
      </c>
      <c r="I964" s="7">
        <v>159079.24</v>
      </c>
      <c r="J964" s="7">
        <v>42078.659999999989</v>
      </c>
      <c r="K964" s="8">
        <v>0.35964488381168697</v>
      </c>
    </row>
    <row r="965" spans="1:11" x14ac:dyDescent="0.3">
      <c r="A965" s="5" t="s">
        <v>45</v>
      </c>
      <c r="B965" s="6">
        <v>40261</v>
      </c>
      <c r="C965" s="5">
        <v>13</v>
      </c>
      <c r="D965" s="5">
        <v>3</v>
      </c>
      <c r="E965" s="5">
        <v>2010</v>
      </c>
      <c r="F965" s="5" t="s">
        <v>16</v>
      </c>
      <c r="G965" s="5" t="s">
        <v>6</v>
      </c>
      <c r="H965" s="7">
        <v>42278.8</v>
      </c>
      <c r="I965" s="7">
        <v>47267.21</v>
      </c>
      <c r="J965" s="7">
        <v>4988.4099999999962</v>
      </c>
      <c r="K965" s="8">
        <v>0.11798844811110996</v>
      </c>
    </row>
    <row r="966" spans="1:11" x14ac:dyDescent="0.3">
      <c r="A966" s="5" t="s">
        <v>45</v>
      </c>
      <c r="B966" s="6">
        <v>40261</v>
      </c>
      <c r="C966" s="5">
        <v>13</v>
      </c>
      <c r="D966" s="5">
        <v>3</v>
      </c>
      <c r="E966" s="5">
        <v>2010</v>
      </c>
      <c r="F966" s="5" t="s">
        <v>17</v>
      </c>
      <c r="G966" s="5" t="s">
        <v>6</v>
      </c>
      <c r="H966" s="7">
        <v>574</v>
      </c>
      <c r="I966" s="7">
        <v>585.36</v>
      </c>
      <c r="J966" s="7">
        <v>11.360000000000014</v>
      </c>
      <c r="K966" s="8">
        <v>1.9790940766550545E-2</v>
      </c>
    </row>
    <row r="967" spans="1:11" x14ac:dyDescent="0.3">
      <c r="A967" s="5" t="s">
        <v>45</v>
      </c>
      <c r="B967" s="6">
        <v>40261</v>
      </c>
      <c r="C967" s="5">
        <v>13</v>
      </c>
      <c r="D967" s="5">
        <v>3</v>
      </c>
      <c r="E967" s="5">
        <v>2010</v>
      </c>
      <c r="F967" s="5" t="s">
        <v>18</v>
      </c>
      <c r="G967" s="5" t="s">
        <v>6</v>
      </c>
      <c r="H967" s="7">
        <v>294</v>
      </c>
      <c r="I967" s="7">
        <v>337.98</v>
      </c>
      <c r="J967" s="7">
        <v>43.980000000000018</v>
      </c>
      <c r="K967" s="8">
        <v>0.14959183673469395</v>
      </c>
    </row>
    <row r="968" spans="1:11" x14ac:dyDescent="0.3">
      <c r="A968" s="5" t="s">
        <v>45</v>
      </c>
      <c r="B968" s="6">
        <v>40261</v>
      </c>
      <c r="C968" s="5">
        <v>13</v>
      </c>
      <c r="D968" s="5">
        <v>3</v>
      </c>
      <c r="E968" s="5">
        <v>2010</v>
      </c>
      <c r="F968" s="5" t="s">
        <v>19</v>
      </c>
      <c r="G968" s="5" t="s">
        <v>5</v>
      </c>
      <c r="H968" s="7">
        <v>106148.81</v>
      </c>
      <c r="I968" s="7">
        <v>116434.45</v>
      </c>
      <c r="J968" s="7">
        <v>10285.64</v>
      </c>
      <c r="K968" s="8">
        <v>9.6898307197226224E-2</v>
      </c>
    </row>
    <row r="969" spans="1:11" x14ac:dyDescent="0.3">
      <c r="A969" s="5" t="s">
        <v>45</v>
      </c>
      <c r="B969" s="6">
        <v>40261</v>
      </c>
      <c r="C969" s="5">
        <v>13</v>
      </c>
      <c r="D969" s="5">
        <v>3</v>
      </c>
      <c r="E969" s="5">
        <v>2010</v>
      </c>
      <c r="F969" s="5" t="s">
        <v>5</v>
      </c>
      <c r="G969" s="5" t="s">
        <v>5</v>
      </c>
      <c r="H969" s="7">
        <v>284752.14</v>
      </c>
      <c r="I969" s="7">
        <v>301191.65999999997</v>
      </c>
      <c r="J969" s="7">
        <v>16439.51999999996</v>
      </c>
      <c r="K969" s="8">
        <v>5.773273556434013E-2</v>
      </c>
    </row>
    <row r="970" spans="1:11" x14ac:dyDescent="0.3">
      <c r="A970" s="5" t="s">
        <v>45</v>
      </c>
      <c r="B970" s="6">
        <v>40261</v>
      </c>
      <c r="C970" s="5">
        <v>13</v>
      </c>
      <c r="D970" s="5">
        <v>3</v>
      </c>
      <c r="E970" s="5">
        <v>2010</v>
      </c>
      <c r="F970" s="5" t="s">
        <v>20</v>
      </c>
      <c r="G970" s="5" t="s">
        <v>5</v>
      </c>
      <c r="H970" s="7">
        <v>59390.51</v>
      </c>
      <c r="I970" s="7">
        <v>65553.240000000005</v>
      </c>
      <c r="J970" s="7">
        <v>6162.7300000000032</v>
      </c>
      <c r="K970" s="8">
        <v>0.10376624144160411</v>
      </c>
    </row>
    <row r="971" spans="1:11" x14ac:dyDescent="0.3">
      <c r="A971" s="5" t="s">
        <v>45</v>
      </c>
      <c r="B971" s="6">
        <v>40261</v>
      </c>
      <c r="C971" s="5">
        <v>13</v>
      </c>
      <c r="D971" s="5">
        <v>3</v>
      </c>
      <c r="E971" s="5">
        <v>2010</v>
      </c>
      <c r="F971" s="5" t="s">
        <v>21</v>
      </c>
      <c r="G971" s="5" t="s">
        <v>5</v>
      </c>
      <c r="H971" s="7">
        <v>91749.57</v>
      </c>
      <c r="I971" s="7">
        <v>101435.26</v>
      </c>
      <c r="J971" s="7">
        <v>9685.6899999999878</v>
      </c>
      <c r="K971" s="8">
        <v>0.10556659829577389</v>
      </c>
    </row>
    <row r="972" spans="1:11" x14ac:dyDescent="0.3">
      <c r="A972" s="5" t="s">
        <v>45</v>
      </c>
      <c r="B972" s="6">
        <v>40261</v>
      </c>
      <c r="C972" s="5">
        <v>13</v>
      </c>
      <c r="D972" s="5">
        <v>3</v>
      </c>
      <c r="E972" s="5">
        <v>2010</v>
      </c>
      <c r="F972" s="5" t="s">
        <v>22</v>
      </c>
      <c r="G972" s="5" t="s">
        <v>8</v>
      </c>
      <c r="H972" s="7">
        <v>99784.98</v>
      </c>
      <c r="I972" s="7">
        <v>106556.49</v>
      </c>
      <c r="J972" s="7">
        <v>6771.5100000000093</v>
      </c>
      <c r="K972" s="8">
        <v>6.786101475392399E-2</v>
      </c>
    </row>
    <row r="973" spans="1:11" x14ac:dyDescent="0.3">
      <c r="A973" s="5" t="s">
        <v>45</v>
      </c>
      <c r="B973" s="6">
        <v>40261</v>
      </c>
      <c r="C973" s="5">
        <v>13</v>
      </c>
      <c r="D973" s="5">
        <v>3</v>
      </c>
      <c r="E973" s="5">
        <v>2010</v>
      </c>
      <c r="F973" s="5" t="s">
        <v>23</v>
      </c>
      <c r="G973" s="5" t="s">
        <v>8</v>
      </c>
      <c r="H973" s="7">
        <v>110261.3</v>
      </c>
      <c r="I973" s="7">
        <v>114353.15</v>
      </c>
      <c r="J973" s="7">
        <v>4091.8499999999913</v>
      </c>
      <c r="K973" s="8">
        <v>3.7110482100247241E-2</v>
      </c>
    </row>
    <row r="974" spans="1:11" x14ac:dyDescent="0.3">
      <c r="A974" s="5" t="s">
        <v>45</v>
      </c>
      <c r="B974" s="6">
        <v>40261</v>
      </c>
      <c r="C974" s="5">
        <v>13</v>
      </c>
      <c r="D974" s="5">
        <v>3</v>
      </c>
      <c r="E974" s="5">
        <v>2010</v>
      </c>
      <c r="F974" s="5" t="s">
        <v>24</v>
      </c>
      <c r="G974" s="5" t="s">
        <v>8</v>
      </c>
      <c r="H974" s="7">
        <v>64107</v>
      </c>
      <c r="I974" s="7">
        <v>66415.27</v>
      </c>
      <c r="J974" s="7">
        <v>2308.2700000000041</v>
      </c>
      <c r="K974" s="8">
        <v>3.6006520348791926E-2</v>
      </c>
    </row>
    <row r="975" spans="1:11" x14ac:dyDescent="0.3">
      <c r="A975" s="5" t="s">
        <v>45</v>
      </c>
      <c r="B975" s="6">
        <v>40261</v>
      </c>
      <c r="C975" s="5">
        <v>13</v>
      </c>
      <c r="D975" s="5">
        <v>3</v>
      </c>
      <c r="E975" s="5">
        <v>2010</v>
      </c>
      <c r="F975" s="5" t="s">
        <v>25</v>
      </c>
      <c r="G975" s="5" t="s">
        <v>8</v>
      </c>
      <c r="H975" s="7">
        <v>9937.2999999999993</v>
      </c>
      <c r="I975" s="7">
        <v>10854.14</v>
      </c>
      <c r="J975" s="7">
        <v>916.84000000000015</v>
      </c>
      <c r="K975" s="8">
        <v>9.2262485785877479E-2</v>
      </c>
    </row>
    <row r="976" spans="1:11" x14ac:dyDescent="0.3">
      <c r="A976" s="5" t="s">
        <v>45</v>
      </c>
      <c r="B976" s="6">
        <v>40261</v>
      </c>
      <c r="C976" s="5">
        <v>13</v>
      </c>
      <c r="D976" s="5">
        <v>3</v>
      </c>
      <c r="E976" s="5">
        <v>2010</v>
      </c>
      <c r="F976" s="5" t="s">
        <v>26</v>
      </c>
      <c r="G976" s="5" t="s">
        <v>10</v>
      </c>
      <c r="H976" s="7">
        <v>3064.97</v>
      </c>
      <c r="I976" s="7">
        <v>3414.08</v>
      </c>
      <c r="J976" s="7">
        <v>349.11000000000013</v>
      </c>
      <c r="K976" s="8">
        <v>0.11390323559447568</v>
      </c>
    </row>
    <row r="977" spans="1:11" x14ac:dyDescent="0.3">
      <c r="A977" s="5" t="s">
        <v>45</v>
      </c>
      <c r="B977" s="6">
        <v>40261</v>
      </c>
      <c r="C977" s="5">
        <v>13</v>
      </c>
      <c r="D977" s="5">
        <v>3</v>
      </c>
      <c r="E977" s="5">
        <v>2010</v>
      </c>
      <c r="F977" s="5" t="s">
        <v>27</v>
      </c>
      <c r="G977" s="5" t="s">
        <v>10</v>
      </c>
      <c r="H977" s="7">
        <v>63400.62</v>
      </c>
      <c r="I977" s="7">
        <v>70939.27</v>
      </c>
      <c r="J977" s="7">
        <v>7538.6500000000015</v>
      </c>
      <c r="K977" s="8">
        <v>0.11890498862629421</v>
      </c>
    </row>
    <row r="978" spans="1:11" x14ac:dyDescent="0.3">
      <c r="A978" s="5" t="s">
        <v>45</v>
      </c>
      <c r="B978" s="6">
        <v>40261</v>
      </c>
      <c r="C978" s="5">
        <v>13</v>
      </c>
      <c r="D978" s="5">
        <v>3</v>
      </c>
      <c r="E978" s="5">
        <v>2010</v>
      </c>
      <c r="F978" s="5" t="s">
        <v>28</v>
      </c>
      <c r="G978" s="5" t="s">
        <v>10</v>
      </c>
      <c r="H978" s="7">
        <v>33682.019999999997</v>
      </c>
      <c r="I978" s="7">
        <v>38912.32</v>
      </c>
      <c r="J978" s="7">
        <v>5230.3000000000029</v>
      </c>
      <c r="K978" s="8">
        <v>0.15528462960356901</v>
      </c>
    </row>
    <row r="979" spans="1:11" x14ac:dyDescent="0.3">
      <c r="A979" s="5" t="s">
        <v>45</v>
      </c>
      <c r="B979" s="6">
        <v>40261</v>
      </c>
      <c r="C979" s="5">
        <v>13</v>
      </c>
      <c r="D979" s="5">
        <v>3</v>
      </c>
      <c r="E979" s="5">
        <v>2010</v>
      </c>
      <c r="F979" s="5" t="s">
        <v>29</v>
      </c>
      <c r="G979" s="5" t="s">
        <v>10</v>
      </c>
      <c r="H979" s="7">
        <v>215152</v>
      </c>
      <c r="I979" s="7">
        <v>234116.56</v>
      </c>
      <c r="J979" s="7">
        <v>18964.559999999998</v>
      </c>
      <c r="K979" s="8">
        <v>8.814493939168587E-2</v>
      </c>
    </row>
    <row r="980" spans="1:11" x14ac:dyDescent="0.3">
      <c r="A980" s="5" t="s">
        <v>45</v>
      </c>
      <c r="B980" s="6">
        <v>40261</v>
      </c>
      <c r="C980" s="5">
        <v>13</v>
      </c>
      <c r="D980" s="5">
        <v>3</v>
      </c>
      <c r="E980" s="5">
        <v>2010</v>
      </c>
      <c r="F980" s="5" t="s">
        <v>30</v>
      </c>
      <c r="G980" s="5" t="s">
        <v>10</v>
      </c>
      <c r="H980" s="7">
        <v>44241.54</v>
      </c>
      <c r="I980" s="7">
        <v>50793.14</v>
      </c>
      <c r="J980" s="7">
        <v>6551.5999999999985</v>
      </c>
      <c r="K980" s="8">
        <v>0.1480870693018371</v>
      </c>
    </row>
    <row r="981" spans="1:11" x14ac:dyDescent="0.3">
      <c r="A981" s="5" t="s">
        <v>45</v>
      </c>
      <c r="B981" s="6">
        <v>40261</v>
      </c>
      <c r="C981" s="5">
        <v>13</v>
      </c>
      <c r="D981" s="5">
        <v>3</v>
      </c>
      <c r="E981" s="5">
        <v>2010</v>
      </c>
      <c r="F981" s="5" t="s">
        <v>31</v>
      </c>
      <c r="G981" s="5" t="s">
        <v>7</v>
      </c>
      <c r="H981" s="7">
        <v>25275.24</v>
      </c>
      <c r="I981" s="7">
        <v>31215.56</v>
      </c>
      <c r="J981" s="7">
        <v>5940.32</v>
      </c>
      <c r="K981" s="8">
        <v>0.23502526583328187</v>
      </c>
    </row>
    <row r="982" spans="1:11" x14ac:dyDescent="0.3">
      <c r="A982" s="5" t="s">
        <v>45</v>
      </c>
      <c r="B982" s="6">
        <v>40261</v>
      </c>
      <c r="C982" s="5">
        <v>13</v>
      </c>
      <c r="D982" s="5">
        <v>3</v>
      </c>
      <c r="E982" s="5">
        <v>2010</v>
      </c>
      <c r="F982" s="5" t="s">
        <v>32</v>
      </c>
      <c r="G982" s="5" t="s">
        <v>7</v>
      </c>
      <c r="H982" s="7">
        <v>11922.72</v>
      </c>
      <c r="I982" s="7">
        <v>13708.06</v>
      </c>
      <c r="J982" s="7">
        <v>1785.3400000000001</v>
      </c>
      <c r="K982" s="8">
        <v>0.14974267616785433</v>
      </c>
    </row>
    <row r="983" spans="1:11" x14ac:dyDescent="0.3">
      <c r="A983" s="5" t="s">
        <v>45</v>
      </c>
      <c r="B983" s="6">
        <v>40261</v>
      </c>
      <c r="C983" s="5">
        <v>13</v>
      </c>
      <c r="D983" s="5">
        <v>3</v>
      </c>
      <c r="E983" s="5">
        <v>2010</v>
      </c>
      <c r="F983" s="5" t="s">
        <v>33</v>
      </c>
      <c r="G983" s="5" t="s">
        <v>7</v>
      </c>
      <c r="H983" s="7">
        <v>114107.81</v>
      </c>
      <c r="I983" s="7">
        <v>162787.93</v>
      </c>
      <c r="J983" s="7">
        <v>48680.119999999995</v>
      </c>
      <c r="K983" s="8">
        <v>0.42661514579939791</v>
      </c>
    </row>
    <row r="984" spans="1:11" x14ac:dyDescent="0.3">
      <c r="A984" s="5" t="s">
        <v>45</v>
      </c>
      <c r="B984" s="6">
        <v>40261</v>
      </c>
      <c r="C984" s="5">
        <v>13</v>
      </c>
      <c r="D984" s="5">
        <v>3</v>
      </c>
      <c r="E984" s="5">
        <v>2010</v>
      </c>
      <c r="F984" s="5" t="s">
        <v>34</v>
      </c>
      <c r="G984" s="5" t="s">
        <v>7</v>
      </c>
      <c r="H984" s="7">
        <v>684</v>
      </c>
      <c r="I984" s="7">
        <v>854.96</v>
      </c>
      <c r="J984" s="7">
        <v>170.96000000000004</v>
      </c>
      <c r="K984" s="8">
        <v>0.2499415204678363</v>
      </c>
    </row>
    <row r="985" spans="1:11" x14ac:dyDescent="0.3">
      <c r="A985" s="5" t="s">
        <v>45</v>
      </c>
      <c r="B985" s="6">
        <v>40261</v>
      </c>
      <c r="C985" s="5">
        <v>13</v>
      </c>
      <c r="D985" s="5">
        <v>3</v>
      </c>
      <c r="E985" s="5">
        <v>2010</v>
      </c>
      <c r="F985" s="5" t="s">
        <v>35</v>
      </c>
      <c r="G985" s="5" t="s">
        <v>11</v>
      </c>
      <c r="H985" s="7">
        <v>592.44000000000005</v>
      </c>
      <c r="I985" s="7">
        <v>769.11</v>
      </c>
      <c r="J985" s="7">
        <v>176.66999999999996</v>
      </c>
      <c r="K985" s="8">
        <v>0.29820741340895268</v>
      </c>
    </row>
    <row r="986" spans="1:11" x14ac:dyDescent="0.3">
      <c r="A986" s="5" t="s">
        <v>45</v>
      </c>
      <c r="B986" s="6">
        <v>40261</v>
      </c>
      <c r="C986" s="5">
        <v>13</v>
      </c>
      <c r="D986" s="5">
        <v>3</v>
      </c>
      <c r="E986" s="5">
        <v>2010</v>
      </c>
      <c r="F986" s="5" t="s">
        <v>36</v>
      </c>
      <c r="G986" s="5" t="s">
        <v>11</v>
      </c>
      <c r="H986" s="7">
        <v>166177.63</v>
      </c>
      <c r="I986" s="7">
        <v>170468.87</v>
      </c>
      <c r="J986" s="7">
        <v>4291.2399999999907</v>
      </c>
      <c r="K986" s="8">
        <v>2.5823210982127923E-2</v>
      </c>
    </row>
    <row r="987" spans="1:11" x14ac:dyDescent="0.3">
      <c r="A987" s="5" t="s">
        <v>45</v>
      </c>
      <c r="B987" s="6">
        <v>40261</v>
      </c>
      <c r="C987" s="5">
        <v>13</v>
      </c>
      <c r="D987" s="5">
        <v>3</v>
      </c>
      <c r="E987" s="5">
        <v>2010</v>
      </c>
      <c r="F987" s="5" t="s">
        <v>37</v>
      </c>
      <c r="G987" s="5" t="s">
        <v>11</v>
      </c>
      <c r="H987" s="7">
        <v>178734.04</v>
      </c>
      <c r="I987" s="7">
        <v>195734.03</v>
      </c>
      <c r="J987" s="7">
        <v>16999.989999999991</v>
      </c>
      <c r="K987" s="8">
        <v>9.5113331517600055E-2</v>
      </c>
    </row>
    <row r="988" spans="1:11" x14ac:dyDescent="0.3">
      <c r="A988" s="5" t="s">
        <v>45</v>
      </c>
      <c r="B988" s="6">
        <v>40261</v>
      </c>
      <c r="C988" s="5">
        <v>13</v>
      </c>
      <c r="D988" s="5">
        <v>3</v>
      </c>
      <c r="E988" s="5">
        <v>2010</v>
      </c>
      <c r="F988" s="5" t="s">
        <v>38</v>
      </c>
      <c r="G988" s="5" t="s">
        <v>11</v>
      </c>
      <c r="H988" s="7">
        <v>166528.69</v>
      </c>
      <c r="I988" s="7">
        <v>169218.18</v>
      </c>
      <c r="J988" s="7">
        <v>2689.4899999999907</v>
      </c>
      <c r="K988" s="8">
        <v>1.6150310195798639E-2</v>
      </c>
    </row>
    <row r="989" spans="1:11" x14ac:dyDescent="0.3">
      <c r="A989" s="5" t="s">
        <v>45</v>
      </c>
      <c r="B989" s="6">
        <v>40262</v>
      </c>
      <c r="C989" s="5">
        <v>13</v>
      </c>
      <c r="D989" s="5">
        <v>3</v>
      </c>
      <c r="E989" s="5">
        <v>2010</v>
      </c>
      <c r="F989" s="5" t="s">
        <v>14</v>
      </c>
      <c r="G989" s="5" t="s">
        <v>6</v>
      </c>
      <c r="H989" s="7">
        <v>2928</v>
      </c>
      <c r="I989" s="7">
        <v>3494.99</v>
      </c>
      <c r="J989" s="7">
        <v>566.98999999999978</v>
      </c>
      <c r="K989" s="8">
        <v>0.19364412568306003</v>
      </c>
    </row>
    <row r="990" spans="1:11" x14ac:dyDescent="0.3">
      <c r="A990" s="5" t="s">
        <v>45</v>
      </c>
      <c r="B990" s="6">
        <v>40262</v>
      </c>
      <c r="C990" s="5">
        <v>13</v>
      </c>
      <c r="D990" s="5">
        <v>3</v>
      </c>
      <c r="E990" s="5">
        <v>2010</v>
      </c>
      <c r="F990" s="5" t="s">
        <v>15</v>
      </c>
      <c r="G990" s="5" t="s">
        <v>6</v>
      </c>
      <c r="H990" s="7">
        <v>137716.23000000001</v>
      </c>
      <c r="I990" s="7">
        <v>175233.7</v>
      </c>
      <c r="J990" s="7">
        <v>37517.47</v>
      </c>
      <c r="K990" s="8">
        <v>0.27242591523163245</v>
      </c>
    </row>
    <row r="991" spans="1:11" x14ac:dyDescent="0.3">
      <c r="A991" s="5" t="s">
        <v>45</v>
      </c>
      <c r="B991" s="6">
        <v>40262</v>
      </c>
      <c r="C991" s="5">
        <v>13</v>
      </c>
      <c r="D991" s="5">
        <v>3</v>
      </c>
      <c r="E991" s="5">
        <v>2010</v>
      </c>
      <c r="F991" s="5" t="s">
        <v>16</v>
      </c>
      <c r="G991" s="5" t="s">
        <v>6</v>
      </c>
      <c r="H991" s="7">
        <v>50651.15</v>
      </c>
      <c r="I991" s="7">
        <v>56917.23</v>
      </c>
      <c r="J991" s="7">
        <v>6266.0800000000017</v>
      </c>
      <c r="K991" s="8">
        <v>0.12371051792506195</v>
      </c>
    </row>
    <row r="992" spans="1:11" x14ac:dyDescent="0.3">
      <c r="A992" s="5" t="s">
        <v>45</v>
      </c>
      <c r="B992" s="6">
        <v>40262</v>
      </c>
      <c r="C992" s="5">
        <v>13</v>
      </c>
      <c r="D992" s="5">
        <v>3</v>
      </c>
      <c r="E992" s="5">
        <v>2010</v>
      </c>
      <c r="F992" s="5" t="s">
        <v>17</v>
      </c>
      <c r="G992" s="5" t="s">
        <v>6</v>
      </c>
      <c r="H992" s="7">
        <v>574</v>
      </c>
      <c r="I992" s="7">
        <v>659.88</v>
      </c>
      <c r="J992" s="7">
        <v>85.88</v>
      </c>
      <c r="K992" s="8">
        <v>0.14961672473867596</v>
      </c>
    </row>
    <row r="993" spans="1:11" x14ac:dyDescent="0.3">
      <c r="A993" s="5" t="s">
        <v>45</v>
      </c>
      <c r="B993" s="6">
        <v>40262</v>
      </c>
      <c r="C993" s="5">
        <v>13</v>
      </c>
      <c r="D993" s="5">
        <v>3</v>
      </c>
      <c r="E993" s="5">
        <v>2010</v>
      </c>
      <c r="F993" s="5" t="s">
        <v>18</v>
      </c>
      <c r="G993" s="5" t="s">
        <v>6</v>
      </c>
      <c r="H993" s="7">
        <v>477.87</v>
      </c>
      <c r="I993" s="7">
        <v>550</v>
      </c>
      <c r="J993" s="7">
        <v>72.13</v>
      </c>
      <c r="K993" s="8">
        <v>0.15094063238956201</v>
      </c>
    </row>
    <row r="994" spans="1:11" x14ac:dyDescent="0.3">
      <c r="A994" s="5" t="s">
        <v>45</v>
      </c>
      <c r="B994" s="6">
        <v>40262</v>
      </c>
      <c r="C994" s="5">
        <v>13</v>
      </c>
      <c r="D994" s="5">
        <v>3</v>
      </c>
      <c r="E994" s="5">
        <v>2010</v>
      </c>
      <c r="F994" s="5" t="s">
        <v>19</v>
      </c>
      <c r="G994" s="5" t="s">
        <v>5</v>
      </c>
      <c r="H994" s="7">
        <v>119132.73</v>
      </c>
      <c r="I994" s="7">
        <v>129388.96</v>
      </c>
      <c r="J994" s="7">
        <v>10256.23000000001</v>
      </c>
      <c r="K994" s="8">
        <v>8.6090782944368102E-2</v>
      </c>
    </row>
    <row r="995" spans="1:11" x14ac:dyDescent="0.3">
      <c r="A995" s="5" t="s">
        <v>45</v>
      </c>
      <c r="B995" s="6">
        <v>40262</v>
      </c>
      <c r="C995" s="5">
        <v>13</v>
      </c>
      <c r="D995" s="5">
        <v>3</v>
      </c>
      <c r="E995" s="5">
        <v>2010</v>
      </c>
      <c r="F995" s="5" t="s">
        <v>5</v>
      </c>
      <c r="G995" s="5" t="s">
        <v>5</v>
      </c>
      <c r="H995" s="7">
        <v>343285.08</v>
      </c>
      <c r="I995" s="7">
        <v>363855.57</v>
      </c>
      <c r="J995" s="7">
        <v>20570.489999999991</v>
      </c>
      <c r="K995" s="8">
        <v>5.9922470268734047E-2</v>
      </c>
    </row>
    <row r="996" spans="1:11" x14ac:dyDescent="0.3">
      <c r="A996" s="5" t="s">
        <v>45</v>
      </c>
      <c r="B996" s="6">
        <v>40262</v>
      </c>
      <c r="C996" s="5">
        <v>13</v>
      </c>
      <c r="D996" s="5">
        <v>3</v>
      </c>
      <c r="E996" s="5">
        <v>2010</v>
      </c>
      <c r="F996" s="5" t="s">
        <v>20</v>
      </c>
      <c r="G996" s="5" t="s">
        <v>5</v>
      </c>
      <c r="H996" s="7">
        <v>65553.039999999994</v>
      </c>
      <c r="I996" s="7">
        <v>73115.19</v>
      </c>
      <c r="J996" s="7">
        <v>7562.1500000000087</v>
      </c>
      <c r="K996" s="8">
        <v>0.11535925717556363</v>
      </c>
    </row>
    <row r="997" spans="1:11" x14ac:dyDescent="0.3">
      <c r="A997" s="5" t="s">
        <v>45</v>
      </c>
      <c r="B997" s="6">
        <v>40262</v>
      </c>
      <c r="C997" s="5">
        <v>13</v>
      </c>
      <c r="D997" s="5">
        <v>3</v>
      </c>
      <c r="E997" s="5">
        <v>2010</v>
      </c>
      <c r="F997" s="5" t="s">
        <v>21</v>
      </c>
      <c r="G997" s="5" t="s">
        <v>5</v>
      </c>
      <c r="H997" s="7">
        <v>104763.61</v>
      </c>
      <c r="I997" s="7">
        <v>114502.56</v>
      </c>
      <c r="J997" s="7">
        <v>9738.9499999999971</v>
      </c>
      <c r="K997" s="8">
        <v>9.2961191390789191E-2</v>
      </c>
    </row>
    <row r="998" spans="1:11" x14ac:dyDescent="0.3">
      <c r="A998" s="5" t="s">
        <v>45</v>
      </c>
      <c r="B998" s="6">
        <v>40262</v>
      </c>
      <c r="C998" s="5">
        <v>13</v>
      </c>
      <c r="D998" s="5">
        <v>3</v>
      </c>
      <c r="E998" s="5">
        <v>2010</v>
      </c>
      <c r="F998" s="5" t="s">
        <v>22</v>
      </c>
      <c r="G998" s="5" t="s">
        <v>8</v>
      </c>
      <c r="H998" s="7">
        <v>124503.99</v>
      </c>
      <c r="I998" s="7">
        <v>137447.24</v>
      </c>
      <c r="J998" s="7">
        <v>12943.249999999985</v>
      </c>
      <c r="K998" s="8">
        <v>0.10395851570700654</v>
      </c>
    </row>
    <row r="999" spans="1:11" x14ac:dyDescent="0.3">
      <c r="A999" s="5" t="s">
        <v>45</v>
      </c>
      <c r="B999" s="6">
        <v>40262</v>
      </c>
      <c r="C999" s="5">
        <v>13</v>
      </c>
      <c r="D999" s="5">
        <v>3</v>
      </c>
      <c r="E999" s="5">
        <v>2010</v>
      </c>
      <c r="F999" s="5" t="s">
        <v>23</v>
      </c>
      <c r="G999" s="5" t="s">
        <v>8</v>
      </c>
      <c r="H999" s="7">
        <v>129473.2</v>
      </c>
      <c r="I999" s="7">
        <v>134755.06</v>
      </c>
      <c r="J999" s="7">
        <v>5281.8600000000006</v>
      </c>
      <c r="K999" s="8">
        <v>4.0795006225226541E-2</v>
      </c>
    </row>
    <row r="1000" spans="1:11" x14ac:dyDescent="0.3">
      <c r="A1000" s="5" t="s">
        <v>45</v>
      </c>
      <c r="B1000" s="6">
        <v>40262</v>
      </c>
      <c r="C1000" s="5">
        <v>13</v>
      </c>
      <c r="D1000" s="5">
        <v>3</v>
      </c>
      <c r="E1000" s="5">
        <v>2010</v>
      </c>
      <c r="F1000" s="5" t="s">
        <v>24</v>
      </c>
      <c r="G1000" s="5" t="s">
        <v>8</v>
      </c>
      <c r="H1000" s="7">
        <v>65195</v>
      </c>
      <c r="I1000" s="7">
        <v>68019.360000000001</v>
      </c>
      <c r="J1000" s="7">
        <v>2824.3600000000006</v>
      </c>
      <c r="K1000" s="8">
        <v>4.3321727126313374E-2</v>
      </c>
    </row>
    <row r="1001" spans="1:11" x14ac:dyDescent="0.3">
      <c r="A1001" s="5" t="s">
        <v>45</v>
      </c>
      <c r="B1001" s="6">
        <v>40262</v>
      </c>
      <c r="C1001" s="5">
        <v>13</v>
      </c>
      <c r="D1001" s="5">
        <v>3</v>
      </c>
      <c r="E1001" s="5">
        <v>2010</v>
      </c>
      <c r="F1001" s="5" t="s">
        <v>25</v>
      </c>
      <c r="G1001" s="5" t="s">
        <v>8</v>
      </c>
      <c r="H1001" s="7">
        <v>13276.8</v>
      </c>
      <c r="I1001" s="7">
        <v>14766.81</v>
      </c>
      <c r="J1001" s="7">
        <v>1490.0100000000002</v>
      </c>
      <c r="K1001" s="8">
        <v>0.1122265907447578</v>
      </c>
    </row>
    <row r="1002" spans="1:11" x14ac:dyDescent="0.3">
      <c r="A1002" s="5" t="s">
        <v>45</v>
      </c>
      <c r="B1002" s="6">
        <v>40262</v>
      </c>
      <c r="C1002" s="5">
        <v>13</v>
      </c>
      <c r="D1002" s="5">
        <v>3</v>
      </c>
      <c r="E1002" s="5">
        <v>2010</v>
      </c>
      <c r="F1002" s="5" t="s">
        <v>26</v>
      </c>
      <c r="G1002" s="5" t="s">
        <v>10</v>
      </c>
      <c r="H1002" s="7">
        <v>4626.28</v>
      </c>
      <c r="I1002" s="7">
        <v>5299.62</v>
      </c>
      <c r="J1002" s="7">
        <v>673.34000000000015</v>
      </c>
      <c r="K1002" s="8">
        <v>0.14554674598165268</v>
      </c>
    </row>
    <row r="1003" spans="1:11" x14ac:dyDescent="0.3">
      <c r="A1003" s="5" t="s">
        <v>45</v>
      </c>
      <c r="B1003" s="6">
        <v>40262</v>
      </c>
      <c r="C1003" s="5">
        <v>13</v>
      </c>
      <c r="D1003" s="5">
        <v>3</v>
      </c>
      <c r="E1003" s="5">
        <v>2010</v>
      </c>
      <c r="F1003" s="5" t="s">
        <v>27</v>
      </c>
      <c r="G1003" s="5" t="s">
        <v>10</v>
      </c>
      <c r="H1003" s="7">
        <v>81166.789999999994</v>
      </c>
      <c r="I1003" s="7">
        <v>91300.92</v>
      </c>
      <c r="J1003" s="7">
        <v>10134.130000000005</v>
      </c>
      <c r="K1003" s="8">
        <v>0.12485562136928176</v>
      </c>
    </row>
    <row r="1004" spans="1:11" x14ac:dyDescent="0.3">
      <c r="A1004" s="5" t="s">
        <v>45</v>
      </c>
      <c r="B1004" s="6">
        <v>40262</v>
      </c>
      <c r="C1004" s="5">
        <v>13</v>
      </c>
      <c r="D1004" s="5">
        <v>3</v>
      </c>
      <c r="E1004" s="5">
        <v>2010</v>
      </c>
      <c r="F1004" s="5" t="s">
        <v>28</v>
      </c>
      <c r="G1004" s="5" t="s">
        <v>10</v>
      </c>
      <c r="H1004" s="7">
        <v>93758.22</v>
      </c>
      <c r="I1004" s="7">
        <v>106001.38</v>
      </c>
      <c r="J1004" s="7">
        <v>12243.160000000003</v>
      </c>
      <c r="K1004" s="8">
        <v>0.13058225721435415</v>
      </c>
    </row>
    <row r="1005" spans="1:11" x14ac:dyDescent="0.3">
      <c r="A1005" s="5" t="s">
        <v>45</v>
      </c>
      <c r="B1005" s="6">
        <v>40262</v>
      </c>
      <c r="C1005" s="5">
        <v>13</v>
      </c>
      <c r="D1005" s="5">
        <v>3</v>
      </c>
      <c r="E1005" s="5">
        <v>2010</v>
      </c>
      <c r="F1005" s="5" t="s">
        <v>29</v>
      </c>
      <c r="G1005" s="5" t="s">
        <v>10</v>
      </c>
      <c r="H1005" s="7">
        <v>306728</v>
      </c>
      <c r="I1005" s="7">
        <v>332681.09999999998</v>
      </c>
      <c r="J1005" s="7">
        <v>25953.099999999977</v>
      </c>
      <c r="K1005" s="8">
        <v>8.4612751362770855E-2</v>
      </c>
    </row>
    <row r="1006" spans="1:11" x14ac:dyDescent="0.3">
      <c r="A1006" s="5" t="s">
        <v>45</v>
      </c>
      <c r="B1006" s="6">
        <v>40262</v>
      </c>
      <c r="C1006" s="5">
        <v>13</v>
      </c>
      <c r="D1006" s="5">
        <v>3</v>
      </c>
      <c r="E1006" s="5">
        <v>2010</v>
      </c>
      <c r="F1006" s="5" t="s">
        <v>30</v>
      </c>
      <c r="G1006" s="5" t="s">
        <v>10</v>
      </c>
      <c r="H1006" s="7">
        <v>41119.040000000001</v>
      </c>
      <c r="I1006" s="7">
        <v>46114.83</v>
      </c>
      <c r="J1006" s="7">
        <v>4995.7900000000009</v>
      </c>
      <c r="K1006" s="8">
        <v>0.12149578394826341</v>
      </c>
    </row>
    <row r="1007" spans="1:11" x14ac:dyDescent="0.3">
      <c r="A1007" s="5" t="s">
        <v>45</v>
      </c>
      <c r="B1007" s="6">
        <v>40262</v>
      </c>
      <c r="C1007" s="5">
        <v>13</v>
      </c>
      <c r="D1007" s="5">
        <v>3</v>
      </c>
      <c r="E1007" s="5">
        <v>2010</v>
      </c>
      <c r="F1007" s="5" t="s">
        <v>31</v>
      </c>
      <c r="G1007" s="5" t="s">
        <v>7</v>
      </c>
      <c r="H1007" s="7">
        <v>19074.63</v>
      </c>
      <c r="I1007" s="7">
        <v>24963.19</v>
      </c>
      <c r="J1007" s="7">
        <v>5888.5599999999977</v>
      </c>
      <c r="K1007" s="8">
        <v>0.30871162376413053</v>
      </c>
    </row>
    <row r="1008" spans="1:11" x14ac:dyDescent="0.3">
      <c r="A1008" s="5" t="s">
        <v>45</v>
      </c>
      <c r="B1008" s="6">
        <v>40262</v>
      </c>
      <c r="C1008" s="5">
        <v>13</v>
      </c>
      <c r="D1008" s="5">
        <v>3</v>
      </c>
      <c r="E1008" s="5">
        <v>2010</v>
      </c>
      <c r="F1008" s="5" t="s">
        <v>32</v>
      </c>
      <c r="G1008" s="5" t="s">
        <v>7</v>
      </c>
      <c r="H1008" s="7">
        <v>11408.78</v>
      </c>
      <c r="I1008" s="7">
        <v>13117.87</v>
      </c>
      <c r="J1008" s="7">
        <v>1709.0900000000001</v>
      </c>
      <c r="K1008" s="8">
        <v>0.14980479946146741</v>
      </c>
    </row>
    <row r="1009" spans="1:11" x14ac:dyDescent="0.3">
      <c r="A1009" s="5" t="s">
        <v>45</v>
      </c>
      <c r="B1009" s="6">
        <v>40262</v>
      </c>
      <c r="C1009" s="5">
        <v>13</v>
      </c>
      <c r="D1009" s="5">
        <v>3</v>
      </c>
      <c r="E1009" s="5">
        <v>2010</v>
      </c>
      <c r="F1009" s="5" t="s">
        <v>33</v>
      </c>
      <c r="G1009" s="5" t="s">
        <v>7</v>
      </c>
      <c r="H1009" s="7">
        <v>138794.01999999999</v>
      </c>
      <c r="I1009" s="7">
        <v>195821.67</v>
      </c>
      <c r="J1009" s="7">
        <v>57027.650000000023</v>
      </c>
      <c r="K1009" s="8">
        <v>0.41087973386749682</v>
      </c>
    </row>
    <row r="1010" spans="1:11" x14ac:dyDescent="0.3">
      <c r="A1010" s="5" t="s">
        <v>45</v>
      </c>
      <c r="B1010" s="6">
        <v>40262</v>
      </c>
      <c r="C1010" s="5">
        <v>13</v>
      </c>
      <c r="D1010" s="5">
        <v>3</v>
      </c>
      <c r="E1010" s="5">
        <v>2010</v>
      </c>
      <c r="F1010" s="5" t="s">
        <v>34</v>
      </c>
      <c r="G1010" s="5" t="s">
        <v>7</v>
      </c>
      <c r="H1010" s="7">
        <v>228</v>
      </c>
      <c r="I1010" s="7">
        <v>284.95</v>
      </c>
      <c r="J1010" s="7">
        <v>56.949999999999989</v>
      </c>
      <c r="K1010" s="8">
        <v>0.24978070175438591</v>
      </c>
    </row>
    <row r="1011" spans="1:11" x14ac:dyDescent="0.3">
      <c r="A1011" s="5" t="s">
        <v>45</v>
      </c>
      <c r="B1011" s="6">
        <v>40262</v>
      </c>
      <c r="C1011" s="5">
        <v>13</v>
      </c>
      <c r="D1011" s="5">
        <v>3</v>
      </c>
      <c r="E1011" s="5">
        <v>2010</v>
      </c>
      <c r="F1011" s="5" t="s">
        <v>35</v>
      </c>
      <c r="G1011" s="5" t="s">
        <v>11</v>
      </c>
      <c r="H1011" s="7">
        <v>911.52</v>
      </c>
      <c r="I1011" s="7">
        <v>1184.7</v>
      </c>
      <c r="J1011" s="7">
        <v>273.18000000000006</v>
      </c>
      <c r="K1011" s="8">
        <v>0.29969720905739872</v>
      </c>
    </row>
    <row r="1012" spans="1:11" x14ac:dyDescent="0.3">
      <c r="A1012" s="5" t="s">
        <v>45</v>
      </c>
      <c r="B1012" s="6">
        <v>40262</v>
      </c>
      <c r="C1012" s="5">
        <v>13</v>
      </c>
      <c r="D1012" s="5">
        <v>3</v>
      </c>
      <c r="E1012" s="5">
        <v>2010</v>
      </c>
      <c r="F1012" s="5" t="s">
        <v>36</v>
      </c>
      <c r="G1012" s="5" t="s">
        <v>11</v>
      </c>
      <c r="H1012" s="7">
        <v>66046.39</v>
      </c>
      <c r="I1012" s="7">
        <v>71452.92</v>
      </c>
      <c r="J1012" s="7">
        <v>5406.5299999999988</v>
      </c>
      <c r="K1012" s="8">
        <v>8.1859583847050513E-2</v>
      </c>
    </row>
    <row r="1013" spans="1:11" x14ac:dyDescent="0.3">
      <c r="A1013" s="5" t="s">
        <v>45</v>
      </c>
      <c r="B1013" s="6">
        <v>40262</v>
      </c>
      <c r="C1013" s="5">
        <v>13</v>
      </c>
      <c r="D1013" s="5">
        <v>3</v>
      </c>
      <c r="E1013" s="5">
        <v>2010</v>
      </c>
      <c r="F1013" s="5" t="s">
        <v>37</v>
      </c>
      <c r="G1013" s="5" t="s">
        <v>11</v>
      </c>
      <c r="H1013" s="7">
        <v>115470.76</v>
      </c>
      <c r="I1013" s="7">
        <v>125944.98</v>
      </c>
      <c r="J1013" s="7">
        <v>10474.220000000001</v>
      </c>
      <c r="K1013" s="8">
        <v>9.0708851314393366E-2</v>
      </c>
    </row>
    <row r="1014" spans="1:11" x14ac:dyDescent="0.3">
      <c r="A1014" s="5" t="s">
        <v>45</v>
      </c>
      <c r="B1014" s="6">
        <v>40262</v>
      </c>
      <c r="C1014" s="5">
        <v>13</v>
      </c>
      <c r="D1014" s="5">
        <v>3</v>
      </c>
      <c r="E1014" s="5">
        <v>2010</v>
      </c>
      <c r="F1014" s="5" t="s">
        <v>38</v>
      </c>
      <c r="G1014" s="5" t="s">
        <v>11</v>
      </c>
      <c r="H1014" s="7">
        <v>88909.81</v>
      </c>
      <c r="I1014" s="7">
        <v>93534.92</v>
      </c>
      <c r="J1014" s="7">
        <v>4625.1100000000006</v>
      </c>
      <c r="K1014" s="8">
        <v>5.2020243885348545E-2</v>
      </c>
    </row>
    <row r="1015" spans="1:11" x14ac:dyDescent="0.3">
      <c r="A1015" s="5" t="s">
        <v>45</v>
      </c>
      <c r="B1015" s="6">
        <v>40263</v>
      </c>
      <c r="C1015" s="5">
        <v>13</v>
      </c>
      <c r="D1015" s="5">
        <v>3</v>
      </c>
      <c r="E1015" s="5">
        <v>2010</v>
      </c>
      <c r="F1015" s="5" t="s">
        <v>14</v>
      </c>
      <c r="G1015" s="5" t="s">
        <v>6</v>
      </c>
      <c r="H1015" s="7">
        <v>4526.8100000000004</v>
      </c>
      <c r="I1015" s="7">
        <v>6099.33</v>
      </c>
      <c r="J1015" s="7">
        <v>1572.5199999999995</v>
      </c>
      <c r="K1015" s="8">
        <v>0.34737928033206594</v>
      </c>
    </row>
    <row r="1016" spans="1:11" x14ac:dyDescent="0.3">
      <c r="A1016" s="5" t="s">
        <v>45</v>
      </c>
      <c r="B1016" s="6">
        <v>40263</v>
      </c>
      <c r="C1016" s="5">
        <v>13</v>
      </c>
      <c r="D1016" s="5">
        <v>3</v>
      </c>
      <c r="E1016" s="5">
        <v>2010</v>
      </c>
      <c r="F1016" s="5" t="s">
        <v>15</v>
      </c>
      <c r="G1016" s="5" t="s">
        <v>6</v>
      </c>
      <c r="H1016" s="7">
        <v>140070.71</v>
      </c>
      <c r="I1016" s="7">
        <v>194367.45</v>
      </c>
      <c r="J1016" s="7">
        <v>54296.74000000002</v>
      </c>
      <c r="K1016" s="8">
        <v>0.38763807222794844</v>
      </c>
    </row>
    <row r="1017" spans="1:11" x14ac:dyDescent="0.3">
      <c r="A1017" s="5" t="s">
        <v>45</v>
      </c>
      <c r="B1017" s="6">
        <v>40263</v>
      </c>
      <c r="C1017" s="5">
        <v>13</v>
      </c>
      <c r="D1017" s="5">
        <v>3</v>
      </c>
      <c r="E1017" s="5">
        <v>2010</v>
      </c>
      <c r="F1017" s="5" t="s">
        <v>16</v>
      </c>
      <c r="G1017" s="5" t="s">
        <v>6</v>
      </c>
      <c r="H1017" s="7">
        <v>68876.210000000006</v>
      </c>
      <c r="I1017" s="7">
        <v>77587.7</v>
      </c>
      <c r="J1017" s="7">
        <v>8711.4899999999907</v>
      </c>
      <c r="K1017" s="8">
        <v>0.12648039141526501</v>
      </c>
    </row>
    <row r="1018" spans="1:11" x14ac:dyDescent="0.3">
      <c r="A1018" s="5" t="s">
        <v>45</v>
      </c>
      <c r="B1018" s="6">
        <v>40263</v>
      </c>
      <c r="C1018" s="5">
        <v>13</v>
      </c>
      <c r="D1018" s="5">
        <v>3</v>
      </c>
      <c r="E1018" s="5">
        <v>2010</v>
      </c>
      <c r="F1018" s="5" t="s">
        <v>18</v>
      </c>
      <c r="G1018" s="5" t="s">
        <v>6</v>
      </c>
      <c r="H1018" s="7">
        <v>294</v>
      </c>
      <c r="I1018" s="7">
        <v>337.85</v>
      </c>
      <c r="J1018" s="7">
        <v>43.850000000000023</v>
      </c>
      <c r="K1018" s="8">
        <v>0.14914965986394566</v>
      </c>
    </row>
    <row r="1019" spans="1:11" x14ac:dyDescent="0.3">
      <c r="A1019" s="5" t="s">
        <v>45</v>
      </c>
      <c r="B1019" s="6">
        <v>40263</v>
      </c>
      <c r="C1019" s="5">
        <v>13</v>
      </c>
      <c r="D1019" s="5">
        <v>3</v>
      </c>
      <c r="E1019" s="5">
        <v>2010</v>
      </c>
      <c r="F1019" s="5" t="s">
        <v>19</v>
      </c>
      <c r="G1019" s="5" t="s">
        <v>5</v>
      </c>
      <c r="H1019" s="7">
        <v>129697.15</v>
      </c>
      <c r="I1019" s="7">
        <v>141977.88</v>
      </c>
      <c r="J1019" s="7">
        <v>12280.73000000001</v>
      </c>
      <c r="K1019" s="8">
        <v>9.4687739861670131E-2</v>
      </c>
    </row>
    <row r="1020" spans="1:11" x14ac:dyDescent="0.3">
      <c r="A1020" s="5" t="s">
        <v>45</v>
      </c>
      <c r="B1020" s="6">
        <v>40263</v>
      </c>
      <c r="C1020" s="5">
        <v>13</v>
      </c>
      <c r="D1020" s="5">
        <v>3</v>
      </c>
      <c r="E1020" s="5">
        <v>2010</v>
      </c>
      <c r="F1020" s="5" t="s">
        <v>5</v>
      </c>
      <c r="G1020" s="5" t="s">
        <v>5</v>
      </c>
      <c r="H1020" s="7">
        <v>350496.07</v>
      </c>
      <c r="I1020" s="7">
        <v>373699.3</v>
      </c>
      <c r="J1020" s="7">
        <v>23203.229999999981</v>
      </c>
      <c r="K1020" s="8">
        <v>6.6201113182239049E-2</v>
      </c>
    </row>
    <row r="1021" spans="1:11" x14ac:dyDescent="0.3">
      <c r="A1021" s="5" t="s">
        <v>45</v>
      </c>
      <c r="B1021" s="6">
        <v>40263</v>
      </c>
      <c r="C1021" s="5">
        <v>13</v>
      </c>
      <c r="D1021" s="5">
        <v>3</v>
      </c>
      <c r="E1021" s="5">
        <v>2010</v>
      </c>
      <c r="F1021" s="5" t="s">
        <v>20</v>
      </c>
      <c r="G1021" s="5" t="s">
        <v>5</v>
      </c>
      <c r="H1021" s="7">
        <v>81288.97</v>
      </c>
      <c r="I1021" s="7">
        <v>89791.18</v>
      </c>
      <c r="J1021" s="7">
        <v>8502.2099999999919</v>
      </c>
      <c r="K1021" s="8">
        <v>0.10459241887306472</v>
      </c>
    </row>
    <row r="1022" spans="1:11" x14ac:dyDescent="0.3">
      <c r="A1022" s="5" t="s">
        <v>45</v>
      </c>
      <c r="B1022" s="6">
        <v>40263</v>
      </c>
      <c r="C1022" s="5">
        <v>13</v>
      </c>
      <c r="D1022" s="5">
        <v>3</v>
      </c>
      <c r="E1022" s="5">
        <v>2010</v>
      </c>
      <c r="F1022" s="5" t="s">
        <v>21</v>
      </c>
      <c r="G1022" s="5" t="s">
        <v>5</v>
      </c>
      <c r="H1022" s="7">
        <v>130995.29</v>
      </c>
      <c r="I1022" s="7">
        <v>143357.10999999999</v>
      </c>
      <c r="J1022" s="7">
        <v>12361.819999999992</v>
      </c>
      <c r="K1022" s="8">
        <v>9.4368431109240591E-2</v>
      </c>
    </row>
    <row r="1023" spans="1:11" x14ac:dyDescent="0.3">
      <c r="A1023" s="5" t="s">
        <v>45</v>
      </c>
      <c r="B1023" s="6">
        <v>40263</v>
      </c>
      <c r="C1023" s="5">
        <v>13</v>
      </c>
      <c r="D1023" s="5">
        <v>3</v>
      </c>
      <c r="E1023" s="5">
        <v>2010</v>
      </c>
      <c r="F1023" s="5" t="s">
        <v>22</v>
      </c>
      <c r="G1023" s="5" t="s">
        <v>8</v>
      </c>
      <c r="H1023" s="7">
        <v>250530.14</v>
      </c>
      <c r="I1023" s="7">
        <v>273973.98</v>
      </c>
      <c r="J1023" s="7">
        <v>23443.839999999967</v>
      </c>
      <c r="K1023" s="8">
        <v>9.3576924516946214E-2</v>
      </c>
    </row>
    <row r="1024" spans="1:11" x14ac:dyDescent="0.3">
      <c r="A1024" s="5" t="s">
        <v>45</v>
      </c>
      <c r="B1024" s="6">
        <v>40263</v>
      </c>
      <c r="C1024" s="5">
        <v>13</v>
      </c>
      <c r="D1024" s="5">
        <v>3</v>
      </c>
      <c r="E1024" s="5">
        <v>2010</v>
      </c>
      <c r="F1024" s="5" t="s">
        <v>23</v>
      </c>
      <c r="G1024" s="5" t="s">
        <v>8</v>
      </c>
      <c r="H1024" s="7">
        <v>172090.9</v>
      </c>
      <c r="I1024" s="7">
        <v>177957.8</v>
      </c>
      <c r="J1024" s="7">
        <v>5866.8999999999942</v>
      </c>
      <c r="K1024" s="8">
        <v>3.4091866565867192E-2</v>
      </c>
    </row>
    <row r="1025" spans="1:11" x14ac:dyDescent="0.3">
      <c r="A1025" s="5" t="s">
        <v>45</v>
      </c>
      <c r="B1025" s="6">
        <v>40263</v>
      </c>
      <c r="C1025" s="5">
        <v>13</v>
      </c>
      <c r="D1025" s="5">
        <v>3</v>
      </c>
      <c r="E1025" s="5">
        <v>2010</v>
      </c>
      <c r="F1025" s="5" t="s">
        <v>24</v>
      </c>
      <c r="G1025" s="5" t="s">
        <v>8</v>
      </c>
      <c r="H1025" s="7">
        <v>90523</v>
      </c>
      <c r="I1025" s="7">
        <v>93414.34</v>
      </c>
      <c r="J1025" s="7">
        <v>2891.3399999999965</v>
      </c>
      <c r="K1025" s="8">
        <v>3.1940390839897005E-2</v>
      </c>
    </row>
    <row r="1026" spans="1:11" x14ac:dyDescent="0.3">
      <c r="A1026" s="5" t="s">
        <v>45</v>
      </c>
      <c r="B1026" s="6">
        <v>40263</v>
      </c>
      <c r="C1026" s="5">
        <v>13</v>
      </c>
      <c r="D1026" s="5">
        <v>3</v>
      </c>
      <c r="E1026" s="5">
        <v>2010</v>
      </c>
      <c r="F1026" s="5" t="s">
        <v>25</v>
      </c>
      <c r="G1026" s="5" t="s">
        <v>8</v>
      </c>
      <c r="H1026" s="7">
        <v>20202.25</v>
      </c>
      <c r="I1026" s="7">
        <v>21969.66</v>
      </c>
      <c r="J1026" s="7">
        <v>1767.4099999999999</v>
      </c>
      <c r="K1026" s="8">
        <v>8.7485799849026713E-2</v>
      </c>
    </row>
    <row r="1027" spans="1:11" x14ac:dyDescent="0.3">
      <c r="A1027" s="5" t="s">
        <v>45</v>
      </c>
      <c r="B1027" s="6">
        <v>40263</v>
      </c>
      <c r="C1027" s="5">
        <v>13</v>
      </c>
      <c r="D1027" s="5">
        <v>3</v>
      </c>
      <c r="E1027" s="5">
        <v>2010</v>
      </c>
      <c r="F1027" s="5" t="s">
        <v>26</v>
      </c>
      <c r="G1027" s="5" t="s">
        <v>10</v>
      </c>
      <c r="H1027" s="7">
        <v>4704.3100000000004</v>
      </c>
      <c r="I1027" s="7">
        <v>5267.05</v>
      </c>
      <c r="J1027" s="7">
        <v>562.73999999999978</v>
      </c>
      <c r="K1027" s="8">
        <v>0.11962221877384775</v>
      </c>
    </row>
    <row r="1028" spans="1:11" x14ac:dyDescent="0.3">
      <c r="A1028" s="5" t="s">
        <v>45</v>
      </c>
      <c r="B1028" s="6">
        <v>40263</v>
      </c>
      <c r="C1028" s="5">
        <v>13</v>
      </c>
      <c r="D1028" s="5">
        <v>3</v>
      </c>
      <c r="E1028" s="5">
        <v>2010</v>
      </c>
      <c r="F1028" s="5" t="s">
        <v>27</v>
      </c>
      <c r="G1028" s="5" t="s">
        <v>10</v>
      </c>
      <c r="H1028" s="7">
        <v>127603.89</v>
      </c>
      <c r="I1028" s="7">
        <v>145112.57999999999</v>
      </c>
      <c r="J1028" s="7">
        <v>17508.689999999988</v>
      </c>
      <c r="K1028" s="8">
        <v>0.13721125586375138</v>
      </c>
    </row>
    <row r="1029" spans="1:11" x14ac:dyDescent="0.3">
      <c r="A1029" s="5" t="s">
        <v>45</v>
      </c>
      <c r="B1029" s="6">
        <v>40263</v>
      </c>
      <c r="C1029" s="5">
        <v>13</v>
      </c>
      <c r="D1029" s="5">
        <v>3</v>
      </c>
      <c r="E1029" s="5">
        <v>2010</v>
      </c>
      <c r="F1029" s="5" t="s">
        <v>28</v>
      </c>
      <c r="G1029" s="5" t="s">
        <v>10</v>
      </c>
      <c r="H1029" s="7">
        <v>77985.8</v>
      </c>
      <c r="I1029" s="7">
        <v>89034.97</v>
      </c>
      <c r="J1029" s="7">
        <v>11049.169999999998</v>
      </c>
      <c r="K1029" s="8">
        <v>0.14168181899781751</v>
      </c>
    </row>
    <row r="1030" spans="1:11" x14ac:dyDescent="0.3">
      <c r="A1030" s="5" t="s">
        <v>45</v>
      </c>
      <c r="B1030" s="6">
        <v>40263</v>
      </c>
      <c r="C1030" s="5">
        <v>13</v>
      </c>
      <c r="D1030" s="5">
        <v>3</v>
      </c>
      <c r="E1030" s="5">
        <v>2010</v>
      </c>
      <c r="F1030" s="5" t="s">
        <v>29</v>
      </c>
      <c r="G1030" s="5" t="s">
        <v>10</v>
      </c>
      <c r="H1030" s="7">
        <v>425814.33</v>
      </c>
      <c r="I1030" s="7">
        <v>458315.41</v>
      </c>
      <c r="J1030" s="7">
        <v>32501.079999999958</v>
      </c>
      <c r="K1030" s="8">
        <v>7.6326881718611864E-2</v>
      </c>
    </row>
    <row r="1031" spans="1:11" x14ac:dyDescent="0.3">
      <c r="A1031" s="5" t="s">
        <v>45</v>
      </c>
      <c r="B1031" s="6">
        <v>40263</v>
      </c>
      <c r="C1031" s="5">
        <v>13</v>
      </c>
      <c r="D1031" s="5">
        <v>3</v>
      </c>
      <c r="E1031" s="5">
        <v>2010</v>
      </c>
      <c r="F1031" s="5" t="s">
        <v>30</v>
      </c>
      <c r="G1031" s="5" t="s">
        <v>10</v>
      </c>
      <c r="H1031" s="7">
        <v>32772</v>
      </c>
      <c r="I1031" s="7">
        <v>36099.54</v>
      </c>
      <c r="J1031" s="7">
        <v>3327.5400000000009</v>
      </c>
      <c r="K1031" s="8">
        <v>0.10153606737458809</v>
      </c>
    </row>
    <row r="1032" spans="1:11" x14ac:dyDescent="0.3">
      <c r="A1032" s="5" t="s">
        <v>45</v>
      </c>
      <c r="B1032" s="6">
        <v>40263</v>
      </c>
      <c r="C1032" s="5">
        <v>13</v>
      </c>
      <c r="D1032" s="5">
        <v>3</v>
      </c>
      <c r="E1032" s="5">
        <v>2010</v>
      </c>
      <c r="F1032" s="5" t="s">
        <v>31</v>
      </c>
      <c r="G1032" s="5" t="s">
        <v>7</v>
      </c>
      <c r="H1032" s="7">
        <v>18544.38</v>
      </c>
      <c r="I1032" s="7">
        <v>21684</v>
      </c>
      <c r="J1032" s="7">
        <v>3139.619999999999</v>
      </c>
      <c r="K1032" s="8">
        <v>0.16930304491171982</v>
      </c>
    </row>
    <row r="1033" spans="1:11" x14ac:dyDescent="0.3">
      <c r="A1033" s="5" t="s">
        <v>45</v>
      </c>
      <c r="B1033" s="6">
        <v>40263</v>
      </c>
      <c r="C1033" s="5">
        <v>13</v>
      </c>
      <c r="D1033" s="5">
        <v>3</v>
      </c>
      <c r="E1033" s="5">
        <v>2010</v>
      </c>
      <c r="F1033" s="5" t="s">
        <v>32</v>
      </c>
      <c r="G1033" s="5" t="s">
        <v>7</v>
      </c>
      <c r="H1033" s="7">
        <v>17158.63</v>
      </c>
      <c r="I1033" s="7">
        <v>19728.259999999998</v>
      </c>
      <c r="J1033" s="7">
        <v>2569.6299999999974</v>
      </c>
      <c r="K1033" s="8">
        <v>0.14975729414294714</v>
      </c>
    </row>
    <row r="1034" spans="1:11" x14ac:dyDescent="0.3">
      <c r="A1034" s="5" t="s">
        <v>45</v>
      </c>
      <c r="B1034" s="6">
        <v>40263</v>
      </c>
      <c r="C1034" s="5">
        <v>13</v>
      </c>
      <c r="D1034" s="5">
        <v>3</v>
      </c>
      <c r="E1034" s="5">
        <v>2010</v>
      </c>
      <c r="F1034" s="5" t="s">
        <v>33</v>
      </c>
      <c r="G1034" s="5" t="s">
        <v>7</v>
      </c>
      <c r="H1034" s="7">
        <v>170795.49</v>
      </c>
      <c r="I1034" s="7">
        <v>239645.55</v>
      </c>
      <c r="J1034" s="7">
        <v>68850.06</v>
      </c>
      <c r="K1034" s="8">
        <v>0.40311404007213542</v>
      </c>
    </row>
    <row r="1035" spans="1:11" x14ac:dyDescent="0.3">
      <c r="A1035" s="5" t="s">
        <v>45</v>
      </c>
      <c r="B1035" s="6">
        <v>40263</v>
      </c>
      <c r="C1035" s="5">
        <v>13</v>
      </c>
      <c r="D1035" s="5">
        <v>3</v>
      </c>
      <c r="E1035" s="5">
        <v>2010</v>
      </c>
      <c r="F1035" s="5" t="s">
        <v>34</v>
      </c>
      <c r="G1035" s="5" t="s">
        <v>7</v>
      </c>
      <c r="H1035" s="7">
        <v>912</v>
      </c>
      <c r="I1035" s="7">
        <v>1139.98</v>
      </c>
      <c r="J1035" s="7">
        <v>227.98000000000002</v>
      </c>
      <c r="K1035" s="8">
        <v>0.2499780701754386</v>
      </c>
    </row>
    <row r="1036" spans="1:11" x14ac:dyDescent="0.3">
      <c r="A1036" s="5" t="s">
        <v>45</v>
      </c>
      <c r="B1036" s="6">
        <v>40263</v>
      </c>
      <c r="C1036" s="5">
        <v>13</v>
      </c>
      <c r="D1036" s="5">
        <v>3</v>
      </c>
      <c r="E1036" s="5">
        <v>2010</v>
      </c>
      <c r="F1036" s="5" t="s">
        <v>35</v>
      </c>
      <c r="G1036" s="5" t="s">
        <v>11</v>
      </c>
      <c r="H1036" s="7">
        <v>3738.6</v>
      </c>
      <c r="I1036" s="7">
        <v>4859.72</v>
      </c>
      <c r="J1036" s="7">
        <v>1121.1200000000003</v>
      </c>
      <c r="K1036" s="8">
        <v>0.29987695928957375</v>
      </c>
    </row>
    <row r="1037" spans="1:11" x14ac:dyDescent="0.3">
      <c r="A1037" s="5" t="s">
        <v>45</v>
      </c>
      <c r="B1037" s="6">
        <v>40263</v>
      </c>
      <c r="C1037" s="5">
        <v>13</v>
      </c>
      <c r="D1037" s="5">
        <v>3</v>
      </c>
      <c r="E1037" s="5">
        <v>2010</v>
      </c>
      <c r="F1037" s="5" t="s">
        <v>36</v>
      </c>
      <c r="G1037" s="5" t="s">
        <v>11</v>
      </c>
      <c r="H1037" s="7">
        <v>97172.35</v>
      </c>
      <c r="I1037" s="7">
        <v>103810.54</v>
      </c>
      <c r="J1037" s="7">
        <v>6638.1899999999878</v>
      </c>
      <c r="K1037" s="8">
        <v>6.8313568623173032E-2</v>
      </c>
    </row>
    <row r="1038" spans="1:11" x14ac:dyDescent="0.3">
      <c r="A1038" s="5" t="s">
        <v>45</v>
      </c>
      <c r="B1038" s="6">
        <v>40263</v>
      </c>
      <c r="C1038" s="5">
        <v>13</v>
      </c>
      <c r="D1038" s="5">
        <v>3</v>
      </c>
      <c r="E1038" s="5">
        <v>2010</v>
      </c>
      <c r="F1038" s="5" t="s">
        <v>37</v>
      </c>
      <c r="G1038" s="5" t="s">
        <v>11</v>
      </c>
      <c r="H1038" s="7">
        <v>214333.51</v>
      </c>
      <c r="I1038" s="7">
        <v>229808.02</v>
      </c>
      <c r="J1038" s="7">
        <v>15474.50999999998</v>
      </c>
      <c r="K1038" s="8">
        <v>7.2198276415106441E-2</v>
      </c>
    </row>
    <row r="1039" spans="1:11" x14ac:dyDescent="0.3">
      <c r="A1039" s="5" t="s">
        <v>45</v>
      </c>
      <c r="B1039" s="6">
        <v>40263</v>
      </c>
      <c r="C1039" s="5">
        <v>13</v>
      </c>
      <c r="D1039" s="5">
        <v>3</v>
      </c>
      <c r="E1039" s="5">
        <v>2010</v>
      </c>
      <c r="F1039" s="5" t="s">
        <v>38</v>
      </c>
      <c r="G1039" s="5" t="s">
        <v>11</v>
      </c>
      <c r="H1039" s="7">
        <v>160725.66</v>
      </c>
      <c r="I1039" s="7">
        <v>162658.95000000001</v>
      </c>
      <c r="J1039" s="7">
        <v>1933.2900000000081</v>
      </c>
      <c r="K1039" s="8">
        <v>1.2028508702344157E-2</v>
      </c>
    </row>
    <row r="1040" spans="1:11" x14ac:dyDescent="0.3">
      <c r="A1040" s="5" t="s">
        <v>45</v>
      </c>
      <c r="B1040" s="6">
        <v>40264</v>
      </c>
      <c r="C1040" s="5">
        <v>13</v>
      </c>
      <c r="D1040" s="5">
        <v>3</v>
      </c>
      <c r="E1040" s="5">
        <v>2010</v>
      </c>
      <c r="F1040" s="5" t="s">
        <v>14</v>
      </c>
      <c r="G1040" s="5" t="s">
        <v>6</v>
      </c>
      <c r="H1040" s="7">
        <v>16224.33</v>
      </c>
      <c r="I1040" s="7">
        <v>21848.82</v>
      </c>
      <c r="J1040" s="7">
        <v>5624.49</v>
      </c>
      <c r="K1040" s="8">
        <v>0.34667009361865792</v>
      </c>
    </row>
    <row r="1041" spans="1:11" x14ac:dyDescent="0.3">
      <c r="A1041" s="5" t="s">
        <v>45</v>
      </c>
      <c r="B1041" s="6">
        <v>40264</v>
      </c>
      <c r="C1041" s="5">
        <v>13</v>
      </c>
      <c r="D1041" s="5">
        <v>3</v>
      </c>
      <c r="E1041" s="5">
        <v>2010</v>
      </c>
      <c r="F1041" s="5" t="s">
        <v>15</v>
      </c>
      <c r="G1041" s="5" t="s">
        <v>6</v>
      </c>
      <c r="H1041" s="7">
        <v>208006.71</v>
      </c>
      <c r="I1041" s="7">
        <v>284714.36</v>
      </c>
      <c r="J1041" s="7">
        <v>76707.649999999994</v>
      </c>
      <c r="K1041" s="8">
        <v>0.36877488231028699</v>
      </c>
    </row>
    <row r="1042" spans="1:11" x14ac:dyDescent="0.3">
      <c r="A1042" s="5" t="s">
        <v>45</v>
      </c>
      <c r="B1042" s="6">
        <v>40264</v>
      </c>
      <c r="C1042" s="5">
        <v>13</v>
      </c>
      <c r="D1042" s="5">
        <v>3</v>
      </c>
      <c r="E1042" s="5">
        <v>2010</v>
      </c>
      <c r="F1042" s="5" t="s">
        <v>16</v>
      </c>
      <c r="G1042" s="5" t="s">
        <v>6</v>
      </c>
      <c r="H1042" s="7">
        <v>74514.259999999995</v>
      </c>
      <c r="I1042" s="7">
        <v>83358.009999999995</v>
      </c>
      <c r="J1042" s="7">
        <v>8843.75</v>
      </c>
      <c r="K1042" s="8">
        <v>0.11868533620276174</v>
      </c>
    </row>
    <row r="1043" spans="1:11" x14ac:dyDescent="0.3">
      <c r="A1043" s="5" t="s">
        <v>45</v>
      </c>
      <c r="B1043" s="6">
        <v>40264</v>
      </c>
      <c r="C1043" s="5">
        <v>13</v>
      </c>
      <c r="D1043" s="5">
        <v>3</v>
      </c>
      <c r="E1043" s="5">
        <v>2010</v>
      </c>
      <c r="F1043" s="5" t="s">
        <v>19</v>
      </c>
      <c r="G1043" s="5" t="s">
        <v>5</v>
      </c>
      <c r="H1043" s="7">
        <v>168504.7</v>
      </c>
      <c r="I1043" s="7">
        <v>185297.22</v>
      </c>
      <c r="J1043" s="7">
        <v>16792.51999999999</v>
      </c>
      <c r="K1043" s="8">
        <v>9.965609267872047E-2</v>
      </c>
    </row>
    <row r="1044" spans="1:11" x14ac:dyDescent="0.3">
      <c r="A1044" s="5" t="s">
        <v>45</v>
      </c>
      <c r="B1044" s="6">
        <v>40264</v>
      </c>
      <c r="C1044" s="5">
        <v>13</v>
      </c>
      <c r="D1044" s="5">
        <v>3</v>
      </c>
      <c r="E1044" s="5">
        <v>2010</v>
      </c>
      <c r="F1044" s="5" t="s">
        <v>5</v>
      </c>
      <c r="G1044" s="5" t="s">
        <v>5</v>
      </c>
      <c r="H1044" s="7">
        <v>440986.97</v>
      </c>
      <c r="I1044" s="7">
        <v>472028.08</v>
      </c>
      <c r="J1044" s="7">
        <v>31041.110000000044</v>
      </c>
      <c r="K1044" s="8">
        <v>7.0390084314736201E-2</v>
      </c>
    </row>
    <row r="1045" spans="1:11" x14ac:dyDescent="0.3">
      <c r="A1045" s="5" t="s">
        <v>45</v>
      </c>
      <c r="B1045" s="6">
        <v>40264</v>
      </c>
      <c r="C1045" s="5">
        <v>13</v>
      </c>
      <c r="D1045" s="5">
        <v>3</v>
      </c>
      <c r="E1045" s="5">
        <v>2010</v>
      </c>
      <c r="F1045" s="5" t="s">
        <v>20</v>
      </c>
      <c r="G1045" s="5" t="s">
        <v>5</v>
      </c>
      <c r="H1045" s="7">
        <v>114898.79</v>
      </c>
      <c r="I1045" s="7">
        <v>126015.48</v>
      </c>
      <c r="J1045" s="7">
        <v>11116.690000000002</v>
      </c>
      <c r="K1045" s="8">
        <v>9.675201975582165E-2</v>
      </c>
    </row>
    <row r="1046" spans="1:11" x14ac:dyDescent="0.3">
      <c r="A1046" s="5" t="s">
        <v>45</v>
      </c>
      <c r="B1046" s="6">
        <v>40264</v>
      </c>
      <c r="C1046" s="5">
        <v>13</v>
      </c>
      <c r="D1046" s="5">
        <v>3</v>
      </c>
      <c r="E1046" s="5">
        <v>2010</v>
      </c>
      <c r="F1046" s="5" t="s">
        <v>21</v>
      </c>
      <c r="G1046" s="5" t="s">
        <v>5</v>
      </c>
      <c r="H1046" s="7">
        <v>169091.51</v>
      </c>
      <c r="I1046" s="7">
        <v>184383.52</v>
      </c>
      <c r="J1046" s="7">
        <v>15292.00999999998</v>
      </c>
      <c r="K1046" s="8">
        <v>9.0436296890364157E-2</v>
      </c>
    </row>
    <row r="1047" spans="1:11" x14ac:dyDescent="0.3">
      <c r="A1047" s="5" t="s">
        <v>45</v>
      </c>
      <c r="B1047" s="6">
        <v>40264</v>
      </c>
      <c r="C1047" s="5">
        <v>13</v>
      </c>
      <c r="D1047" s="5">
        <v>3</v>
      </c>
      <c r="E1047" s="5">
        <v>2010</v>
      </c>
      <c r="F1047" s="5" t="s">
        <v>22</v>
      </c>
      <c r="G1047" s="5" t="s">
        <v>8</v>
      </c>
      <c r="H1047" s="7">
        <v>292527.27</v>
      </c>
      <c r="I1047" s="7">
        <v>315736.75</v>
      </c>
      <c r="J1047" s="7">
        <v>23209.479999999981</v>
      </c>
      <c r="K1047" s="8">
        <v>7.9341252526644715E-2</v>
      </c>
    </row>
    <row r="1048" spans="1:11" x14ac:dyDescent="0.3">
      <c r="A1048" s="5" t="s">
        <v>45</v>
      </c>
      <c r="B1048" s="6">
        <v>40264</v>
      </c>
      <c r="C1048" s="5">
        <v>13</v>
      </c>
      <c r="D1048" s="5">
        <v>3</v>
      </c>
      <c r="E1048" s="5">
        <v>2010</v>
      </c>
      <c r="F1048" s="5" t="s">
        <v>23</v>
      </c>
      <c r="G1048" s="5" t="s">
        <v>8</v>
      </c>
      <c r="H1048" s="7">
        <v>156130</v>
      </c>
      <c r="I1048" s="7">
        <v>162198.43</v>
      </c>
      <c r="J1048" s="7">
        <v>6068.429999999993</v>
      </c>
      <c r="K1048" s="8">
        <v>3.8867802472298679E-2</v>
      </c>
    </row>
    <row r="1049" spans="1:11" x14ac:dyDescent="0.3">
      <c r="A1049" s="5" t="s">
        <v>45</v>
      </c>
      <c r="B1049" s="6">
        <v>40264</v>
      </c>
      <c r="C1049" s="5">
        <v>13</v>
      </c>
      <c r="D1049" s="5">
        <v>3</v>
      </c>
      <c r="E1049" s="5">
        <v>2010</v>
      </c>
      <c r="F1049" s="5" t="s">
        <v>24</v>
      </c>
      <c r="G1049" s="5" t="s">
        <v>8</v>
      </c>
      <c r="H1049" s="7">
        <v>95905</v>
      </c>
      <c r="I1049" s="7">
        <v>99663.360000000001</v>
      </c>
      <c r="J1049" s="7">
        <v>3758.3600000000006</v>
      </c>
      <c r="K1049" s="8">
        <v>3.9188363484698403E-2</v>
      </c>
    </row>
    <row r="1050" spans="1:11" x14ac:dyDescent="0.3">
      <c r="A1050" s="5" t="s">
        <v>45</v>
      </c>
      <c r="B1050" s="6">
        <v>40264</v>
      </c>
      <c r="C1050" s="5">
        <v>13</v>
      </c>
      <c r="D1050" s="5">
        <v>3</v>
      </c>
      <c r="E1050" s="5">
        <v>2010</v>
      </c>
      <c r="F1050" s="5" t="s">
        <v>25</v>
      </c>
      <c r="G1050" s="5" t="s">
        <v>8</v>
      </c>
      <c r="H1050" s="7">
        <v>14602.6</v>
      </c>
      <c r="I1050" s="7">
        <v>16582.04</v>
      </c>
      <c r="J1050" s="7">
        <v>1979.4400000000005</v>
      </c>
      <c r="K1050" s="8">
        <v>0.13555394244860508</v>
      </c>
    </row>
    <row r="1051" spans="1:11" x14ac:dyDescent="0.3">
      <c r="A1051" s="5" t="s">
        <v>45</v>
      </c>
      <c r="B1051" s="6">
        <v>40264</v>
      </c>
      <c r="C1051" s="5">
        <v>13</v>
      </c>
      <c r="D1051" s="5">
        <v>3</v>
      </c>
      <c r="E1051" s="5">
        <v>2010</v>
      </c>
      <c r="F1051" s="5" t="s">
        <v>26</v>
      </c>
      <c r="G1051" s="5" t="s">
        <v>10</v>
      </c>
      <c r="H1051" s="7">
        <v>7520.42</v>
      </c>
      <c r="I1051" s="7">
        <v>8455.07</v>
      </c>
      <c r="J1051" s="7">
        <v>934.64999999999964</v>
      </c>
      <c r="K1051" s="8">
        <v>0.12428162256895221</v>
      </c>
    </row>
    <row r="1052" spans="1:11" x14ac:dyDescent="0.3">
      <c r="A1052" s="5" t="s">
        <v>45</v>
      </c>
      <c r="B1052" s="6">
        <v>40264</v>
      </c>
      <c r="C1052" s="5">
        <v>13</v>
      </c>
      <c r="D1052" s="5">
        <v>3</v>
      </c>
      <c r="E1052" s="5">
        <v>2010</v>
      </c>
      <c r="F1052" s="5" t="s">
        <v>27</v>
      </c>
      <c r="G1052" s="5" t="s">
        <v>10</v>
      </c>
      <c r="H1052" s="7">
        <v>182190.47</v>
      </c>
      <c r="I1052" s="7">
        <v>207416.74</v>
      </c>
      <c r="J1052" s="7">
        <v>25226.26999999999</v>
      </c>
      <c r="K1052" s="8">
        <v>0.13846097438576227</v>
      </c>
    </row>
    <row r="1053" spans="1:11" x14ac:dyDescent="0.3">
      <c r="A1053" s="5" t="s">
        <v>45</v>
      </c>
      <c r="B1053" s="6">
        <v>40264</v>
      </c>
      <c r="C1053" s="5">
        <v>13</v>
      </c>
      <c r="D1053" s="5">
        <v>3</v>
      </c>
      <c r="E1053" s="5">
        <v>2010</v>
      </c>
      <c r="F1053" s="5" t="s">
        <v>28</v>
      </c>
      <c r="G1053" s="5" t="s">
        <v>10</v>
      </c>
      <c r="H1053" s="7">
        <v>83061.3</v>
      </c>
      <c r="I1053" s="7">
        <v>92747.23</v>
      </c>
      <c r="J1053" s="7">
        <v>9685.929999999993</v>
      </c>
      <c r="K1053" s="8">
        <v>0.11661182765018116</v>
      </c>
    </row>
    <row r="1054" spans="1:11" x14ac:dyDescent="0.3">
      <c r="A1054" s="5" t="s">
        <v>45</v>
      </c>
      <c r="B1054" s="6">
        <v>40264</v>
      </c>
      <c r="C1054" s="5">
        <v>13</v>
      </c>
      <c r="D1054" s="5">
        <v>3</v>
      </c>
      <c r="E1054" s="5">
        <v>2010</v>
      </c>
      <c r="F1054" s="5" t="s">
        <v>29</v>
      </c>
      <c r="G1054" s="5" t="s">
        <v>10</v>
      </c>
      <c r="H1054" s="7">
        <v>786333.33</v>
      </c>
      <c r="I1054" s="7">
        <v>850685.05</v>
      </c>
      <c r="J1054" s="7">
        <v>64351.720000000088</v>
      </c>
      <c r="K1054" s="8">
        <v>8.1837711241363881E-2</v>
      </c>
    </row>
    <row r="1055" spans="1:11" x14ac:dyDescent="0.3">
      <c r="A1055" s="5" t="s">
        <v>45</v>
      </c>
      <c r="B1055" s="6">
        <v>40264</v>
      </c>
      <c r="C1055" s="5">
        <v>13</v>
      </c>
      <c r="D1055" s="5">
        <v>3</v>
      </c>
      <c r="E1055" s="5">
        <v>2010</v>
      </c>
      <c r="F1055" s="5" t="s">
        <v>30</v>
      </c>
      <c r="G1055" s="5" t="s">
        <v>10</v>
      </c>
      <c r="H1055" s="7">
        <v>150503.64000000001</v>
      </c>
      <c r="I1055" s="7">
        <v>169465.25</v>
      </c>
      <c r="J1055" s="7">
        <v>18961.609999999986</v>
      </c>
      <c r="K1055" s="8">
        <v>0.12598771697481859</v>
      </c>
    </row>
    <row r="1056" spans="1:11" x14ac:dyDescent="0.3">
      <c r="A1056" s="5" t="s">
        <v>45</v>
      </c>
      <c r="B1056" s="6">
        <v>40264</v>
      </c>
      <c r="C1056" s="5">
        <v>13</v>
      </c>
      <c r="D1056" s="5">
        <v>3</v>
      </c>
      <c r="E1056" s="5">
        <v>2010</v>
      </c>
      <c r="F1056" s="5" t="s">
        <v>31</v>
      </c>
      <c r="G1056" s="5" t="s">
        <v>7</v>
      </c>
      <c r="H1056" s="7">
        <v>35801.870000000003</v>
      </c>
      <c r="I1056" s="7">
        <v>41522.120000000003</v>
      </c>
      <c r="J1056" s="7">
        <v>5720.25</v>
      </c>
      <c r="K1056" s="8">
        <v>0.15977517375489045</v>
      </c>
    </row>
    <row r="1057" spans="1:11" x14ac:dyDescent="0.3">
      <c r="A1057" s="5" t="s">
        <v>45</v>
      </c>
      <c r="B1057" s="6">
        <v>40264</v>
      </c>
      <c r="C1057" s="5">
        <v>13</v>
      </c>
      <c r="D1057" s="5">
        <v>3</v>
      </c>
      <c r="E1057" s="5">
        <v>2010</v>
      </c>
      <c r="F1057" s="5" t="s">
        <v>32</v>
      </c>
      <c r="G1057" s="5" t="s">
        <v>7</v>
      </c>
      <c r="H1057" s="7">
        <v>27532.82</v>
      </c>
      <c r="I1057" s="7">
        <v>31656.27</v>
      </c>
      <c r="J1057" s="7">
        <v>4123.4500000000007</v>
      </c>
      <c r="K1057" s="8">
        <v>0.14976489876445642</v>
      </c>
    </row>
    <row r="1058" spans="1:11" x14ac:dyDescent="0.3">
      <c r="A1058" s="5" t="s">
        <v>45</v>
      </c>
      <c r="B1058" s="6">
        <v>40264</v>
      </c>
      <c r="C1058" s="5">
        <v>13</v>
      </c>
      <c r="D1058" s="5">
        <v>3</v>
      </c>
      <c r="E1058" s="5">
        <v>2010</v>
      </c>
      <c r="F1058" s="5" t="s">
        <v>33</v>
      </c>
      <c r="G1058" s="5" t="s">
        <v>7</v>
      </c>
      <c r="H1058" s="7">
        <v>218498.71</v>
      </c>
      <c r="I1058" s="7">
        <v>306553.28999999998</v>
      </c>
      <c r="J1058" s="7">
        <v>88054.579999999987</v>
      </c>
      <c r="K1058" s="8">
        <v>0.40299816873060712</v>
      </c>
    </row>
    <row r="1059" spans="1:11" x14ac:dyDescent="0.3">
      <c r="A1059" s="5" t="s">
        <v>45</v>
      </c>
      <c r="B1059" s="6">
        <v>40264</v>
      </c>
      <c r="C1059" s="5">
        <v>13</v>
      </c>
      <c r="D1059" s="5">
        <v>3</v>
      </c>
      <c r="E1059" s="5">
        <v>2010</v>
      </c>
      <c r="F1059" s="5" t="s">
        <v>34</v>
      </c>
      <c r="G1059" s="5" t="s">
        <v>7</v>
      </c>
      <c r="H1059" s="7">
        <v>1140</v>
      </c>
      <c r="I1059" s="7">
        <v>1424.91</v>
      </c>
      <c r="J1059" s="7">
        <v>284.91000000000008</v>
      </c>
      <c r="K1059" s="8">
        <v>0.24992105263157902</v>
      </c>
    </row>
    <row r="1060" spans="1:11" x14ac:dyDescent="0.3">
      <c r="A1060" s="5" t="s">
        <v>45</v>
      </c>
      <c r="B1060" s="6">
        <v>40264</v>
      </c>
      <c r="C1060" s="5">
        <v>13</v>
      </c>
      <c r="D1060" s="5">
        <v>3</v>
      </c>
      <c r="E1060" s="5">
        <v>2010</v>
      </c>
      <c r="F1060" s="5" t="s">
        <v>35</v>
      </c>
      <c r="G1060" s="5" t="s">
        <v>11</v>
      </c>
      <c r="H1060" s="7">
        <v>3389.64</v>
      </c>
      <c r="I1060" s="7">
        <v>4405.25</v>
      </c>
      <c r="J1060" s="7">
        <v>1015.6100000000001</v>
      </c>
      <c r="K1060" s="8">
        <v>0.2996217887445275</v>
      </c>
    </row>
    <row r="1061" spans="1:11" x14ac:dyDescent="0.3">
      <c r="A1061" s="5" t="s">
        <v>45</v>
      </c>
      <c r="B1061" s="6">
        <v>40264</v>
      </c>
      <c r="C1061" s="5">
        <v>13</v>
      </c>
      <c r="D1061" s="5">
        <v>3</v>
      </c>
      <c r="E1061" s="5">
        <v>2010</v>
      </c>
      <c r="F1061" s="5" t="s">
        <v>36</v>
      </c>
      <c r="G1061" s="5" t="s">
        <v>11</v>
      </c>
      <c r="H1061" s="7">
        <v>208337.41</v>
      </c>
      <c r="I1061" s="7">
        <v>211715.78</v>
      </c>
      <c r="J1061" s="7">
        <v>3378.3699999999953</v>
      </c>
      <c r="K1061" s="8">
        <v>1.6215858688077168E-2</v>
      </c>
    </row>
    <row r="1062" spans="1:11" x14ac:dyDescent="0.3">
      <c r="A1062" s="5" t="s">
        <v>45</v>
      </c>
      <c r="B1062" s="6">
        <v>40264</v>
      </c>
      <c r="C1062" s="5">
        <v>13</v>
      </c>
      <c r="D1062" s="5">
        <v>3</v>
      </c>
      <c r="E1062" s="5">
        <v>2010</v>
      </c>
      <c r="F1062" s="5" t="s">
        <v>37</v>
      </c>
      <c r="G1062" s="5" t="s">
        <v>11</v>
      </c>
      <c r="H1062" s="7">
        <v>597412.34</v>
      </c>
      <c r="I1062" s="7">
        <v>498785.45</v>
      </c>
      <c r="J1062" s="7">
        <v>-98626.889999999956</v>
      </c>
      <c r="K1062" s="8">
        <v>-0.16509014527553945</v>
      </c>
    </row>
    <row r="1063" spans="1:11" x14ac:dyDescent="0.3">
      <c r="A1063" s="5" t="s">
        <v>45</v>
      </c>
      <c r="B1063" s="6">
        <v>40264</v>
      </c>
      <c r="C1063" s="5">
        <v>13</v>
      </c>
      <c r="D1063" s="5">
        <v>3</v>
      </c>
      <c r="E1063" s="5">
        <v>2010</v>
      </c>
      <c r="F1063" s="5" t="s">
        <v>38</v>
      </c>
      <c r="G1063" s="5" t="s">
        <v>11</v>
      </c>
      <c r="H1063" s="7">
        <v>309462.15999999997</v>
      </c>
      <c r="I1063" s="7">
        <v>301087.03000000003</v>
      </c>
      <c r="J1063" s="7">
        <v>-8375.1299999999464</v>
      </c>
      <c r="K1063" s="8">
        <v>-2.7063502691249706E-2</v>
      </c>
    </row>
    <row r="1064" spans="1:11" x14ac:dyDescent="0.3">
      <c r="A1064" s="5" t="s">
        <v>45</v>
      </c>
      <c r="B1064" s="6">
        <v>40265</v>
      </c>
      <c r="C1064" s="5">
        <v>14</v>
      </c>
      <c r="D1064" s="5">
        <v>3</v>
      </c>
      <c r="E1064" s="5">
        <v>2010</v>
      </c>
      <c r="F1064" s="5" t="s">
        <v>14</v>
      </c>
      <c r="G1064" s="5" t="s">
        <v>6</v>
      </c>
      <c r="H1064" s="7">
        <v>9646.76</v>
      </c>
      <c r="I1064" s="7">
        <v>12565.45</v>
      </c>
      <c r="J1064" s="7">
        <v>2918.6900000000005</v>
      </c>
      <c r="K1064" s="8">
        <v>0.30255650601860112</v>
      </c>
    </row>
    <row r="1065" spans="1:11" x14ac:dyDescent="0.3">
      <c r="A1065" s="5" t="s">
        <v>45</v>
      </c>
      <c r="B1065" s="6">
        <v>40265</v>
      </c>
      <c r="C1065" s="5">
        <v>14</v>
      </c>
      <c r="D1065" s="5">
        <v>3</v>
      </c>
      <c r="E1065" s="5">
        <v>2010</v>
      </c>
      <c r="F1065" s="5" t="s">
        <v>15</v>
      </c>
      <c r="G1065" s="5" t="s">
        <v>6</v>
      </c>
      <c r="H1065" s="7">
        <v>145687.39000000001</v>
      </c>
      <c r="I1065" s="7">
        <v>188911.72</v>
      </c>
      <c r="J1065" s="7">
        <v>43224.329999999987</v>
      </c>
      <c r="K1065" s="8">
        <v>0.29669232182689237</v>
      </c>
    </row>
    <row r="1066" spans="1:11" x14ac:dyDescent="0.3">
      <c r="A1066" s="5" t="s">
        <v>45</v>
      </c>
      <c r="B1066" s="6">
        <v>40265</v>
      </c>
      <c r="C1066" s="5">
        <v>14</v>
      </c>
      <c r="D1066" s="5">
        <v>3</v>
      </c>
      <c r="E1066" s="5">
        <v>2010</v>
      </c>
      <c r="F1066" s="5" t="s">
        <v>16</v>
      </c>
      <c r="G1066" s="5" t="s">
        <v>6</v>
      </c>
      <c r="H1066" s="7">
        <v>68075.740000000005</v>
      </c>
      <c r="I1066" s="7">
        <v>75990.320000000007</v>
      </c>
      <c r="J1066" s="7">
        <v>7914.5800000000017</v>
      </c>
      <c r="K1066" s="8">
        <v>0.11626138768377695</v>
      </c>
    </row>
    <row r="1067" spans="1:11" x14ac:dyDescent="0.3">
      <c r="A1067" s="5" t="s">
        <v>45</v>
      </c>
      <c r="B1067" s="6">
        <v>40265</v>
      </c>
      <c r="C1067" s="5">
        <v>14</v>
      </c>
      <c r="D1067" s="5">
        <v>3</v>
      </c>
      <c r="E1067" s="5">
        <v>2010</v>
      </c>
      <c r="F1067" s="5" t="s">
        <v>17</v>
      </c>
      <c r="G1067" s="5" t="s">
        <v>6</v>
      </c>
      <c r="H1067" s="7">
        <v>574</v>
      </c>
      <c r="I1067" s="7">
        <v>585.38</v>
      </c>
      <c r="J1067" s="7">
        <v>11.379999999999995</v>
      </c>
      <c r="K1067" s="8">
        <v>1.9825783972125428E-2</v>
      </c>
    </row>
    <row r="1068" spans="1:11" x14ac:dyDescent="0.3">
      <c r="A1068" s="5" t="s">
        <v>45</v>
      </c>
      <c r="B1068" s="6">
        <v>40265</v>
      </c>
      <c r="C1068" s="5">
        <v>14</v>
      </c>
      <c r="D1068" s="5">
        <v>3</v>
      </c>
      <c r="E1068" s="5">
        <v>2010</v>
      </c>
      <c r="F1068" s="5" t="s">
        <v>19</v>
      </c>
      <c r="G1068" s="5" t="s">
        <v>5</v>
      </c>
      <c r="H1068" s="7">
        <v>160876.79</v>
      </c>
      <c r="I1068" s="7">
        <v>175849.4</v>
      </c>
      <c r="J1068" s="7">
        <v>14972.609999999986</v>
      </c>
      <c r="K1068" s="8">
        <v>9.3068801285754052E-2</v>
      </c>
    </row>
    <row r="1069" spans="1:11" x14ac:dyDescent="0.3">
      <c r="A1069" s="5" t="s">
        <v>45</v>
      </c>
      <c r="B1069" s="6">
        <v>40265</v>
      </c>
      <c r="C1069" s="5">
        <v>14</v>
      </c>
      <c r="D1069" s="5">
        <v>3</v>
      </c>
      <c r="E1069" s="5">
        <v>2010</v>
      </c>
      <c r="F1069" s="5" t="s">
        <v>5</v>
      </c>
      <c r="G1069" s="5" t="s">
        <v>5</v>
      </c>
      <c r="H1069" s="7">
        <v>455922.34</v>
      </c>
      <c r="I1069" s="7">
        <v>485863.38</v>
      </c>
      <c r="J1069" s="7">
        <v>29941.039999999979</v>
      </c>
      <c r="K1069" s="8">
        <v>6.5671359732010451E-2</v>
      </c>
    </row>
    <row r="1070" spans="1:11" x14ac:dyDescent="0.3">
      <c r="A1070" s="5" t="s">
        <v>45</v>
      </c>
      <c r="B1070" s="6">
        <v>40265</v>
      </c>
      <c r="C1070" s="5">
        <v>14</v>
      </c>
      <c r="D1070" s="5">
        <v>3</v>
      </c>
      <c r="E1070" s="5">
        <v>2010</v>
      </c>
      <c r="F1070" s="5" t="s">
        <v>20</v>
      </c>
      <c r="G1070" s="5" t="s">
        <v>5</v>
      </c>
      <c r="H1070" s="7">
        <v>93573.19</v>
      </c>
      <c r="I1070" s="7">
        <v>102620.79</v>
      </c>
      <c r="J1070" s="7">
        <v>9047.5999999999913</v>
      </c>
      <c r="K1070" s="8">
        <v>9.6690088261391874E-2</v>
      </c>
    </row>
    <row r="1071" spans="1:11" x14ac:dyDescent="0.3">
      <c r="A1071" s="5" t="s">
        <v>45</v>
      </c>
      <c r="B1071" s="6">
        <v>40265</v>
      </c>
      <c r="C1071" s="5">
        <v>14</v>
      </c>
      <c r="D1071" s="5">
        <v>3</v>
      </c>
      <c r="E1071" s="5">
        <v>2010</v>
      </c>
      <c r="F1071" s="5" t="s">
        <v>21</v>
      </c>
      <c r="G1071" s="5" t="s">
        <v>5</v>
      </c>
      <c r="H1071" s="7">
        <v>183156.69</v>
      </c>
      <c r="I1071" s="7">
        <v>200200.64</v>
      </c>
      <c r="J1071" s="7">
        <v>17043.950000000012</v>
      </c>
      <c r="K1071" s="8">
        <v>9.305666093878423E-2</v>
      </c>
    </row>
    <row r="1072" spans="1:11" x14ac:dyDescent="0.3">
      <c r="A1072" s="5" t="s">
        <v>45</v>
      </c>
      <c r="B1072" s="6">
        <v>40265</v>
      </c>
      <c r="C1072" s="5">
        <v>14</v>
      </c>
      <c r="D1072" s="5">
        <v>3</v>
      </c>
      <c r="E1072" s="5">
        <v>2010</v>
      </c>
      <c r="F1072" s="5" t="s">
        <v>22</v>
      </c>
      <c r="G1072" s="5" t="s">
        <v>8</v>
      </c>
      <c r="H1072" s="7">
        <v>152786.32</v>
      </c>
      <c r="I1072" s="7">
        <v>168654.21</v>
      </c>
      <c r="J1072" s="7">
        <v>15867.889999999985</v>
      </c>
      <c r="K1072" s="8">
        <v>0.10385674581336853</v>
      </c>
    </row>
    <row r="1073" spans="1:11" x14ac:dyDescent="0.3">
      <c r="A1073" s="5" t="s">
        <v>45</v>
      </c>
      <c r="B1073" s="6">
        <v>40265</v>
      </c>
      <c r="C1073" s="5">
        <v>14</v>
      </c>
      <c r="D1073" s="5">
        <v>3</v>
      </c>
      <c r="E1073" s="5">
        <v>2010</v>
      </c>
      <c r="F1073" s="5" t="s">
        <v>23</v>
      </c>
      <c r="G1073" s="5" t="s">
        <v>8</v>
      </c>
      <c r="H1073" s="7">
        <v>132399.70000000001</v>
      </c>
      <c r="I1073" s="7">
        <v>137966.53</v>
      </c>
      <c r="J1073" s="7">
        <v>5566.8299999999872</v>
      </c>
      <c r="K1073" s="8">
        <v>4.2045639076221372E-2</v>
      </c>
    </row>
    <row r="1074" spans="1:11" x14ac:dyDescent="0.3">
      <c r="A1074" s="5" t="s">
        <v>45</v>
      </c>
      <c r="B1074" s="6">
        <v>40265</v>
      </c>
      <c r="C1074" s="5">
        <v>14</v>
      </c>
      <c r="D1074" s="5">
        <v>3</v>
      </c>
      <c r="E1074" s="5">
        <v>2010</v>
      </c>
      <c r="F1074" s="5" t="s">
        <v>24</v>
      </c>
      <c r="G1074" s="5" t="s">
        <v>8</v>
      </c>
      <c r="H1074" s="7">
        <v>84607</v>
      </c>
      <c r="I1074" s="7">
        <v>88628.27</v>
      </c>
      <c r="J1074" s="7">
        <v>4021.2700000000041</v>
      </c>
      <c r="K1074" s="8">
        <v>4.7528809672958548E-2</v>
      </c>
    </row>
    <row r="1075" spans="1:11" x14ac:dyDescent="0.3">
      <c r="A1075" s="5" t="s">
        <v>45</v>
      </c>
      <c r="B1075" s="6">
        <v>40265</v>
      </c>
      <c r="C1075" s="5">
        <v>14</v>
      </c>
      <c r="D1075" s="5">
        <v>3</v>
      </c>
      <c r="E1075" s="5">
        <v>2010</v>
      </c>
      <c r="F1075" s="5" t="s">
        <v>25</v>
      </c>
      <c r="G1075" s="5" t="s">
        <v>8</v>
      </c>
      <c r="H1075" s="7">
        <v>14229.35</v>
      </c>
      <c r="I1075" s="7">
        <v>15726.26</v>
      </c>
      <c r="J1075" s="7">
        <v>1496.9099999999999</v>
      </c>
      <c r="K1075" s="8">
        <v>0.10519876171434393</v>
      </c>
    </row>
    <row r="1076" spans="1:11" x14ac:dyDescent="0.3">
      <c r="A1076" s="5" t="s">
        <v>45</v>
      </c>
      <c r="B1076" s="6">
        <v>40265</v>
      </c>
      <c r="C1076" s="5">
        <v>14</v>
      </c>
      <c r="D1076" s="5">
        <v>3</v>
      </c>
      <c r="E1076" s="5">
        <v>2010</v>
      </c>
      <c r="F1076" s="5" t="s">
        <v>26</v>
      </c>
      <c r="G1076" s="5" t="s">
        <v>10</v>
      </c>
      <c r="H1076" s="7">
        <v>4289.3100000000004</v>
      </c>
      <c r="I1076" s="7">
        <v>4878.6899999999996</v>
      </c>
      <c r="J1076" s="7">
        <v>589.3799999999992</v>
      </c>
      <c r="K1076" s="8">
        <v>0.13740671576547256</v>
      </c>
    </row>
    <row r="1077" spans="1:11" x14ac:dyDescent="0.3">
      <c r="A1077" s="5" t="s">
        <v>45</v>
      </c>
      <c r="B1077" s="6">
        <v>40265</v>
      </c>
      <c r="C1077" s="5">
        <v>14</v>
      </c>
      <c r="D1077" s="5">
        <v>3</v>
      </c>
      <c r="E1077" s="5">
        <v>2010</v>
      </c>
      <c r="F1077" s="5" t="s">
        <v>27</v>
      </c>
      <c r="G1077" s="5" t="s">
        <v>10</v>
      </c>
      <c r="H1077" s="7">
        <v>136164.48000000001</v>
      </c>
      <c r="I1077" s="7">
        <v>155324.5</v>
      </c>
      <c r="J1077" s="7">
        <v>19160.01999999999</v>
      </c>
      <c r="K1077" s="8">
        <v>0.14071232086370827</v>
      </c>
    </row>
    <row r="1078" spans="1:11" x14ac:dyDescent="0.3">
      <c r="A1078" s="5" t="s">
        <v>45</v>
      </c>
      <c r="B1078" s="6">
        <v>40265</v>
      </c>
      <c r="C1078" s="5">
        <v>14</v>
      </c>
      <c r="D1078" s="5">
        <v>3</v>
      </c>
      <c r="E1078" s="5">
        <v>2010</v>
      </c>
      <c r="F1078" s="5" t="s">
        <v>28</v>
      </c>
      <c r="G1078" s="5" t="s">
        <v>10</v>
      </c>
      <c r="H1078" s="7">
        <v>58171.25</v>
      </c>
      <c r="I1078" s="7">
        <v>63015.43</v>
      </c>
      <c r="J1078" s="7">
        <v>4844.18</v>
      </c>
      <c r="K1078" s="8">
        <v>8.327446977673679E-2</v>
      </c>
    </row>
    <row r="1079" spans="1:11" x14ac:dyDescent="0.3">
      <c r="A1079" s="5" t="s">
        <v>45</v>
      </c>
      <c r="B1079" s="6">
        <v>40265</v>
      </c>
      <c r="C1079" s="5">
        <v>14</v>
      </c>
      <c r="D1079" s="5">
        <v>3</v>
      </c>
      <c r="E1079" s="5">
        <v>2010</v>
      </c>
      <c r="F1079" s="5" t="s">
        <v>29</v>
      </c>
      <c r="G1079" s="5" t="s">
        <v>10</v>
      </c>
      <c r="H1079" s="7">
        <v>613454</v>
      </c>
      <c r="I1079" s="7">
        <v>660446.18999999994</v>
      </c>
      <c r="J1079" s="7">
        <v>46992.189999999944</v>
      </c>
      <c r="K1079" s="8">
        <v>7.6602630352071946E-2</v>
      </c>
    </row>
    <row r="1080" spans="1:11" x14ac:dyDescent="0.3">
      <c r="A1080" s="5" t="s">
        <v>45</v>
      </c>
      <c r="B1080" s="6">
        <v>40265</v>
      </c>
      <c r="C1080" s="5">
        <v>14</v>
      </c>
      <c r="D1080" s="5">
        <v>3</v>
      </c>
      <c r="E1080" s="5">
        <v>2010</v>
      </c>
      <c r="F1080" s="5" t="s">
        <v>30</v>
      </c>
      <c r="G1080" s="5" t="s">
        <v>10</v>
      </c>
      <c r="H1080" s="7">
        <v>130564.16</v>
      </c>
      <c r="I1080" s="7">
        <v>147355.76</v>
      </c>
      <c r="J1080" s="7">
        <v>16791.600000000006</v>
      </c>
      <c r="K1080" s="8">
        <v>0.12860803454791886</v>
      </c>
    </row>
    <row r="1081" spans="1:11" x14ac:dyDescent="0.3">
      <c r="A1081" s="5" t="s">
        <v>45</v>
      </c>
      <c r="B1081" s="6">
        <v>40265</v>
      </c>
      <c r="C1081" s="5">
        <v>14</v>
      </c>
      <c r="D1081" s="5">
        <v>3</v>
      </c>
      <c r="E1081" s="5">
        <v>2010</v>
      </c>
      <c r="F1081" s="5" t="s">
        <v>31</v>
      </c>
      <c r="G1081" s="5" t="s">
        <v>7</v>
      </c>
      <c r="H1081" s="7">
        <v>27264.880000000001</v>
      </c>
      <c r="I1081" s="7">
        <v>31402.99</v>
      </c>
      <c r="J1081" s="7">
        <v>4138.1100000000006</v>
      </c>
      <c r="K1081" s="8">
        <v>0.15177437054555165</v>
      </c>
    </row>
    <row r="1082" spans="1:11" x14ac:dyDescent="0.3">
      <c r="A1082" s="5" t="s">
        <v>45</v>
      </c>
      <c r="B1082" s="6">
        <v>40265</v>
      </c>
      <c r="C1082" s="5">
        <v>14</v>
      </c>
      <c r="D1082" s="5">
        <v>3</v>
      </c>
      <c r="E1082" s="5">
        <v>2010</v>
      </c>
      <c r="F1082" s="5" t="s">
        <v>32</v>
      </c>
      <c r="G1082" s="5" t="s">
        <v>7</v>
      </c>
      <c r="H1082" s="7">
        <v>17352.62</v>
      </c>
      <c r="I1082" s="7">
        <v>19953.259999999998</v>
      </c>
      <c r="J1082" s="7">
        <v>2600.6399999999994</v>
      </c>
      <c r="K1082" s="8">
        <v>0.14987016369862302</v>
      </c>
    </row>
    <row r="1083" spans="1:11" x14ac:dyDescent="0.3">
      <c r="A1083" s="5" t="s">
        <v>45</v>
      </c>
      <c r="B1083" s="6">
        <v>40265</v>
      </c>
      <c r="C1083" s="5">
        <v>14</v>
      </c>
      <c r="D1083" s="5">
        <v>3</v>
      </c>
      <c r="E1083" s="5">
        <v>2010</v>
      </c>
      <c r="F1083" s="5" t="s">
        <v>33</v>
      </c>
      <c r="G1083" s="5" t="s">
        <v>7</v>
      </c>
      <c r="H1083" s="7">
        <v>190074.26</v>
      </c>
      <c r="I1083" s="7">
        <v>272288.75</v>
      </c>
      <c r="J1083" s="7">
        <v>82214.489999999991</v>
      </c>
      <c r="K1083" s="8">
        <v>0.43253878773485682</v>
      </c>
    </row>
    <row r="1084" spans="1:11" x14ac:dyDescent="0.3">
      <c r="A1084" s="5" t="s">
        <v>45</v>
      </c>
      <c r="B1084" s="6">
        <v>40265</v>
      </c>
      <c r="C1084" s="5">
        <v>14</v>
      </c>
      <c r="D1084" s="5">
        <v>3</v>
      </c>
      <c r="E1084" s="5">
        <v>2010</v>
      </c>
      <c r="F1084" s="5" t="s">
        <v>34</v>
      </c>
      <c r="G1084" s="5" t="s">
        <v>7</v>
      </c>
      <c r="H1084" s="7">
        <v>532</v>
      </c>
      <c r="I1084" s="7">
        <v>665</v>
      </c>
      <c r="J1084" s="7">
        <v>133</v>
      </c>
      <c r="K1084" s="8">
        <v>0.25</v>
      </c>
    </row>
    <row r="1085" spans="1:11" x14ac:dyDescent="0.3">
      <c r="A1085" s="5" t="s">
        <v>45</v>
      </c>
      <c r="B1085" s="6">
        <v>40265</v>
      </c>
      <c r="C1085" s="5">
        <v>14</v>
      </c>
      <c r="D1085" s="5">
        <v>3</v>
      </c>
      <c r="E1085" s="5">
        <v>2010</v>
      </c>
      <c r="F1085" s="5" t="s">
        <v>35</v>
      </c>
      <c r="G1085" s="5" t="s">
        <v>11</v>
      </c>
      <c r="H1085" s="7">
        <v>3703.8</v>
      </c>
      <c r="I1085" s="7">
        <v>4813.96</v>
      </c>
      <c r="J1085" s="7">
        <v>1110.1599999999999</v>
      </c>
      <c r="K1085" s="8">
        <v>0.29973540687942107</v>
      </c>
    </row>
    <row r="1086" spans="1:11" x14ac:dyDescent="0.3">
      <c r="A1086" s="5" t="s">
        <v>45</v>
      </c>
      <c r="B1086" s="6">
        <v>40265</v>
      </c>
      <c r="C1086" s="5">
        <v>14</v>
      </c>
      <c r="D1086" s="5">
        <v>3</v>
      </c>
      <c r="E1086" s="5">
        <v>2010</v>
      </c>
      <c r="F1086" s="5" t="s">
        <v>36</v>
      </c>
      <c r="G1086" s="5" t="s">
        <v>11</v>
      </c>
      <c r="H1086" s="7">
        <v>175415.59</v>
      </c>
      <c r="I1086" s="7">
        <v>184169.1</v>
      </c>
      <c r="J1086" s="7">
        <v>8753.5100000000093</v>
      </c>
      <c r="K1086" s="8">
        <v>4.9901550939685631E-2</v>
      </c>
    </row>
    <row r="1087" spans="1:11" x14ac:dyDescent="0.3">
      <c r="A1087" s="5" t="s">
        <v>45</v>
      </c>
      <c r="B1087" s="6">
        <v>40265</v>
      </c>
      <c r="C1087" s="5">
        <v>14</v>
      </c>
      <c r="D1087" s="5">
        <v>3</v>
      </c>
      <c r="E1087" s="5">
        <v>2010</v>
      </c>
      <c r="F1087" s="5" t="s">
        <v>37</v>
      </c>
      <c r="G1087" s="5" t="s">
        <v>11</v>
      </c>
      <c r="H1087" s="7">
        <v>291568.51</v>
      </c>
      <c r="I1087" s="7">
        <v>317604.64</v>
      </c>
      <c r="J1087" s="7">
        <v>26036.130000000005</v>
      </c>
      <c r="K1087" s="8">
        <v>8.9296783112826572E-2</v>
      </c>
    </row>
    <row r="1088" spans="1:11" x14ac:dyDescent="0.3">
      <c r="A1088" s="5" t="s">
        <v>45</v>
      </c>
      <c r="B1088" s="6">
        <v>40265</v>
      </c>
      <c r="C1088" s="5">
        <v>14</v>
      </c>
      <c r="D1088" s="5">
        <v>3</v>
      </c>
      <c r="E1088" s="5">
        <v>2010</v>
      </c>
      <c r="F1088" s="5" t="s">
        <v>38</v>
      </c>
      <c r="G1088" s="5" t="s">
        <v>11</v>
      </c>
      <c r="H1088" s="7">
        <v>190436.05</v>
      </c>
      <c r="I1088" s="7">
        <v>181964.3</v>
      </c>
      <c r="J1088" s="7">
        <v>-8471.75</v>
      </c>
      <c r="K1088" s="8">
        <v>-4.4486062381571136E-2</v>
      </c>
    </row>
    <row r="1089" spans="1:11" x14ac:dyDescent="0.3">
      <c r="A1089" s="5" t="s">
        <v>45</v>
      </c>
      <c r="B1089" s="6">
        <v>40266</v>
      </c>
      <c r="C1089" s="5">
        <v>14</v>
      </c>
      <c r="D1089" s="5">
        <v>3</v>
      </c>
      <c r="E1089" s="5">
        <v>2010</v>
      </c>
      <c r="F1089" s="5" t="s">
        <v>14</v>
      </c>
      <c r="G1089" s="5" t="s">
        <v>6</v>
      </c>
      <c r="H1089" s="7">
        <v>7441.66</v>
      </c>
      <c r="I1089" s="7">
        <v>10125.209999999999</v>
      </c>
      <c r="J1089" s="7">
        <v>2683.5499999999993</v>
      </c>
      <c r="K1089" s="8">
        <v>0.360611745228887</v>
      </c>
    </row>
    <row r="1090" spans="1:11" x14ac:dyDescent="0.3">
      <c r="A1090" s="5" t="s">
        <v>45</v>
      </c>
      <c r="B1090" s="6">
        <v>40266</v>
      </c>
      <c r="C1090" s="5">
        <v>14</v>
      </c>
      <c r="D1090" s="5">
        <v>3</v>
      </c>
      <c r="E1090" s="5">
        <v>2010</v>
      </c>
      <c r="F1090" s="5" t="s">
        <v>15</v>
      </c>
      <c r="G1090" s="5" t="s">
        <v>6</v>
      </c>
      <c r="H1090" s="7">
        <v>121902.42</v>
      </c>
      <c r="I1090" s="7">
        <v>166615.85999999999</v>
      </c>
      <c r="J1090" s="7">
        <v>44713.439999999988</v>
      </c>
      <c r="K1090" s="8">
        <v>0.36679698401393501</v>
      </c>
    </row>
    <row r="1091" spans="1:11" x14ac:dyDescent="0.3">
      <c r="A1091" s="5" t="s">
        <v>45</v>
      </c>
      <c r="B1091" s="6">
        <v>40266</v>
      </c>
      <c r="C1091" s="5">
        <v>14</v>
      </c>
      <c r="D1091" s="5">
        <v>3</v>
      </c>
      <c r="E1091" s="5">
        <v>2010</v>
      </c>
      <c r="F1091" s="5" t="s">
        <v>16</v>
      </c>
      <c r="G1091" s="5" t="s">
        <v>6</v>
      </c>
      <c r="H1091" s="7">
        <v>53262.2</v>
      </c>
      <c r="I1091" s="7">
        <v>59618.13</v>
      </c>
      <c r="J1091" s="7">
        <v>6355.93</v>
      </c>
      <c r="K1091" s="8">
        <v>0.11933284768560068</v>
      </c>
    </row>
    <row r="1092" spans="1:11" x14ac:dyDescent="0.3">
      <c r="A1092" s="5" t="s">
        <v>45</v>
      </c>
      <c r="B1092" s="6">
        <v>40266</v>
      </c>
      <c r="C1092" s="5">
        <v>14</v>
      </c>
      <c r="D1092" s="5">
        <v>3</v>
      </c>
      <c r="E1092" s="5">
        <v>2010</v>
      </c>
      <c r="F1092" s="5" t="s">
        <v>17</v>
      </c>
      <c r="G1092" s="5" t="s">
        <v>6</v>
      </c>
      <c r="H1092" s="7">
        <v>574</v>
      </c>
      <c r="I1092" s="7">
        <v>659.91</v>
      </c>
      <c r="J1092" s="7">
        <v>85.909999999999968</v>
      </c>
      <c r="K1092" s="8">
        <v>0.14966898954703828</v>
      </c>
    </row>
    <row r="1093" spans="1:11" x14ac:dyDescent="0.3">
      <c r="A1093" s="5" t="s">
        <v>45</v>
      </c>
      <c r="B1093" s="6">
        <v>40266</v>
      </c>
      <c r="C1093" s="5">
        <v>14</v>
      </c>
      <c r="D1093" s="5">
        <v>3</v>
      </c>
      <c r="E1093" s="5">
        <v>2010</v>
      </c>
      <c r="F1093" s="5" t="s">
        <v>18</v>
      </c>
      <c r="G1093" s="5" t="s">
        <v>6</v>
      </c>
      <c r="H1093" s="7">
        <v>1022.87</v>
      </c>
      <c r="I1093" s="7">
        <v>1036.8</v>
      </c>
      <c r="J1093" s="7">
        <v>13.92999999999995</v>
      </c>
      <c r="K1093" s="8">
        <v>1.3618543900984437E-2</v>
      </c>
    </row>
    <row r="1094" spans="1:11" x14ac:dyDescent="0.3">
      <c r="A1094" s="5" t="s">
        <v>45</v>
      </c>
      <c r="B1094" s="6">
        <v>40266</v>
      </c>
      <c r="C1094" s="5">
        <v>14</v>
      </c>
      <c r="D1094" s="5">
        <v>3</v>
      </c>
      <c r="E1094" s="5">
        <v>2010</v>
      </c>
      <c r="F1094" s="5" t="s">
        <v>19</v>
      </c>
      <c r="G1094" s="5" t="s">
        <v>5</v>
      </c>
      <c r="H1094" s="7">
        <v>101650.69</v>
      </c>
      <c r="I1094" s="7">
        <v>111017.25</v>
      </c>
      <c r="J1094" s="7">
        <v>9366.5599999999977</v>
      </c>
      <c r="K1094" s="8">
        <v>9.2144578654606249E-2</v>
      </c>
    </row>
    <row r="1095" spans="1:11" x14ac:dyDescent="0.3">
      <c r="A1095" s="5" t="s">
        <v>45</v>
      </c>
      <c r="B1095" s="6">
        <v>40266</v>
      </c>
      <c r="C1095" s="5">
        <v>14</v>
      </c>
      <c r="D1095" s="5">
        <v>3</v>
      </c>
      <c r="E1095" s="5">
        <v>2010</v>
      </c>
      <c r="F1095" s="5" t="s">
        <v>5</v>
      </c>
      <c r="G1095" s="5" t="s">
        <v>5</v>
      </c>
      <c r="H1095" s="7">
        <v>354651.88</v>
      </c>
      <c r="I1095" s="7">
        <v>377072.46</v>
      </c>
      <c r="J1095" s="7">
        <v>22420.580000000016</v>
      </c>
      <c r="K1095" s="8">
        <v>6.3218556743587589E-2</v>
      </c>
    </row>
    <row r="1096" spans="1:11" x14ac:dyDescent="0.3">
      <c r="A1096" s="5" t="s">
        <v>45</v>
      </c>
      <c r="B1096" s="6">
        <v>40266</v>
      </c>
      <c r="C1096" s="5">
        <v>14</v>
      </c>
      <c r="D1096" s="5">
        <v>3</v>
      </c>
      <c r="E1096" s="5">
        <v>2010</v>
      </c>
      <c r="F1096" s="5" t="s">
        <v>20</v>
      </c>
      <c r="G1096" s="5" t="s">
        <v>5</v>
      </c>
      <c r="H1096" s="7">
        <v>72168.53</v>
      </c>
      <c r="I1096" s="7">
        <v>79809.509999999995</v>
      </c>
      <c r="J1096" s="7">
        <v>7640.9799999999959</v>
      </c>
      <c r="K1096" s="8">
        <v>0.10587689675818526</v>
      </c>
    </row>
    <row r="1097" spans="1:11" x14ac:dyDescent="0.3">
      <c r="A1097" s="5" t="s">
        <v>45</v>
      </c>
      <c r="B1097" s="6">
        <v>40266</v>
      </c>
      <c r="C1097" s="5">
        <v>14</v>
      </c>
      <c r="D1097" s="5">
        <v>3</v>
      </c>
      <c r="E1097" s="5">
        <v>2010</v>
      </c>
      <c r="F1097" s="5" t="s">
        <v>21</v>
      </c>
      <c r="G1097" s="5" t="s">
        <v>5</v>
      </c>
      <c r="H1097" s="7">
        <v>148478.66</v>
      </c>
      <c r="I1097" s="7">
        <v>160744.84</v>
      </c>
      <c r="J1097" s="7">
        <v>12266.179999999993</v>
      </c>
      <c r="K1097" s="8">
        <v>8.2612410429889344E-2</v>
      </c>
    </row>
    <row r="1098" spans="1:11" x14ac:dyDescent="0.3">
      <c r="A1098" s="5" t="s">
        <v>45</v>
      </c>
      <c r="B1098" s="6">
        <v>40266</v>
      </c>
      <c r="C1098" s="5">
        <v>14</v>
      </c>
      <c r="D1098" s="5">
        <v>3</v>
      </c>
      <c r="E1098" s="5">
        <v>2010</v>
      </c>
      <c r="F1098" s="5" t="s">
        <v>22</v>
      </c>
      <c r="G1098" s="5" t="s">
        <v>8</v>
      </c>
      <c r="H1098" s="7">
        <v>138232.5</v>
      </c>
      <c r="I1098" s="7">
        <v>149300.51</v>
      </c>
      <c r="J1098" s="7">
        <v>11068.010000000009</v>
      </c>
      <c r="K1098" s="8">
        <v>8.0068073716383692E-2</v>
      </c>
    </row>
    <row r="1099" spans="1:11" x14ac:dyDescent="0.3">
      <c r="A1099" s="5" t="s">
        <v>45</v>
      </c>
      <c r="B1099" s="6">
        <v>40266</v>
      </c>
      <c r="C1099" s="5">
        <v>14</v>
      </c>
      <c r="D1099" s="5">
        <v>3</v>
      </c>
      <c r="E1099" s="5">
        <v>2010</v>
      </c>
      <c r="F1099" s="5" t="s">
        <v>23</v>
      </c>
      <c r="G1099" s="5" t="s">
        <v>8</v>
      </c>
      <c r="H1099" s="7">
        <v>104956.5</v>
      </c>
      <c r="I1099" s="7">
        <v>109857.47</v>
      </c>
      <c r="J1099" s="7">
        <v>4900.9700000000012</v>
      </c>
      <c r="K1099" s="8">
        <v>4.6695249936878624E-2</v>
      </c>
    </row>
    <row r="1100" spans="1:11" x14ac:dyDescent="0.3">
      <c r="A1100" s="5" t="s">
        <v>45</v>
      </c>
      <c r="B1100" s="6">
        <v>40266</v>
      </c>
      <c r="C1100" s="5">
        <v>14</v>
      </c>
      <c r="D1100" s="5">
        <v>3</v>
      </c>
      <c r="E1100" s="5">
        <v>2010</v>
      </c>
      <c r="F1100" s="5" t="s">
        <v>24</v>
      </c>
      <c r="G1100" s="5" t="s">
        <v>8</v>
      </c>
      <c r="H1100" s="7">
        <v>46461</v>
      </c>
      <c r="I1100" s="7">
        <v>49283.9</v>
      </c>
      <c r="J1100" s="7">
        <v>2822.9000000000015</v>
      </c>
      <c r="K1100" s="8">
        <v>6.0758485611588246E-2</v>
      </c>
    </row>
    <row r="1101" spans="1:11" x14ac:dyDescent="0.3">
      <c r="A1101" s="5" t="s">
        <v>45</v>
      </c>
      <c r="B1101" s="6">
        <v>40266</v>
      </c>
      <c r="C1101" s="5">
        <v>14</v>
      </c>
      <c r="D1101" s="5">
        <v>3</v>
      </c>
      <c r="E1101" s="5">
        <v>2010</v>
      </c>
      <c r="F1101" s="5" t="s">
        <v>25</v>
      </c>
      <c r="G1101" s="5" t="s">
        <v>8</v>
      </c>
      <c r="H1101" s="7">
        <v>16105.05</v>
      </c>
      <c r="I1101" s="7">
        <v>18210.09</v>
      </c>
      <c r="J1101" s="7">
        <v>2105.0400000000009</v>
      </c>
      <c r="K1101" s="8">
        <v>0.13070682798252728</v>
      </c>
    </row>
    <row r="1102" spans="1:11" x14ac:dyDescent="0.3">
      <c r="A1102" s="5" t="s">
        <v>45</v>
      </c>
      <c r="B1102" s="6">
        <v>40266</v>
      </c>
      <c r="C1102" s="5">
        <v>14</v>
      </c>
      <c r="D1102" s="5">
        <v>3</v>
      </c>
      <c r="E1102" s="5">
        <v>2010</v>
      </c>
      <c r="F1102" s="5" t="s">
        <v>26</v>
      </c>
      <c r="G1102" s="5" t="s">
        <v>10</v>
      </c>
      <c r="H1102" s="7">
        <v>963.7</v>
      </c>
      <c r="I1102" s="7">
        <v>1093.58</v>
      </c>
      <c r="J1102" s="7">
        <v>129.87999999999988</v>
      </c>
      <c r="K1102" s="8">
        <v>0.13477223202241348</v>
      </c>
    </row>
    <row r="1103" spans="1:11" x14ac:dyDescent="0.3">
      <c r="A1103" s="5" t="s">
        <v>45</v>
      </c>
      <c r="B1103" s="6">
        <v>40266</v>
      </c>
      <c r="C1103" s="5">
        <v>14</v>
      </c>
      <c r="D1103" s="5">
        <v>3</v>
      </c>
      <c r="E1103" s="5">
        <v>2010</v>
      </c>
      <c r="F1103" s="5" t="s">
        <v>27</v>
      </c>
      <c r="G1103" s="5" t="s">
        <v>10</v>
      </c>
      <c r="H1103" s="7">
        <v>92362.77</v>
      </c>
      <c r="I1103" s="7">
        <v>105066.95</v>
      </c>
      <c r="J1103" s="7">
        <v>12704.179999999993</v>
      </c>
      <c r="K1103" s="8">
        <v>0.13754654608128353</v>
      </c>
    </row>
    <row r="1104" spans="1:11" x14ac:dyDescent="0.3">
      <c r="A1104" s="5" t="s">
        <v>45</v>
      </c>
      <c r="B1104" s="6">
        <v>40266</v>
      </c>
      <c r="C1104" s="5">
        <v>14</v>
      </c>
      <c r="D1104" s="5">
        <v>3</v>
      </c>
      <c r="E1104" s="5">
        <v>2010</v>
      </c>
      <c r="F1104" s="5" t="s">
        <v>28</v>
      </c>
      <c r="G1104" s="5" t="s">
        <v>10</v>
      </c>
      <c r="H1104" s="7">
        <v>21260.43</v>
      </c>
      <c r="I1104" s="7">
        <v>25309.11</v>
      </c>
      <c r="J1104" s="7">
        <v>4048.6800000000003</v>
      </c>
      <c r="K1104" s="8">
        <v>0.19043264882224867</v>
      </c>
    </row>
    <row r="1105" spans="1:11" x14ac:dyDescent="0.3">
      <c r="A1105" s="5" t="s">
        <v>45</v>
      </c>
      <c r="B1105" s="6">
        <v>40266</v>
      </c>
      <c r="C1105" s="5">
        <v>14</v>
      </c>
      <c r="D1105" s="5">
        <v>3</v>
      </c>
      <c r="E1105" s="5">
        <v>2010</v>
      </c>
      <c r="F1105" s="5" t="s">
        <v>29</v>
      </c>
      <c r="G1105" s="5" t="s">
        <v>10</v>
      </c>
      <c r="H1105" s="7">
        <v>305723.67</v>
      </c>
      <c r="I1105" s="7">
        <v>330919.78999999998</v>
      </c>
      <c r="J1105" s="7">
        <v>25196.119999999995</v>
      </c>
      <c r="K1105" s="8">
        <v>8.2414685130529797E-2</v>
      </c>
    </row>
    <row r="1106" spans="1:11" x14ac:dyDescent="0.3">
      <c r="A1106" s="5" t="s">
        <v>45</v>
      </c>
      <c r="B1106" s="6">
        <v>40266</v>
      </c>
      <c r="C1106" s="5">
        <v>14</v>
      </c>
      <c r="D1106" s="5">
        <v>3</v>
      </c>
      <c r="E1106" s="5">
        <v>2010</v>
      </c>
      <c r="F1106" s="5" t="s">
        <v>30</v>
      </c>
      <c r="G1106" s="5" t="s">
        <v>10</v>
      </c>
      <c r="H1106" s="7">
        <v>86269.18</v>
      </c>
      <c r="I1106" s="7">
        <v>97468.95</v>
      </c>
      <c r="J1106" s="7">
        <v>11199.770000000004</v>
      </c>
      <c r="K1106" s="8">
        <v>0.12982353605308414</v>
      </c>
    </row>
    <row r="1107" spans="1:11" x14ac:dyDescent="0.3">
      <c r="A1107" s="5" t="s">
        <v>45</v>
      </c>
      <c r="B1107" s="6">
        <v>40266</v>
      </c>
      <c r="C1107" s="5">
        <v>14</v>
      </c>
      <c r="D1107" s="5">
        <v>3</v>
      </c>
      <c r="E1107" s="5">
        <v>2010</v>
      </c>
      <c r="F1107" s="5" t="s">
        <v>31</v>
      </c>
      <c r="G1107" s="5" t="s">
        <v>7</v>
      </c>
      <c r="H1107" s="7">
        <v>15310.7</v>
      </c>
      <c r="I1107" s="7">
        <v>22091.89</v>
      </c>
      <c r="J1107" s="7">
        <v>6781.1899999999987</v>
      </c>
      <c r="K1107" s="8">
        <v>0.44290528845839827</v>
      </c>
    </row>
    <row r="1108" spans="1:11" x14ac:dyDescent="0.3">
      <c r="A1108" s="5" t="s">
        <v>45</v>
      </c>
      <c r="B1108" s="6">
        <v>40266</v>
      </c>
      <c r="C1108" s="5">
        <v>14</v>
      </c>
      <c r="D1108" s="5">
        <v>3</v>
      </c>
      <c r="E1108" s="5">
        <v>2010</v>
      </c>
      <c r="F1108" s="5" t="s">
        <v>32</v>
      </c>
      <c r="G1108" s="5" t="s">
        <v>7</v>
      </c>
      <c r="H1108" s="7">
        <v>13742.93</v>
      </c>
      <c r="I1108" s="7">
        <v>15802.04</v>
      </c>
      <c r="J1108" s="7">
        <v>2059.1100000000006</v>
      </c>
      <c r="K1108" s="8">
        <v>0.14983049466161877</v>
      </c>
    </row>
    <row r="1109" spans="1:11" x14ac:dyDescent="0.3">
      <c r="A1109" s="5" t="s">
        <v>45</v>
      </c>
      <c r="B1109" s="6">
        <v>40266</v>
      </c>
      <c r="C1109" s="5">
        <v>14</v>
      </c>
      <c r="D1109" s="5">
        <v>3</v>
      </c>
      <c r="E1109" s="5">
        <v>2010</v>
      </c>
      <c r="F1109" s="5" t="s">
        <v>33</v>
      </c>
      <c r="G1109" s="5" t="s">
        <v>7</v>
      </c>
      <c r="H1109" s="7">
        <v>149589.88</v>
      </c>
      <c r="I1109" s="7">
        <v>214583.83</v>
      </c>
      <c r="J1109" s="7">
        <v>64993.949999999983</v>
      </c>
      <c r="K1109" s="8">
        <v>0.43448092879010253</v>
      </c>
    </row>
    <row r="1110" spans="1:11" x14ac:dyDescent="0.3">
      <c r="A1110" s="5" t="s">
        <v>45</v>
      </c>
      <c r="B1110" s="6">
        <v>40266</v>
      </c>
      <c r="C1110" s="5">
        <v>14</v>
      </c>
      <c r="D1110" s="5">
        <v>3</v>
      </c>
      <c r="E1110" s="5">
        <v>2010</v>
      </c>
      <c r="F1110" s="5" t="s">
        <v>34</v>
      </c>
      <c r="G1110" s="5" t="s">
        <v>7</v>
      </c>
      <c r="H1110" s="7">
        <v>228</v>
      </c>
      <c r="I1110" s="7">
        <v>284.36</v>
      </c>
      <c r="J1110" s="7">
        <v>56.360000000000014</v>
      </c>
      <c r="K1110" s="8">
        <v>0.24719298245614041</v>
      </c>
    </row>
    <row r="1111" spans="1:11" x14ac:dyDescent="0.3">
      <c r="A1111" s="5" t="s">
        <v>45</v>
      </c>
      <c r="B1111" s="6">
        <v>40266</v>
      </c>
      <c r="C1111" s="5">
        <v>14</v>
      </c>
      <c r="D1111" s="5">
        <v>3</v>
      </c>
      <c r="E1111" s="5">
        <v>2010</v>
      </c>
      <c r="F1111" s="5" t="s">
        <v>35</v>
      </c>
      <c r="G1111" s="5" t="s">
        <v>11</v>
      </c>
      <c r="H1111" s="7">
        <v>972.24</v>
      </c>
      <c r="I1111" s="7">
        <v>1263.47</v>
      </c>
      <c r="J1111" s="7">
        <v>291.23</v>
      </c>
      <c r="K1111" s="8">
        <v>0.29954537974162759</v>
      </c>
    </row>
    <row r="1112" spans="1:11" x14ac:dyDescent="0.3">
      <c r="A1112" s="5" t="s">
        <v>45</v>
      </c>
      <c r="B1112" s="6">
        <v>40266</v>
      </c>
      <c r="C1112" s="5">
        <v>14</v>
      </c>
      <c r="D1112" s="5">
        <v>3</v>
      </c>
      <c r="E1112" s="5">
        <v>2010</v>
      </c>
      <c r="F1112" s="5" t="s">
        <v>36</v>
      </c>
      <c r="G1112" s="5" t="s">
        <v>11</v>
      </c>
      <c r="H1112" s="7">
        <v>92201.91</v>
      </c>
      <c r="I1112" s="7">
        <v>94301.91</v>
      </c>
      <c r="J1112" s="7">
        <v>2100</v>
      </c>
      <c r="K1112" s="8">
        <v>2.2776100842162597E-2</v>
      </c>
    </row>
    <row r="1113" spans="1:11" x14ac:dyDescent="0.3">
      <c r="A1113" s="5" t="s">
        <v>45</v>
      </c>
      <c r="B1113" s="6">
        <v>40266</v>
      </c>
      <c r="C1113" s="5">
        <v>14</v>
      </c>
      <c r="D1113" s="5">
        <v>3</v>
      </c>
      <c r="E1113" s="5">
        <v>2010</v>
      </c>
      <c r="F1113" s="5" t="s">
        <v>37</v>
      </c>
      <c r="G1113" s="5" t="s">
        <v>11</v>
      </c>
      <c r="H1113" s="7">
        <v>181419.78</v>
      </c>
      <c r="I1113" s="7">
        <v>194767.26</v>
      </c>
      <c r="J1113" s="7">
        <v>13347.48000000001</v>
      </c>
      <c r="K1113" s="8">
        <v>7.3572352474465627E-2</v>
      </c>
    </row>
    <row r="1114" spans="1:11" x14ac:dyDescent="0.3">
      <c r="A1114" s="5" t="s">
        <v>45</v>
      </c>
      <c r="B1114" s="6">
        <v>40266</v>
      </c>
      <c r="C1114" s="5">
        <v>14</v>
      </c>
      <c r="D1114" s="5">
        <v>3</v>
      </c>
      <c r="E1114" s="5">
        <v>2010</v>
      </c>
      <c r="F1114" s="5" t="s">
        <v>38</v>
      </c>
      <c r="G1114" s="5" t="s">
        <v>11</v>
      </c>
      <c r="H1114" s="7">
        <v>105569.68</v>
      </c>
      <c r="I1114" s="7">
        <v>103764.61</v>
      </c>
      <c r="J1114" s="7">
        <v>-1805.0699999999924</v>
      </c>
      <c r="K1114" s="8">
        <v>-1.7098375215307961E-2</v>
      </c>
    </row>
    <row r="1115" spans="1:11" x14ac:dyDescent="0.3">
      <c r="A1115" s="5" t="s">
        <v>45</v>
      </c>
      <c r="B1115" s="6">
        <v>40267</v>
      </c>
      <c r="C1115" s="5">
        <v>14</v>
      </c>
      <c r="D1115" s="5">
        <v>3</v>
      </c>
      <c r="E1115" s="5">
        <v>2010</v>
      </c>
      <c r="F1115" s="5" t="s">
        <v>14</v>
      </c>
      <c r="G1115" s="5" t="s">
        <v>6</v>
      </c>
      <c r="H1115" s="7">
        <v>6448.55</v>
      </c>
      <c r="I1115" s="7">
        <v>9296.33</v>
      </c>
      <c r="J1115" s="7">
        <v>2847.7799999999997</v>
      </c>
      <c r="K1115" s="8">
        <v>0.44161555698567889</v>
      </c>
    </row>
    <row r="1116" spans="1:11" x14ac:dyDescent="0.3">
      <c r="A1116" s="5" t="s">
        <v>45</v>
      </c>
      <c r="B1116" s="6">
        <v>40267</v>
      </c>
      <c r="C1116" s="5">
        <v>14</v>
      </c>
      <c r="D1116" s="5">
        <v>3</v>
      </c>
      <c r="E1116" s="5">
        <v>2010</v>
      </c>
      <c r="F1116" s="5" t="s">
        <v>15</v>
      </c>
      <c r="G1116" s="5" t="s">
        <v>6</v>
      </c>
      <c r="H1116" s="7">
        <v>137371.38</v>
      </c>
      <c r="I1116" s="7">
        <v>184846.77</v>
      </c>
      <c r="J1116" s="7">
        <v>47475.389999999985</v>
      </c>
      <c r="K1116" s="8">
        <v>0.34559884307779382</v>
      </c>
    </row>
    <row r="1117" spans="1:11" x14ac:dyDescent="0.3">
      <c r="A1117" s="5" t="s">
        <v>45</v>
      </c>
      <c r="B1117" s="6">
        <v>40267</v>
      </c>
      <c r="C1117" s="5">
        <v>14</v>
      </c>
      <c r="D1117" s="5">
        <v>3</v>
      </c>
      <c r="E1117" s="5">
        <v>2010</v>
      </c>
      <c r="F1117" s="5" t="s">
        <v>16</v>
      </c>
      <c r="G1117" s="5" t="s">
        <v>6</v>
      </c>
      <c r="H1117" s="7">
        <v>52893.5</v>
      </c>
      <c r="I1117" s="7">
        <v>59433.42</v>
      </c>
      <c r="J1117" s="7">
        <v>6539.9199999999983</v>
      </c>
      <c r="K1117" s="8">
        <v>0.12364316976566116</v>
      </c>
    </row>
    <row r="1118" spans="1:11" x14ac:dyDescent="0.3">
      <c r="A1118" s="5" t="s">
        <v>45</v>
      </c>
      <c r="B1118" s="6">
        <v>40267</v>
      </c>
      <c r="C1118" s="5">
        <v>14</v>
      </c>
      <c r="D1118" s="5">
        <v>3</v>
      </c>
      <c r="E1118" s="5">
        <v>2010</v>
      </c>
      <c r="F1118" s="5" t="s">
        <v>19</v>
      </c>
      <c r="G1118" s="5" t="s">
        <v>5</v>
      </c>
      <c r="H1118" s="7">
        <v>109067.71</v>
      </c>
      <c r="I1118" s="7">
        <v>119059.95</v>
      </c>
      <c r="J1118" s="7">
        <v>9992.2399999999907</v>
      </c>
      <c r="K1118" s="8">
        <v>9.161501602995048E-2</v>
      </c>
    </row>
    <row r="1119" spans="1:11" x14ac:dyDescent="0.3">
      <c r="A1119" s="5" t="s">
        <v>45</v>
      </c>
      <c r="B1119" s="6">
        <v>40267</v>
      </c>
      <c r="C1119" s="5">
        <v>14</v>
      </c>
      <c r="D1119" s="5">
        <v>3</v>
      </c>
      <c r="E1119" s="5">
        <v>2010</v>
      </c>
      <c r="F1119" s="5" t="s">
        <v>5</v>
      </c>
      <c r="G1119" s="5" t="s">
        <v>5</v>
      </c>
      <c r="H1119" s="7">
        <v>343374.17</v>
      </c>
      <c r="I1119" s="7">
        <v>368641.88</v>
      </c>
      <c r="J1119" s="7">
        <v>25267.710000000021</v>
      </c>
      <c r="K1119" s="8">
        <v>7.3586519335452696E-2</v>
      </c>
    </row>
    <row r="1120" spans="1:11" x14ac:dyDescent="0.3">
      <c r="A1120" s="5" t="s">
        <v>45</v>
      </c>
      <c r="B1120" s="6">
        <v>40267</v>
      </c>
      <c r="C1120" s="5">
        <v>14</v>
      </c>
      <c r="D1120" s="5">
        <v>3</v>
      </c>
      <c r="E1120" s="5">
        <v>2010</v>
      </c>
      <c r="F1120" s="5" t="s">
        <v>20</v>
      </c>
      <c r="G1120" s="5" t="s">
        <v>5</v>
      </c>
      <c r="H1120" s="7">
        <v>72029.899999999994</v>
      </c>
      <c r="I1120" s="7">
        <v>79832.429999999993</v>
      </c>
      <c r="J1120" s="7">
        <v>7802.5299999999988</v>
      </c>
      <c r="K1120" s="8">
        <v>0.10832348788489224</v>
      </c>
    </row>
    <row r="1121" spans="1:11" x14ac:dyDescent="0.3">
      <c r="A1121" s="5" t="s">
        <v>45</v>
      </c>
      <c r="B1121" s="6">
        <v>40267</v>
      </c>
      <c r="C1121" s="5">
        <v>14</v>
      </c>
      <c r="D1121" s="5">
        <v>3</v>
      </c>
      <c r="E1121" s="5">
        <v>2010</v>
      </c>
      <c r="F1121" s="5" t="s">
        <v>21</v>
      </c>
      <c r="G1121" s="5" t="s">
        <v>5</v>
      </c>
      <c r="H1121" s="7">
        <v>124509.98</v>
      </c>
      <c r="I1121" s="7">
        <v>135839.9</v>
      </c>
      <c r="J1121" s="7">
        <v>11329.919999999998</v>
      </c>
      <c r="K1121" s="8">
        <v>9.0996079189796658E-2</v>
      </c>
    </row>
    <row r="1122" spans="1:11" x14ac:dyDescent="0.3">
      <c r="A1122" s="5" t="s">
        <v>45</v>
      </c>
      <c r="B1122" s="6">
        <v>40267</v>
      </c>
      <c r="C1122" s="5">
        <v>14</v>
      </c>
      <c r="D1122" s="5">
        <v>3</v>
      </c>
      <c r="E1122" s="5">
        <v>2010</v>
      </c>
      <c r="F1122" s="5" t="s">
        <v>22</v>
      </c>
      <c r="G1122" s="5" t="s">
        <v>8</v>
      </c>
      <c r="H1122" s="7">
        <v>126883</v>
      </c>
      <c r="I1122" s="7">
        <v>138105.95000000001</v>
      </c>
      <c r="J1122" s="7">
        <v>11222.950000000012</v>
      </c>
      <c r="K1122" s="8">
        <v>8.8451171551744617E-2</v>
      </c>
    </row>
    <row r="1123" spans="1:11" x14ac:dyDescent="0.3">
      <c r="A1123" s="5" t="s">
        <v>45</v>
      </c>
      <c r="B1123" s="6">
        <v>40267</v>
      </c>
      <c r="C1123" s="5">
        <v>14</v>
      </c>
      <c r="D1123" s="5">
        <v>3</v>
      </c>
      <c r="E1123" s="5">
        <v>2010</v>
      </c>
      <c r="F1123" s="5" t="s">
        <v>23</v>
      </c>
      <c r="G1123" s="5" t="s">
        <v>8</v>
      </c>
      <c r="H1123" s="7">
        <v>112502</v>
      </c>
      <c r="I1123" s="7">
        <v>119319.98</v>
      </c>
      <c r="J1123" s="7">
        <v>6817.9799999999959</v>
      </c>
      <c r="K1123" s="8">
        <v>6.0603189276635043E-2</v>
      </c>
    </row>
    <row r="1124" spans="1:11" x14ac:dyDescent="0.3">
      <c r="A1124" s="5" t="s">
        <v>45</v>
      </c>
      <c r="B1124" s="6">
        <v>40267</v>
      </c>
      <c r="C1124" s="5">
        <v>14</v>
      </c>
      <c r="D1124" s="5">
        <v>3</v>
      </c>
      <c r="E1124" s="5">
        <v>2010</v>
      </c>
      <c r="F1124" s="5" t="s">
        <v>24</v>
      </c>
      <c r="G1124" s="5" t="s">
        <v>8</v>
      </c>
      <c r="H1124" s="7">
        <v>81333</v>
      </c>
      <c r="I1124" s="7">
        <v>84419.85</v>
      </c>
      <c r="J1124" s="7">
        <v>3086.8500000000058</v>
      </c>
      <c r="K1124" s="8">
        <v>3.7953229316513661E-2</v>
      </c>
    </row>
    <row r="1125" spans="1:11" x14ac:dyDescent="0.3">
      <c r="A1125" s="5" t="s">
        <v>45</v>
      </c>
      <c r="B1125" s="6">
        <v>40267</v>
      </c>
      <c r="C1125" s="5">
        <v>14</v>
      </c>
      <c r="D1125" s="5">
        <v>3</v>
      </c>
      <c r="E1125" s="5">
        <v>2010</v>
      </c>
      <c r="F1125" s="5" t="s">
        <v>25</v>
      </c>
      <c r="G1125" s="5" t="s">
        <v>8</v>
      </c>
      <c r="H1125" s="7">
        <v>18174.55</v>
      </c>
      <c r="I1125" s="7">
        <v>20527.189999999999</v>
      </c>
      <c r="J1125" s="7">
        <v>2352.6399999999994</v>
      </c>
      <c r="K1125" s="8">
        <v>0.12944694641683011</v>
      </c>
    </row>
    <row r="1126" spans="1:11" x14ac:dyDescent="0.3">
      <c r="A1126" s="5" t="s">
        <v>45</v>
      </c>
      <c r="B1126" s="6">
        <v>40267</v>
      </c>
      <c r="C1126" s="5">
        <v>14</v>
      </c>
      <c r="D1126" s="5">
        <v>3</v>
      </c>
      <c r="E1126" s="5">
        <v>2010</v>
      </c>
      <c r="F1126" s="5" t="s">
        <v>26</v>
      </c>
      <c r="G1126" s="5" t="s">
        <v>10</v>
      </c>
      <c r="H1126" s="7">
        <v>4380.6099999999997</v>
      </c>
      <c r="I1126" s="7">
        <v>5029.43</v>
      </c>
      <c r="J1126" s="7">
        <v>648.82000000000062</v>
      </c>
      <c r="K1126" s="8">
        <v>0.14811179264988225</v>
      </c>
    </row>
    <row r="1127" spans="1:11" x14ac:dyDescent="0.3">
      <c r="A1127" s="5" t="s">
        <v>45</v>
      </c>
      <c r="B1127" s="6">
        <v>40267</v>
      </c>
      <c r="C1127" s="5">
        <v>14</v>
      </c>
      <c r="D1127" s="5">
        <v>3</v>
      </c>
      <c r="E1127" s="5">
        <v>2010</v>
      </c>
      <c r="F1127" s="5" t="s">
        <v>27</v>
      </c>
      <c r="G1127" s="5" t="s">
        <v>10</v>
      </c>
      <c r="H1127" s="7">
        <v>84096.89</v>
      </c>
      <c r="I1127" s="7">
        <v>95960.48</v>
      </c>
      <c r="J1127" s="7">
        <v>11863.589999999997</v>
      </c>
      <c r="K1127" s="8">
        <v>0.14107049618600637</v>
      </c>
    </row>
    <row r="1128" spans="1:11" x14ac:dyDescent="0.3">
      <c r="A1128" s="5" t="s">
        <v>45</v>
      </c>
      <c r="B1128" s="6">
        <v>40267</v>
      </c>
      <c r="C1128" s="5">
        <v>14</v>
      </c>
      <c r="D1128" s="5">
        <v>3</v>
      </c>
      <c r="E1128" s="5">
        <v>2010</v>
      </c>
      <c r="F1128" s="5" t="s">
        <v>28</v>
      </c>
      <c r="G1128" s="5" t="s">
        <v>10</v>
      </c>
      <c r="H1128" s="7">
        <v>64389.24</v>
      </c>
      <c r="I1128" s="7">
        <v>73570.740000000005</v>
      </c>
      <c r="J1128" s="7">
        <v>9181.5000000000073</v>
      </c>
      <c r="K1128" s="8">
        <v>0.14259370043814787</v>
      </c>
    </row>
    <row r="1129" spans="1:11" x14ac:dyDescent="0.3">
      <c r="A1129" s="5" t="s">
        <v>45</v>
      </c>
      <c r="B1129" s="6">
        <v>40267</v>
      </c>
      <c r="C1129" s="5">
        <v>14</v>
      </c>
      <c r="D1129" s="5">
        <v>3</v>
      </c>
      <c r="E1129" s="5">
        <v>2010</v>
      </c>
      <c r="F1129" s="5" t="s">
        <v>29</v>
      </c>
      <c r="G1129" s="5" t="s">
        <v>10</v>
      </c>
      <c r="H1129" s="7">
        <v>544316.84</v>
      </c>
      <c r="I1129" s="7">
        <v>598769.17000000004</v>
      </c>
      <c r="J1129" s="7">
        <v>54452.330000000075</v>
      </c>
      <c r="K1129" s="8">
        <v>0.10003793011437985</v>
      </c>
    </row>
    <row r="1130" spans="1:11" x14ac:dyDescent="0.3">
      <c r="A1130" s="5" t="s">
        <v>45</v>
      </c>
      <c r="B1130" s="6">
        <v>40267</v>
      </c>
      <c r="C1130" s="5">
        <v>14</v>
      </c>
      <c r="D1130" s="5">
        <v>3</v>
      </c>
      <c r="E1130" s="5">
        <v>2010</v>
      </c>
      <c r="F1130" s="5" t="s">
        <v>30</v>
      </c>
      <c r="G1130" s="5" t="s">
        <v>10</v>
      </c>
      <c r="H1130" s="7">
        <v>110989.08</v>
      </c>
      <c r="I1130" s="7">
        <v>125377.23</v>
      </c>
      <c r="J1130" s="7">
        <v>14388.149999999994</v>
      </c>
      <c r="K1130" s="8">
        <v>0.12963572632550874</v>
      </c>
    </row>
    <row r="1131" spans="1:11" x14ac:dyDescent="0.3">
      <c r="A1131" s="5" t="s">
        <v>45</v>
      </c>
      <c r="B1131" s="6">
        <v>40267</v>
      </c>
      <c r="C1131" s="5">
        <v>14</v>
      </c>
      <c r="D1131" s="5">
        <v>3</v>
      </c>
      <c r="E1131" s="5">
        <v>2010</v>
      </c>
      <c r="F1131" s="5" t="s">
        <v>31</v>
      </c>
      <c r="G1131" s="5" t="s">
        <v>7</v>
      </c>
      <c r="H1131" s="7">
        <v>22063.53</v>
      </c>
      <c r="I1131" s="7">
        <v>34940.239999999998</v>
      </c>
      <c r="J1131" s="7">
        <v>12876.71</v>
      </c>
      <c r="K1131" s="8">
        <v>0.58361966557481959</v>
      </c>
    </row>
    <row r="1132" spans="1:11" x14ac:dyDescent="0.3">
      <c r="A1132" s="5" t="s">
        <v>45</v>
      </c>
      <c r="B1132" s="6">
        <v>40267</v>
      </c>
      <c r="C1132" s="5">
        <v>14</v>
      </c>
      <c r="D1132" s="5">
        <v>3</v>
      </c>
      <c r="E1132" s="5">
        <v>2010</v>
      </c>
      <c r="F1132" s="5" t="s">
        <v>32</v>
      </c>
      <c r="G1132" s="5" t="s">
        <v>7</v>
      </c>
      <c r="H1132" s="7">
        <v>12114.34</v>
      </c>
      <c r="I1132" s="7">
        <v>13930.48</v>
      </c>
      <c r="J1132" s="7">
        <v>1816.1399999999994</v>
      </c>
      <c r="K1132" s="8">
        <v>0.14991654518529277</v>
      </c>
    </row>
    <row r="1133" spans="1:11" x14ac:dyDescent="0.3">
      <c r="A1133" s="5" t="s">
        <v>45</v>
      </c>
      <c r="B1133" s="6">
        <v>40267</v>
      </c>
      <c r="C1133" s="5">
        <v>14</v>
      </c>
      <c r="D1133" s="5">
        <v>3</v>
      </c>
      <c r="E1133" s="5">
        <v>2010</v>
      </c>
      <c r="F1133" s="5" t="s">
        <v>33</v>
      </c>
      <c r="G1133" s="5" t="s">
        <v>7</v>
      </c>
      <c r="H1133" s="7">
        <v>168549.7</v>
      </c>
      <c r="I1133" s="7">
        <v>239718.59</v>
      </c>
      <c r="J1133" s="7">
        <v>71168.889999999985</v>
      </c>
      <c r="K1133" s="8">
        <v>0.42224275688417112</v>
      </c>
    </row>
    <row r="1134" spans="1:11" x14ac:dyDescent="0.3">
      <c r="A1134" s="5" t="s">
        <v>45</v>
      </c>
      <c r="B1134" s="6">
        <v>40267</v>
      </c>
      <c r="C1134" s="5">
        <v>14</v>
      </c>
      <c r="D1134" s="5">
        <v>3</v>
      </c>
      <c r="E1134" s="5">
        <v>2010</v>
      </c>
      <c r="F1134" s="5" t="s">
        <v>35</v>
      </c>
      <c r="G1134" s="5" t="s">
        <v>11</v>
      </c>
      <c r="H1134" s="7">
        <v>3277.64</v>
      </c>
      <c r="I1134" s="7">
        <v>4258.91</v>
      </c>
      <c r="J1134" s="7">
        <v>981.27</v>
      </c>
      <c r="K1134" s="8">
        <v>0.29938309271304964</v>
      </c>
    </row>
    <row r="1135" spans="1:11" x14ac:dyDescent="0.3">
      <c r="A1135" s="5" t="s">
        <v>45</v>
      </c>
      <c r="B1135" s="6">
        <v>40267</v>
      </c>
      <c r="C1135" s="5">
        <v>14</v>
      </c>
      <c r="D1135" s="5">
        <v>3</v>
      </c>
      <c r="E1135" s="5">
        <v>2010</v>
      </c>
      <c r="F1135" s="5" t="s">
        <v>36</v>
      </c>
      <c r="G1135" s="5" t="s">
        <v>11</v>
      </c>
      <c r="H1135" s="7">
        <v>115413.29</v>
      </c>
      <c r="I1135" s="7">
        <v>114255.05</v>
      </c>
      <c r="J1135" s="7">
        <v>-1158.2399999999907</v>
      </c>
      <c r="K1135" s="8">
        <v>-1.0035586023065375E-2</v>
      </c>
    </row>
    <row r="1136" spans="1:11" x14ac:dyDescent="0.3">
      <c r="A1136" s="5" t="s">
        <v>45</v>
      </c>
      <c r="B1136" s="6">
        <v>40267</v>
      </c>
      <c r="C1136" s="5">
        <v>14</v>
      </c>
      <c r="D1136" s="5">
        <v>3</v>
      </c>
      <c r="E1136" s="5">
        <v>2010</v>
      </c>
      <c r="F1136" s="5" t="s">
        <v>37</v>
      </c>
      <c r="G1136" s="5" t="s">
        <v>11</v>
      </c>
      <c r="H1136" s="7">
        <v>221133.51</v>
      </c>
      <c r="I1136" s="7">
        <v>241442.39</v>
      </c>
      <c r="J1136" s="7">
        <v>20308.880000000005</v>
      </c>
      <c r="K1136" s="8">
        <v>9.1839902509574439E-2</v>
      </c>
    </row>
    <row r="1137" spans="1:11" x14ac:dyDescent="0.3">
      <c r="A1137" s="5" t="s">
        <v>45</v>
      </c>
      <c r="B1137" s="6">
        <v>40267</v>
      </c>
      <c r="C1137" s="5">
        <v>14</v>
      </c>
      <c r="D1137" s="5">
        <v>3</v>
      </c>
      <c r="E1137" s="5">
        <v>2010</v>
      </c>
      <c r="F1137" s="5" t="s">
        <v>38</v>
      </c>
      <c r="G1137" s="5" t="s">
        <v>11</v>
      </c>
      <c r="H1137" s="7">
        <v>153078.17000000001</v>
      </c>
      <c r="I1137" s="7">
        <v>155770.72</v>
      </c>
      <c r="J1137" s="7">
        <v>2692.5499999999884</v>
      </c>
      <c r="K1137" s="8">
        <v>1.7589379334754185E-2</v>
      </c>
    </row>
    <row r="1138" spans="1:11" x14ac:dyDescent="0.3">
      <c r="A1138" s="5" t="s">
        <v>45</v>
      </c>
      <c r="B1138" s="6">
        <v>40268</v>
      </c>
      <c r="C1138" s="5">
        <v>14</v>
      </c>
      <c r="D1138" s="5">
        <v>3</v>
      </c>
      <c r="E1138" s="5">
        <v>2010</v>
      </c>
      <c r="F1138" s="5" t="s">
        <v>14</v>
      </c>
      <c r="G1138" s="5" t="s">
        <v>6</v>
      </c>
      <c r="H1138" s="7">
        <v>6722.77</v>
      </c>
      <c r="I1138" s="7">
        <v>9004.92</v>
      </c>
      <c r="J1138" s="7">
        <v>2282.1499999999996</v>
      </c>
      <c r="K1138" s="8">
        <v>0.33946572618132104</v>
      </c>
    </row>
    <row r="1139" spans="1:11" x14ac:dyDescent="0.3">
      <c r="A1139" s="5" t="s">
        <v>45</v>
      </c>
      <c r="B1139" s="6">
        <v>40268</v>
      </c>
      <c r="C1139" s="5">
        <v>14</v>
      </c>
      <c r="D1139" s="5">
        <v>3</v>
      </c>
      <c r="E1139" s="5">
        <v>2010</v>
      </c>
      <c r="F1139" s="5" t="s">
        <v>15</v>
      </c>
      <c r="G1139" s="5" t="s">
        <v>6</v>
      </c>
      <c r="H1139" s="7">
        <v>183118.66</v>
      </c>
      <c r="I1139" s="7">
        <v>246050.75</v>
      </c>
      <c r="J1139" s="7">
        <v>62932.09</v>
      </c>
      <c r="K1139" s="8">
        <v>0.34366836236132348</v>
      </c>
    </row>
    <row r="1140" spans="1:11" x14ac:dyDescent="0.3">
      <c r="A1140" s="5" t="s">
        <v>45</v>
      </c>
      <c r="B1140" s="6">
        <v>40268</v>
      </c>
      <c r="C1140" s="5">
        <v>14</v>
      </c>
      <c r="D1140" s="5">
        <v>3</v>
      </c>
      <c r="E1140" s="5">
        <v>2010</v>
      </c>
      <c r="F1140" s="5" t="s">
        <v>16</v>
      </c>
      <c r="G1140" s="5" t="s">
        <v>6</v>
      </c>
      <c r="H1140" s="7">
        <v>54024.49</v>
      </c>
      <c r="I1140" s="7">
        <v>60186.26</v>
      </c>
      <c r="J1140" s="7">
        <v>6161.7700000000041</v>
      </c>
      <c r="K1140" s="8">
        <v>0.1140551257401968</v>
      </c>
    </row>
    <row r="1141" spans="1:11" x14ac:dyDescent="0.3">
      <c r="A1141" s="5" t="s">
        <v>45</v>
      </c>
      <c r="B1141" s="6">
        <v>40268</v>
      </c>
      <c r="C1141" s="5">
        <v>14</v>
      </c>
      <c r="D1141" s="5">
        <v>3</v>
      </c>
      <c r="E1141" s="5">
        <v>2010</v>
      </c>
      <c r="F1141" s="5" t="s">
        <v>17</v>
      </c>
      <c r="G1141" s="5" t="s">
        <v>6</v>
      </c>
      <c r="H1141" s="7">
        <v>574</v>
      </c>
      <c r="I1141" s="7">
        <v>585.4</v>
      </c>
      <c r="J1141" s="7">
        <v>11.399999999999977</v>
      </c>
      <c r="K1141" s="8">
        <v>1.9860627177700308E-2</v>
      </c>
    </row>
    <row r="1142" spans="1:11" x14ac:dyDescent="0.3">
      <c r="A1142" s="5" t="s">
        <v>45</v>
      </c>
      <c r="B1142" s="6">
        <v>40268</v>
      </c>
      <c r="C1142" s="5">
        <v>14</v>
      </c>
      <c r="D1142" s="5">
        <v>3</v>
      </c>
      <c r="E1142" s="5">
        <v>2010</v>
      </c>
      <c r="F1142" s="5" t="s">
        <v>19</v>
      </c>
      <c r="G1142" s="5" t="s">
        <v>5</v>
      </c>
      <c r="H1142" s="7">
        <v>118701.71</v>
      </c>
      <c r="I1142" s="7">
        <v>129463.05</v>
      </c>
      <c r="J1142" s="7">
        <v>10761.339999999997</v>
      </c>
      <c r="K1142" s="8">
        <v>9.0658677115940417E-2</v>
      </c>
    </row>
    <row r="1143" spans="1:11" x14ac:dyDescent="0.3">
      <c r="A1143" s="5" t="s">
        <v>45</v>
      </c>
      <c r="B1143" s="6">
        <v>40268</v>
      </c>
      <c r="C1143" s="5">
        <v>14</v>
      </c>
      <c r="D1143" s="5">
        <v>3</v>
      </c>
      <c r="E1143" s="5">
        <v>2010</v>
      </c>
      <c r="F1143" s="5" t="s">
        <v>5</v>
      </c>
      <c r="G1143" s="5" t="s">
        <v>5</v>
      </c>
      <c r="H1143" s="7">
        <v>307054.33</v>
      </c>
      <c r="I1143" s="7">
        <v>329880.5</v>
      </c>
      <c r="J1143" s="7">
        <v>22826.169999999984</v>
      </c>
      <c r="K1143" s="8">
        <v>7.4339189419670396E-2</v>
      </c>
    </row>
    <row r="1144" spans="1:11" x14ac:dyDescent="0.3">
      <c r="A1144" s="5" t="s">
        <v>45</v>
      </c>
      <c r="B1144" s="6">
        <v>40268</v>
      </c>
      <c r="C1144" s="5">
        <v>14</v>
      </c>
      <c r="D1144" s="5">
        <v>3</v>
      </c>
      <c r="E1144" s="5">
        <v>2010</v>
      </c>
      <c r="F1144" s="5" t="s">
        <v>20</v>
      </c>
      <c r="G1144" s="5" t="s">
        <v>5</v>
      </c>
      <c r="H1144" s="7">
        <v>95669.08</v>
      </c>
      <c r="I1144" s="7">
        <v>106286.72</v>
      </c>
      <c r="J1144" s="7">
        <v>10617.64</v>
      </c>
      <c r="K1144" s="8">
        <v>0.11098298426199979</v>
      </c>
    </row>
    <row r="1145" spans="1:11" x14ac:dyDescent="0.3">
      <c r="A1145" s="5" t="s">
        <v>45</v>
      </c>
      <c r="B1145" s="6">
        <v>40268</v>
      </c>
      <c r="C1145" s="5">
        <v>14</v>
      </c>
      <c r="D1145" s="5">
        <v>3</v>
      </c>
      <c r="E1145" s="5">
        <v>2010</v>
      </c>
      <c r="F1145" s="5" t="s">
        <v>21</v>
      </c>
      <c r="G1145" s="5" t="s">
        <v>5</v>
      </c>
      <c r="H1145" s="7">
        <v>129484.42</v>
      </c>
      <c r="I1145" s="7">
        <v>142735.45000000001</v>
      </c>
      <c r="J1145" s="7">
        <v>13251.030000000013</v>
      </c>
      <c r="K1145" s="8">
        <v>0.10233686801856172</v>
      </c>
    </row>
    <row r="1146" spans="1:11" x14ac:dyDescent="0.3">
      <c r="A1146" s="5" t="s">
        <v>45</v>
      </c>
      <c r="B1146" s="6">
        <v>40268</v>
      </c>
      <c r="C1146" s="5">
        <v>14</v>
      </c>
      <c r="D1146" s="5">
        <v>3</v>
      </c>
      <c r="E1146" s="5">
        <v>2010</v>
      </c>
      <c r="F1146" s="5" t="s">
        <v>22</v>
      </c>
      <c r="G1146" s="5" t="s">
        <v>8</v>
      </c>
      <c r="H1146" s="7">
        <v>178432.62</v>
      </c>
      <c r="I1146" s="7">
        <v>193050.39</v>
      </c>
      <c r="J1146" s="7">
        <v>14617.770000000019</v>
      </c>
      <c r="K1146" s="8">
        <v>8.1923193191917598E-2</v>
      </c>
    </row>
    <row r="1147" spans="1:11" x14ac:dyDescent="0.3">
      <c r="A1147" s="5" t="s">
        <v>45</v>
      </c>
      <c r="B1147" s="6">
        <v>40268</v>
      </c>
      <c r="C1147" s="5">
        <v>14</v>
      </c>
      <c r="D1147" s="5">
        <v>3</v>
      </c>
      <c r="E1147" s="5">
        <v>2010</v>
      </c>
      <c r="F1147" s="5" t="s">
        <v>23</v>
      </c>
      <c r="G1147" s="5" t="s">
        <v>8</v>
      </c>
      <c r="H1147" s="7">
        <v>117621.7</v>
      </c>
      <c r="I1147" s="7">
        <v>123065.58</v>
      </c>
      <c r="J1147" s="7">
        <v>5443.8800000000047</v>
      </c>
      <c r="K1147" s="8">
        <v>4.6282956291228618E-2</v>
      </c>
    </row>
    <row r="1148" spans="1:11" x14ac:dyDescent="0.3">
      <c r="A1148" s="5" t="s">
        <v>45</v>
      </c>
      <c r="B1148" s="6">
        <v>40268</v>
      </c>
      <c r="C1148" s="5">
        <v>14</v>
      </c>
      <c r="D1148" s="5">
        <v>3</v>
      </c>
      <c r="E1148" s="5">
        <v>2010</v>
      </c>
      <c r="F1148" s="5" t="s">
        <v>24</v>
      </c>
      <c r="G1148" s="5" t="s">
        <v>8</v>
      </c>
      <c r="H1148" s="7">
        <v>60029</v>
      </c>
      <c r="I1148" s="7">
        <v>62667.46</v>
      </c>
      <c r="J1148" s="7">
        <v>2638.4599999999991</v>
      </c>
      <c r="K1148" s="8">
        <v>4.3953089340152247E-2</v>
      </c>
    </row>
    <row r="1149" spans="1:11" x14ac:dyDescent="0.3">
      <c r="A1149" s="5" t="s">
        <v>45</v>
      </c>
      <c r="B1149" s="6">
        <v>40268</v>
      </c>
      <c r="C1149" s="5">
        <v>14</v>
      </c>
      <c r="D1149" s="5">
        <v>3</v>
      </c>
      <c r="E1149" s="5">
        <v>2010</v>
      </c>
      <c r="F1149" s="5" t="s">
        <v>25</v>
      </c>
      <c r="G1149" s="5" t="s">
        <v>8</v>
      </c>
      <c r="H1149" s="7">
        <v>16419.75</v>
      </c>
      <c r="I1149" s="7">
        <v>18010.91</v>
      </c>
      <c r="J1149" s="7">
        <v>1591.1599999999999</v>
      </c>
      <c r="K1149" s="8">
        <v>9.6905251297979556E-2</v>
      </c>
    </row>
    <row r="1150" spans="1:11" x14ac:dyDescent="0.3">
      <c r="A1150" s="5" t="s">
        <v>45</v>
      </c>
      <c r="B1150" s="6">
        <v>40268</v>
      </c>
      <c r="C1150" s="5">
        <v>14</v>
      </c>
      <c r="D1150" s="5">
        <v>3</v>
      </c>
      <c r="E1150" s="5">
        <v>2010</v>
      </c>
      <c r="F1150" s="5" t="s">
        <v>26</v>
      </c>
      <c r="G1150" s="5" t="s">
        <v>10</v>
      </c>
      <c r="H1150" s="7">
        <v>3275.07</v>
      </c>
      <c r="I1150" s="7">
        <v>3765.81</v>
      </c>
      <c r="J1150" s="7">
        <v>490.73999999999978</v>
      </c>
      <c r="K1150" s="8">
        <v>0.14984107209922223</v>
      </c>
    </row>
    <row r="1151" spans="1:11" x14ac:dyDescent="0.3">
      <c r="A1151" s="5" t="s">
        <v>45</v>
      </c>
      <c r="B1151" s="6">
        <v>40268</v>
      </c>
      <c r="C1151" s="5">
        <v>14</v>
      </c>
      <c r="D1151" s="5">
        <v>3</v>
      </c>
      <c r="E1151" s="5">
        <v>2010</v>
      </c>
      <c r="F1151" s="5" t="s">
        <v>27</v>
      </c>
      <c r="G1151" s="5" t="s">
        <v>10</v>
      </c>
      <c r="H1151" s="7">
        <v>96080.46</v>
      </c>
      <c r="I1151" s="7">
        <v>109773.65</v>
      </c>
      <c r="J1151" s="7">
        <v>13693.189999999988</v>
      </c>
      <c r="K1151" s="8">
        <v>0.14251794797818398</v>
      </c>
    </row>
    <row r="1152" spans="1:11" x14ac:dyDescent="0.3">
      <c r="A1152" s="5" t="s">
        <v>45</v>
      </c>
      <c r="B1152" s="6">
        <v>40268</v>
      </c>
      <c r="C1152" s="5">
        <v>14</v>
      </c>
      <c r="D1152" s="5">
        <v>3</v>
      </c>
      <c r="E1152" s="5">
        <v>2010</v>
      </c>
      <c r="F1152" s="5" t="s">
        <v>28</v>
      </c>
      <c r="G1152" s="5" t="s">
        <v>10</v>
      </c>
      <c r="H1152" s="7">
        <v>75947.95</v>
      </c>
      <c r="I1152" s="7">
        <v>85975.9</v>
      </c>
      <c r="J1152" s="7">
        <v>10027.949999999997</v>
      </c>
      <c r="K1152" s="8">
        <v>0.13203713859294422</v>
      </c>
    </row>
    <row r="1153" spans="1:11" x14ac:dyDescent="0.3">
      <c r="A1153" s="5" t="s">
        <v>45</v>
      </c>
      <c r="B1153" s="6">
        <v>40268</v>
      </c>
      <c r="C1153" s="5">
        <v>14</v>
      </c>
      <c r="D1153" s="5">
        <v>3</v>
      </c>
      <c r="E1153" s="5">
        <v>2010</v>
      </c>
      <c r="F1153" s="5" t="s">
        <v>29</v>
      </c>
      <c r="G1153" s="5" t="s">
        <v>10</v>
      </c>
      <c r="H1153" s="7">
        <v>591464.65</v>
      </c>
      <c r="I1153" s="7">
        <v>644176.15</v>
      </c>
      <c r="J1153" s="7">
        <v>52711.5</v>
      </c>
      <c r="K1153" s="8">
        <v>8.9120288084841584E-2</v>
      </c>
    </row>
    <row r="1154" spans="1:11" x14ac:dyDescent="0.3">
      <c r="A1154" s="5" t="s">
        <v>45</v>
      </c>
      <c r="B1154" s="6">
        <v>40268</v>
      </c>
      <c r="C1154" s="5">
        <v>14</v>
      </c>
      <c r="D1154" s="5">
        <v>3</v>
      </c>
      <c r="E1154" s="5">
        <v>2010</v>
      </c>
      <c r="F1154" s="5" t="s">
        <v>30</v>
      </c>
      <c r="G1154" s="5" t="s">
        <v>10</v>
      </c>
      <c r="H1154" s="7">
        <v>119008.66</v>
      </c>
      <c r="I1154" s="7">
        <v>133572.70000000001</v>
      </c>
      <c r="J1154" s="7">
        <v>14564.040000000008</v>
      </c>
      <c r="K1154" s="8">
        <v>0.12237798492983626</v>
      </c>
    </row>
    <row r="1155" spans="1:11" x14ac:dyDescent="0.3">
      <c r="A1155" s="5" t="s">
        <v>45</v>
      </c>
      <c r="B1155" s="6">
        <v>40268</v>
      </c>
      <c r="C1155" s="5">
        <v>14</v>
      </c>
      <c r="D1155" s="5">
        <v>3</v>
      </c>
      <c r="E1155" s="5">
        <v>2010</v>
      </c>
      <c r="F1155" s="5" t="s">
        <v>31</v>
      </c>
      <c r="G1155" s="5" t="s">
        <v>7</v>
      </c>
      <c r="H1155" s="7">
        <v>23259.03</v>
      </c>
      <c r="I1155" s="7">
        <v>29882.71</v>
      </c>
      <c r="J1155" s="7">
        <v>6623.68</v>
      </c>
      <c r="K1155" s="8">
        <v>0.28477885793173663</v>
      </c>
    </row>
    <row r="1156" spans="1:11" x14ac:dyDescent="0.3">
      <c r="A1156" s="5" t="s">
        <v>45</v>
      </c>
      <c r="B1156" s="6">
        <v>40268</v>
      </c>
      <c r="C1156" s="5">
        <v>14</v>
      </c>
      <c r="D1156" s="5">
        <v>3</v>
      </c>
      <c r="E1156" s="5">
        <v>2010</v>
      </c>
      <c r="F1156" s="5" t="s">
        <v>32</v>
      </c>
      <c r="G1156" s="5" t="s">
        <v>7</v>
      </c>
      <c r="H1156" s="7">
        <v>13856.71</v>
      </c>
      <c r="I1156" s="7">
        <v>15932.98</v>
      </c>
      <c r="J1156" s="7">
        <v>2076.2700000000004</v>
      </c>
      <c r="K1156" s="8">
        <v>0.14983859805105257</v>
      </c>
    </row>
    <row r="1157" spans="1:11" x14ac:dyDescent="0.3">
      <c r="A1157" s="5" t="s">
        <v>45</v>
      </c>
      <c r="B1157" s="6">
        <v>40268</v>
      </c>
      <c r="C1157" s="5">
        <v>14</v>
      </c>
      <c r="D1157" s="5">
        <v>3</v>
      </c>
      <c r="E1157" s="5">
        <v>2010</v>
      </c>
      <c r="F1157" s="5" t="s">
        <v>33</v>
      </c>
      <c r="G1157" s="5" t="s">
        <v>7</v>
      </c>
      <c r="H1157" s="7">
        <v>175636.83</v>
      </c>
      <c r="I1157" s="7">
        <v>249332.47</v>
      </c>
      <c r="J1157" s="7">
        <v>73695.640000000014</v>
      </c>
      <c r="K1157" s="8">
        <v>0.41959103907762407</v>
      </c>
    </row>
    <row r="1158" spans="1:11" x14ac:dyDescent="0.3">
      <c r="A1158" s="5" t="s">
        <v>45</v>
      </c>
      <c r="B1158" s="6">
        <v>40268</v>
      </c>
      <c r="C1158" s="5">
        <v>14</v>
      </c>
      <c r="D1158" s="5">
        <v>3</v>
      </c>
      <c r="E1158" s="5">
        <v>2010</v>
      </c>
      <c r="F1158" s="5" t="s">
        <v>34</v>
      </c>
      <c r="G1158" s="5" t="s">
        <v>7</v>
      </c>
      <c r="H1158" s="7">
        <v>1596</v>
      </c>
      <c r="I1158" s="7">
        <v>1994.35</v>
      </c>
      <c r="J1158" s="7">
        <v>398.34999999999991</v>
      </c>
      <c r="K1158" s="8">
        <v>0.24959273182957387</v>
      </c>
    </row>
    <row r="1159" spans="1:11" x14ac:dyDescent="0.3">
      <c r="A1159" s="5" t="s">
        <v>45</v>
      </c>
      <c r="B1159" s="6">
        <v>40268</v>
      </c>
      <c r="C1159" s="5">
        <v>14</v>
      </c>
      <c r="D1159" s="5">
        <v>3</v>
      </c>
      <c r="E1159" s="5">
        <v>2010</v>
      </c>
      <c r="F1159" s="5" t="s">
        <v>35</v>
      </c>
      <c r="G1159" s="5" t="s">
        <v>11</v>
      </c>
      <c r="H1159" s="7">
        <v>1508</v>
      </c>
      <c r="I1159" s="7">
        <v>1959.93</v>
      </c>
      <c r="J1159" s="7">
        <v>451.93000000000006</v>
      </c>
      <c r="K1159" s="8">
        <v>0.29968832891246688</v>
      </c>
    </row>
    <row r="1160" spans="1:11" x14ac:dyDescent="0.3">
      <c r="A1160" s="5" t="s">
        <v>45</v>
      </c>
      <c r="B1160" s="6">
        <v>40268</v>
      </c>
      <c r="C1160" s="5">
        <v>14</v>
      </c>
      <c r="D1160" s="5">
        <v>3</v>
      </c>
      <c r="E1160" s="5">
        <v>2010</v>
      </c>
      <c r="F1160" s="5" t="s">
        <v>36</v>
      </c>
      <c r="G1160" s="5" t="s">
        <v>11</v>
      </c>
      <c r="H1160" s="7">
        <v>108895.03</v>
      </c>
      <c r="I1160" s="7">
        <v>112888.5</v>
      </c>
      <c r="J1160" s="7">
        <v>3993.4700000000012</v>
      </c>
      <c r="K1160" s="8">
        <v>3.6672656226826889E-2</v>
      </c>
    </row>
    <row r="1161" spans="1:11" x14ac:dyDescent="0.3">
      <c r="A1161" s="5" t="s">
        <v>45</v>
      </c>
      <c r="B1161" s="6">
        <v>40268</v>
      </c>
      <c r="C1161" s="5">
        <v>14</v>
      </c>
      <c r="D1161" s="5">
        <v>3</v>
      </c>
      <c r="E1161" s="5">
        <v>2010</v>
      </c>
      <c r="F1161" s="5" t="s">
        <v>37</v>
      </c>
      <c r="G1161" s="5" t="s">
        <v>11</v>
      </c>
      <c r="H1161" s="7">
        <v>216664.89</v>
      </c>
      <c r="I1161" s="7">
        <v>233807.45</v>
      </c>
      <c r="J1161" s="7">
        <v>17142.559999999998</v>
      </c>
      <c r="K1161" s="8">
        <v>7.9120156477590797E-2</v>
      </c>
    </row>
    <row r="1162" spans="1:11" x14ac:dyDescent="0.3">
      <c r="A1162" s="5" t="s">
        <v>45</v>
      </c>
      <c r="B1162" s="6">
        <v>40268</v>
      </c>
      <c r="C1162" s="5">
        <v>14</v>
      </c>
      <c r="D1162" s="5">
        <v>3</v>
      </c>
      <c r="E1162" s="5">
        <v>2010</v>
      </c>
      <c r="F1162" s="5" t="s">
        <v>38</v>
      </c>
      <c r="G1162" s="5" t="s">
        <v>11</v>
      </c>
      <c r="H1162" s="7">
        <v>199711.9</v>
      </c>
      <c r="I1162" s="7">
        <v>205927.51</v>
      </c>
      <c r="J1162" s="7">
        <v>6215.6100000000151</v>
      </c>
      <c r="K1162" s="8">
        <v>3.1122882512258986E-2</v>
      </c>
    </row>
    <row r="1163" spans="1:11" x14ac:dyDescent="0.3">
      <c r="A1163" s="5" t="s">
        <v>45</v>
      </c>
      <c r="B1163" s="6">
        <v>40269</v>
      </c>
      <c r="C1163" s="5">
        <v>14</v>
      </c>
      <c r="D1163" s="5">
        <v>4</v>
      </c>
      <c r="E1163" s="5">
        <v>2010</v>
      </c>
      <c r="F1163" s="5" t="s">
        <v>14</v>
      </c>
      <c r="G1163" s="5" t="s">
        <v>6</v>
      </c>
      <c r="H1163" s="7">
        <v>7080.82</v>
      </c>
      <c r="I1163" s="7">
        <v>8955.16</v>
      </c>
      <c r="J1163" s="7">
        <v>1874.3400000000001</v>
      </c>
      <c r="K1163" s="8">
        <v>0.26470663002307643</v>
      </c>
    </row>
    <row r="1164" spans="1:11" x14ac:dyDescent="0.3">
      <c r="A1164" s="5" t="s">
        <v>45</v>
      </c>
      <c r="B1164" s="6">
        <v>40269</v>
      </c>
      <c r="C1164" s="5">
        <v>14</v>
      </c>
      <c r="D1164" s="5">
        <v>4</v>
      </c>
      <c r="E1164" s="5">
        <v>2010</v>
      </c>
      <c r="F1164" s="5" t="s">
        <v>15</v>
      </c>
      <c r="G1164" s="5" t="s">
        <v>6</v>
      </c>
      <c r="H1164" s="7">
        <v>162929.91</v>
      </c>
      <c r="I1164" s="7">
        <v>207271.08</v>
      </c>
      <c r="J1164" s="7">
        <v>44341.169999999984</v>
      </c>
      <c r="K1164" s="8">
        <v>0.27214874175036358</v>
      </c>
    </row>
    <row r="1165" spans="1:11" x14ac:dyDescent="0.3">
      <c r="A1165" s="5" t="s">
        <v>45</v>
      </c>
      <c r="B1165" s="6">
        <v>40269</v>
      </c>
      <c r="C1165" s="5">
        <v>14</v>
      </c>
      <c r="D1165" s="5">
        <v>4</v>
      </c>
      <c r="E1165" s="5">
        <v>2010</v>
      </c>
      <c r="F1165" s="5" t="s">
        <v>16</v>
      </c>
      <c r="G1165" s="5" t="s">
        <v>6</v>
      </c>
      <c r="H1165" s="7">
        <v>69133.3</v>
      </c>
      <c r="I1165" s="7">
        <v>76876.37</v>
      </c>
      <c r="J1165" s="7">
        <v>7743.0699999999924</v>
      </c>
      <c r="K1165" s="8">
        <v>0.11200203085922403</v>
      </c>
    </row>
    <row r="1166" spans="1:11" x14ac:dyDescent="0.3">
      <c r="A1166" s="5" t="s">
        <v>45</v>
      </c>
      <c r="B1166" s="6">
        <v>40269</v>
      </c>
      <c r="C1166" s="5">
        <v>14</v>
      </c>
      <c r="D1166" s="5">
        <v>4</v>
      </c>
      <c r="E1166" s="5">
        <v>2010</v>
      </c>
      <c r="F1166" s="5" t="s">
        <v>17</v>
      </c>
      <c r="G1166" s="5" t="s">
        <v>6</v>
      </c>
      <c r="H1166" s="7">
        <v>574</v>
      </c>
      <c r="I1166" s="7">
        <v>659.99</v>
      </c>
      <c r="J1166" s="7">
        <v>85.990000000000009</v>
      </c>
      <c r="K1166" s="8">
        <v>0.14980836236933801</v>
      </c>
    </row>
    <row r="1167" spans="1:11" x14ac:dyDescent="0.3">
      <c r="A1167" s="5" t="s">
        <v>45</v>
      </c>
      <c r="B1167" s="6">
        <v>40269</v>
      </c>
      <c r="C1167" s="5">
        <v>14</v>
      </c>
      <c r="D1167" s="5">
        <v>4</v>
      </c>
      <c r="E1167" s="5">
        <v>2010</v>
      </c>
      <c r="F1167" s="5" t="s">
        <v>18</v>
      </c>
      <c r="G1167" s="5" t="s">
        <v>6</v>
      </c>
      <c r="H1167" s="7">
        <v>8495</v>
      </c>
      <c r="I1167" s="7">
        <v>9700.1299999999992</v>
      </c>
      <c r="J1167" s="7">
        <v>1205.1299999999992</v>
      </c>
      <c r="K1167" s="8">
        <v>0.14186344908769855</v>
      </c>
    </row>
    <row r="1168" spans="1:11" x14ac:dyDescent="0.3">
      <c r="A1168" s="5" t="s">
        <v>45</v>
      </c>
      <c r="B1168" s="6">
        <v>40269</v>
      </c>
      <c r="C1168" s="5">
        <v>14</v>
      </c>
      <c r="D1168" s="5">
        <v>4</v>
      </c>
      <c r="E1168" s="5">
        <v>2010</v>
      </c>
      <c r="F1168" s="5" t="s">
        <v>19</v>
      </c>
      <c r="G1168" s="5" t="s">
        <v>5</v>
      </c>
      <c r="H1168" s="7">
        <v>139823.18</v>
      </c>
      <c r="I1168" s="7">
        <v>155371.72</v>
      </c>
      <c r="J1168" s="7">
        <v>15548.540000000008</v>
      </c>
      <c r="K1168" s="8">
        <v>0.11120144742810176</v>
      </c>
    </row>
    <row r="1169" spans="1:11" x14ac:dyDescent="0.3">
      <c r="A1169" s="5" t="s">
        <v>45</v>
      </c>
      <c r="B1169" s="6">
        <v>40269</v>
      </c>
      <c r="C1169" s="5">
        <v>14</v>
      </c>
      <c r="D1169" s="5">
        <v>4</v>
      </c>
      <c r="E1169" s="5">
        <v>2010</v>
      </c>
      <c r="F1169" s="5" t="s">
        <v>5</v>
      </c>
      <c r="G1169" s="5" t="s">
        <v>5</v>
      </c>
      <c r="H1169" s="7">
        <v>343629.81</v>
      </c>
      <c r="I1169" s="7">
        <v>376857.28</v>
      </c>
      <c r="J1169" s="7">
        <v>33227.47000000003</v>
      </c>
      <c r="K1169" s="8">
        <v>9.6695539889278023E-2</v>
      </c>
    </row>
    <row r="1170" spans="1:11" x14ac:dyDescent="0.3">
      <c r="A1170" s="5" t="s">
        <v>45</v>
      </c>
      <c r="B1170" s="6">
        <v>40269</v>
      </c>
      <c r="C1170" s="5">
        <v>14</v>
      </c>
      <c r="D1170" s="5">
        <v>4</v>
      </c>
      <c r="E1170" s="5">
        <v>2010</v>
      </c>
      <c r="F1170" s="5" t="s">
        <v>20</v>
      </c>
      <c r="G1170" s="5" t="s">
        <v>5</v>
      </c>
      <c r="H1170" s="7">
        <v>87230.93</v>
      </c>
      <c r="I1170" s="7">
        <v>97395.46</v>
      </c>
      <c r="J1170" s="7">
        <v>10164.530000000013</v>
      </c>
      <c r="K1170" s="8">
        <v>0.11652437959792489</v>
      </c>
    </row>
    <row r="1171" spans="1:11" x14ac:dyDescent="0.3">
      <c r="A1171" s="5" t="s">
        <v>45</v>
      </c>
      <c r="B1171" s="6">
        <v>40269</v>
      </c>
      <c r="C1171" s="5">
        <v>14</v>
      </c>
      <c r="D1171" s="5">
        <v>4</v>
      </c>
      <c r="E1171" s="5">
        <v>2010</v>
      </c>
      <c r="F1171" s="5" t="s">
        <v>21</v>
      </c>
      <c r="G1171" s="5" t="s">
        <v>5</v>
      </c>
      <c r="H1171" s="7">
        <v>177841.07</v>
      </c>
      <c r="I1171" s="7">
        <v>191345.03</v>
      </c>
      <c r="J1171" s="7">
        <v>13503.959999999992</v>
      </c>
      <c r="K1171" s="8">
        <v>7.5932741520279831E-2</v>
      </c>
    </row>
    <row r="1172" spans="1:11" x14ac:dyDescent="0.3">
      <c r="A1172" s="5" t="s">
        <v>45</v>
      </c>
      <c r="B1172" s="6">
        <v>40269</v>
      </c>
      <c r="C1172" s="5">
        <v>14</v>
      </c>
      <c r="D1172" s="5">
        <v>4</v>
      </c>
      <c r="E1172" s="5">
        <v>2010</v>
      </c>
      <c r="F1172" s="5" t="s">
        <v>22</v>
      </c>
      <c r="G1172" s="5" t="s">
        <v>8</v>
      </c>
      <c r="H1172" s="7">
        <v>245184.68</v>
      </c>
      <c r="I1172" s="7">
        <v>275504.03000000003</v>
      </c>
      <c r="J1172" s="7">
        <v>30319.350000000035</v>
      </c>
      <c r="K1172" s="8">
        <v>0.12365923515286532</v>
      </c>
    </row>
    <row r="1173" spans="1:11" x14ac:dyDescent="0.3">
      <c r="A1173" s="5" t="s">
        <v>45</v>
      </c>
      <c r="B1173" s="6">
        <v>40269</v>
      </c>
      <c r="C1173" s="5">
        <v>14</v>
      </c>
      <c r="D1173" s="5">
        <v>4</v>
      </c>
      <c r="E1173" s="5">
        <v>2010</v>
      </c>
      <c r="F1173" s="5" t="s">
        <v>23</v>
      </c>
      <c r="G1173" s="5" t="s">
        <v>8</v>
      </c>
      <c r="H1173" s="7">
        <v>139155.4</v>
      </c>
      <c r="I1173" s="7">
        <v>146002.10999999999</v>
      </c>
      <c r="J1173" s="7">
        <v>6846.7099999999919</v>
      </c>
      <c r="K1173" s="8">
        <v>4.920189945916574E-2</v>
      </c>
    </row>
    <row r="1174" spans="1:11" x14ac:dyDescent="0.3">
      <c r="A1174" s="5" t="s">
        <v>45</v>
      </c>
      <c r="B1174" s="6">
        <v>40269</v>
      </c>
      <c r="C1174" s="5">
        <v>14</v>
      </c>
      <c r="D1174" s="5">
        <v>4</v>
      </c>
      <c r="E1174" s="5">
        <v>2010</v>
      </c>
      <c r="F1174" s="5" t="s">
        <v>24</v>
      </c>
      <c r="G1174" s="5" t="s">
        <v>8</v>
      </c>
      <c r="H1174" s="7">
        <v>73546</v>
      </c>
      <c r="I1174" s="7">
        <v>76780.78</v>
      </c>
      <c r="J1174" s="7">
        <v>3234.7799999999988</v>
      </c>
      <c r="K1174" s="8">
        <v>4.398308541593015E-2</v>
      </c>
    </row>
    <row r="1175" spans="1:11" x14ac:dyDescent="0.3">
      <c r="A1175" s="5" t="s">
        <v>45</v>
      </c>
      <c r="B1175" s="6">
        <v>40269</v>
      </c>
      <c r="C1175" s="5">
        <v>14</v>
      </c>
      <c r="D1175" s="5">
        <v>4</v>
      </c>
      <c r="E1175" s="5">
        <v>2010</v>
      </c>
      <c r="F1175" s="5" t="s">
        <v>25</v>
      </c>
      <c r="G1175" s="5" t="s">
        <v>8</v>
      </c>
      <c r="H1175" s="7">
        <v>12911.35</v>
      </c>
      <c r="I1175" s="7">
        <v>14698</v>
      </c>
      <c r="J1175" s="7">
        <v>1786.6499999999996</v>
      </c>
      <c r="K1175" s="8">
        <v>0.13837824859522821</v>
      </c>
    </row>
    <row r="1176" spans="1:11" x14ac:dyDescent="0.3">
      <c r="A1176" s="5" t="s">
        <v>45</v>
      </c>
      <c r="B1176" s="6">
        <v>40269</v>
      </c>
      <c r="C1176" s="5">
        <v>14</v>
      </c>
      <c r="D1176" s="5">
        <v>4</v>
      </c>
      <c r="E1176" s="5">
        <v>2010</v>
      </c>
      <c r="F1176" s="5" t="s">
        <v>26</v>
      </c>
      <c r="G1176" s="5" t="s">
        <v>10</v>
      </c>
      <c r="H1176" s="7">
        <v>3925.82</v>
      </c>
      <c r="I1176" s="7">
        <v>4513.8100000000004</v>
      </c>
      <c r="J1176" s="7">
        <v>587.99000000000024</v>
      </c>
      <c r="K1176" s="8">
        <v>0.14977507883703284</v>
      </c>
    </row>
    <row r="1177" spans="1:11" x14ac:dyDescent="0.3">
      <c r="A1177" s="5" t="s">
        <v>45</v>
      </c>
      <c r="B1177" s="6">
        <v>40269</v>
      </c>
      <c r="C1177" s="5">
        <v>14</v>
      </c>
      <c r="D1177" s="5">
        <v>4</v>
      </c>
      <c r="E1177" s="5">
        <v>2010</v>
      </c>
      <c r="F1177" s="5" t="s">
        <v>27</v>
      </c>
      <c r="G1177" s="5" t="s">
        <v>10</v>
      </c>
      <c r="H1177" s="7">
        <v>84558.04</v>
      </c>
      <c r="I1177" s="7">
        <v>96697.919999999998</v>
      </c>
      <c r="J1177" s="7">
        <v>12139.880000000005</v>
      </c>
      <c r="K1177" s="8">
        <v>0.14356860684093442</v>
      </c>
    </row>
    <row r="1178" spans="1:11" x14ac:dyDescent="0.3">
      <c r="A1178" s="5" t="s">
        <v>45</v>
      </c>
      <c r="B1178" s="6">
        <v>40269</v>
      </c>
      <c r="C1178" s="5">
        <v>14</v>
      </c>
      <c r="D1178" s="5">
        <v>4</v>
      </c>
      <c r="E1178" s="5">
        <v>2010</v>
      </c>
      <c r="F1178" s="5" t="s">
        <v>28</v>
      </c>
      <c r="G1178" s="5" t="s">
        <v>10</v>
      </c>
      <c r="H1178" s="7">
        <v>68947.61</v>
      </c>
      <c r="I1178" s="7">
        <v>74881.5</v>
      </c>
      <c r="J1178" s="7">
        <v>5933.8899999999994</v>
      </c>
      <c r="K1178" s="8">
        <v>8.6063751883495299E-2</v>
      </c>
    </row>
    <row r="1179" spans="1:11" x14ac:dyDescent="0.3">
      <c r="A1179" s="5" t="s">
        <v>45</v>
      </c>
      <c r="B1179" s="6">
        <v>40269</v>
      </c>
      <c r="C1179" s="5">
        <v>14</v>
      </c>
      <c r="D1179" s="5">
        <v>4</v>
      </c>
      <c r="E1179" s="5">
        <v>2010</v>
      </c>
      <c r="F1179" s="5" t="s">
        <v>29</v>
      </c>
      <c r="G1179" s="5" t="s">
        <v>10</v>
      </c>
      <c r="H1179" s="7">
        <v>464809.96</v>
      </c>
      <c r="I1179" s="7">
        <v>507908.49</v>
      </c>
      <c r="J1179" s="7">
        <v>43098.52999999997</v>
      </c>
      <c r="K1179" s="8">
        <v>9.2722905507446454E-2</v>
      </c>
    </row>
    <row r="1180" spans="1:11" x14ac:dyDescent="0.3">
      <c r="A1180" s="5" t="s">
        <v>45</v>
      </c>
      <c r="B1180" s="6">
        <v>40269</v>
      </c>
      <c r="C1180" s="5">
        <v>14</v>
      </c>
      <c r="D1180" s="5">
        <v>4</v>
      </c>
      <c r="E1180" s="5">
        <v>2010</v>
      </c>
      <c r="F1180" s="5" t="s">
        <v>30</v>
      </c>
      <c r="G1180" s="5" t="s">
        <v>10</v>
      </c>
      <c r="H1180" s="7">
        <v>112379.7</v>
      </c>
      <c r="I1180" s="7">
        <v>127967.67</v>
      </c>
      <c r="J1180" s="7">
        <v>15587.970000000001</v>
      </c>
      <c r="K1180" s="8">
        <v>0.1387080584838721</v>
      </c>
    </row>
    <row r="1181" spans="1:11" x14ac:dyDescent="0.3">
      <c r="A1181" s="5" t="s">
        <v>45</v>
      </c>
      <c r="B1181" s="6">
        <v>40269</v>
      </c>
      <c r="C1181" s="5">
        <v>14</v>
      </c>
      <c r="D1181" s="5">
        <v>4</v>
      </c>
      <c r="E1181" s="5">
        <v>2010</v>
      </c>
      <c r="F1181" s="5" t="s">
        <v>31</v>
      </c>
      <c r="G1181" s="5" t="s">
        <v>7</v>
      </c>
      <c r="H1181" s="7">
        <v>15832.3</v>
      </c>
      <c r="I1181" s="7">
        <v>20725.02</v>
      </c>
      <c r="J1181" s="7">
        <v>4892.7200000000012</v>
      </c>
      <c r="K1181" s="8">
        <v>0.30903406327570859</v>
      </c>
    </row>
    <row r="1182" spans="1:11" x14ac:dyDescent="0.3">
      <c r="A1182" s="5" t="s">
        <v>45</v>
      </c>
      <c r="B1182" s="6">
        <v>40269</v>
      </c>
      <c r="C1182" s="5">
        <v>14</v>
      </c>
      <c r="D1182" s="5">
        <v>4</v>
      </c>
      <c r="E1182" s="5">
        <v>2010</v>
      </c>
      <c r="F1182" s="5" t="s">
        <v>32</v>
      </c>
      <c r="G1182" s="5" t="s">
        <v>7</v>
      </c>
      <c r="H1182" s="7">
        <v>18298.8</v>
      </c>
      <c r="I1182" s="7">
        <v>21040.639999999999</v>
      </c>
      <c r="J1182" s="7">
        <v>2741.84</v>
      </c>
      <c r="K1182" s="8">
        <v>0.14983714779111201</v>
      </c>
    </row>
    <row r="1183" spans="1:11" x14ac:dyDescent="0.3">
      <c r="A1183" s="5" t="s">
        <v>45</v>
      </c>
      <c r="B1183" s="6">
        <v>40269</v>
      </c>
      <c r="C1183" s="5">
        <v>14</v>
      </c>
      <c r="D1183" s="5">
        <v>4</v>
      </c>
      <c r="E1183" s="5">
        <v>2010</v>
      </c>
      <c r="F1183" s="5" t="s">
        <v>33</v>
      </c>
      <c r="G1183" s="5" t="s">
        <v>7</v>
      </c>
      <c r="H1183" s="7">
        <v>166103.32999999999</v>
      </c>
      <c r="I1183" s="7">
        <v>233852.43</v>
      </c>
      <c r="J1183" s="7">
        <v>67749.100000000006</v>
      </c>
      <c r="K1183" s="8">
        <v>0.40787321963984713</v>
      </c>
    </row>
    <row r="1184" spans="1:11" x14ac:dyDescent="0.3">
      <c r="A1184" s="5" t="s">
        <v>45</v>
      </c>
      <c r="B1184" s="6">
        <v>40269</v>
      </c>
      <c r="C1184" s="5">
        <v>14</v>
      </c>
      <c r="D1184" s="5">
        <v>4</v>
      </c>
      <c r="E1184" s="5">
        <v>2010</v>
      </c>
      <c r="F1184" s="5" t="s">
        <v>35</v>
      </c>
      <c r="G1184" s="5" t="s">
        <v>11</v>
      </c>
      <c r="H1184" s="7">
        <v>3861</v>
      </c>
      <c r="I1184" s="7">
        <v>5018.59</v>
      </c>
      <c r="J1184" s="7">
        <v>1157.5900000000001</v>
      </c>
      <c r="K1184" s="8">
        <v>0.29981610981610984</v>
      </c>
    </row>
    <row r="1185" spans="1:11" x14ac:dyDescent="0.3">
      <c r="A1185" s="5" t="s">
        <v>45</v>
      </c>
      <c r="B1185" s="6">
        <v>40269</v>
      </c>
      <c r="C1185" s="5">
        <v>14</v>
      </c>
      <c r="D1185" s="5">
        <v>4</v>
      </c>
      <c r="E1185" s="5">
        <v>2010</v>
      </c>
      <c r="F1185" s="5" t="s">
        <v>36</v>
      </c>
      <c r="G1185" s="5" t="s">
        <v>11</v>
      </c>
      <c r="H1185" s="7">
        <v>123890.88</v>
      </c>
      <c r="I1185" s="7">
        <v>130262.63</v>
      </c>
      <c r="J1185" s="7">
        <v>6371.75</v>
      </c>
      <c r="K1185" s="8">
        <v>5.1430339343783819E-2</v>
      </c>
    </row>
    <row r="1186" spans="1:11" x14ac:dyDescent="0.3">
      <c r="A1186" s="5" t="s">
        <v>45</v>
      </c>
      <c r="B1186" s="6">
        <v>40269</v>
      </c>
      <c r="C1186" s="5">
        <v>14</v>
      </c>
      <c r="D1186" s="5">
        <v>4</v>
      </c>
      <c r="E1186" s="5">
        <v>2010</v>
      </c>
      <c r="F1186" s="5" t="s">
        <v>37</v>
      </c>
      <c r="G1186" s="5" t="s">
        <v>11</v>
      </c>
      <c r="H1186" s="7">
        <v>234272.55</v>
      </c>
      <c r="I1186" s="7">
        <v>256444.46</v>
      </c>
      <c r="J1186" s="7">
        <v>22171.910000000003</v>
      </c>
      <c r="K1186" s="8">
        <v>9.464151903413355E-2</v>
      </c>
    </row>
    <row r="1187" spans="1:11" x14ac:dyDescent="0.3">
      <c r="A1187" s="5" t="s">
        <v>45</v>
      </c>
      <c r="B1187" s="6">
        <v>40269</v>
      </c>
      <c r="C1187" s="5">
        <v>14</v>
      </c>
      <c r="D1187" s="5">
        <v>4</v>
      </c>
      <c r="E1187" s="5">
        <v>2010</v>
      </c>
      <c r="F1187" s="5" t="s">
        <v>38</v>
      </c>
      <c r="G1187" s="5" t="s">
        <v>11</v>
      </c>
      <c r="H1187" s="7">
        <v>228798.36</v>
      </c>
      <c r="I1187" s="7">
        <v>241077.45</v>
      </c>
      <c r="J1187" s="7">
        <v>12279.090000000026</v>
      </c>
      <c r="K1187" s="8">
        <v>5.3667736079926559E-2</v>
      </c>
    </row>
    <row r="1188" spans="1:11" x14ac:dyDescent="0.3">
      <c r="A1188" s="5" t="s">
        <v>45</v>
      </c>
      <c r="B1188" s="6">
        <v>40270</v>
      </c>
      <c r="C1188" s="5">
        <v>14</v>
      </c>
      <c r="D1188" s="5">
        <v>4</v>
      </c>
      <c r="E1188" s="5">
        <v>2010</v>
      </c>
      <c r="F1188" s="5" t="s">
        <v>14</v>
      </c>
      <c r="G1188" s="5" t="s">
        <v>6</v>
      </c>
      <c r="H1188" s="7">
        <v>9147.69</v>
      </c>
      <c r="I1188" s="7">
        <v>11821.4</v>
      </c>
      <c r="J1188" s="7">
        <v>2673.7099999999991</v>
      </c>
      <c r="K1188" s="8">
        <v>0.2922825325300703</v>
      </c>
    </row>
    <row r="1189" spans="1:11" x14ac:dyDescent="0.3">
      <c r="A1189" s="5" t="s">
        <v>45</v>
      </c>
      <c r="B1189" s="6">
        <v>40270</v>
      </c>
      <c r="C1189" s="5">
        <v>14</v>
      </c>
      <c r="D1189" s="5">
        <v>4</v>
      </c>
      <c r="E1189" s="5">
        <v>2010</v>
      </c>
      <c r="F1189" s="5" t="s">
        <v>15</v>
      </c>
      <c r="G1189" s="5" t="s">
        <v>6</v>
      </c>
      <c r="H1189" s="7">
        <v>205941.81</v>
      </c>
      <c r="I1189" s="7">
        <v>268239.65000000002</v>
      </c>
      <c r="J1189" s="7">
        <v>62297.840000000026</v>
      </c>
      <c r="K1189" s="8">
        <v>0.30250214854380481</v>
      </c>
    </row>
    <row r="1190" spans="1:11" x14ac:dyDescent="0.3">
      <c r="A1190" s="5" t="s">
        <v>45</v>
      </c>
      <c r="B1190" s="6">
        <v>40270</v>
      </c>
      <c r="C1190" s="5">
        <v>14</v>
      </c>
      <c r="D1190" s="5">
        <v>4</v>
      </c>
      <c r="E1190" s="5">
        <v>2010</v>
      </c>
      <c r="F1190" s="5" t="s">
        <v>16</v>
      </c>
      <c r="G1190" s="5" t="s">
        <v>6</v>
      </c>
      <c r="H1190" s="7">
        <v>77725.61</v>
      </c>
      <c r="I1190" s="7">
        <v>86625.29</v>
      </c>
      <c r="J1190" s="7">
        <v>8899.679999999993</v>
      </c>
      <c r="K1190" s="8">
        <v>0.1145012564069937</v>
      </c>
    </row>
    <row r="1191" spans="1:11" x14ac:dyDescent="0.3">
      <c r="A1191" s="5" t="s">
        <v>45</v>
      </c>
      <c r="B1191" s="6">
        <v>40270</v>
      </c>
      <c r="C1191" s="5">
        <v>14</v>
      </c>
      <c r="D1191" s="5">
        <v>4</v>
      </c>
      <c r="E1191" s="5">
        <v>2010</v>
      </c>
      <c r="F1191" s="5" t="s">
        <v>17</v>
      </c>
      <c r="G1191" s="5" t="s">
        <v>6</v>
      </c>
      <c r="H1191" s="7">
        <v>1722</v>
      </c>
      <c r="I1191" s="7">
        <v>1830.55</v>
      </c>
      <c r="J1191" s="7">
        <v>108.54999999999995</v>
      </c>
      <c r="K1191" s="8">
        <v>6.3037166085946547E-2</v>
      </c>
    </row>
    <row r="1192" spans="1:11" x14ac:dyDescent="0.3">
      <c r="A1192" s="5" t="s">
        <v>45</v>
      </c>
      <c r="B1192" s="6">
        <v>40270</v>
      </c>
      <c r="C1192" s="5">
        <v>14</v>
      </c>
      <c r="D1192" s="5">
        <v>4</v>
      </c>
      <c r="E1192" s="5">
        <v>2010</v>
      </c>
      <c r="F1192" s="5" t="s">
        <v>19</v>
      </c>
      <c r="G1192" s="5" t="s">
        <v>5</v>
      </c>
      <c r="H1192" s="7">
        <v>134268.73000000001</v>
      </c>
      <c r="I1192" s="7">
        <v>149301.41</v>
      </c>
      <c r="J1192" s="7">
        <v>15032.679999999993</v>
      </c>
      <c r="K1192" s="8">
        <v>0.11195964987529108</v>
      </c>
    </row>
    <row r="1193" spans="1:11" x14ac:dyDescent="0.3">
      <c r="A1193" s="5" t="s">
        <v>45</v>
      </c>
      <c r="B1193" s="6">
        <v>40270</v>
      </c>
      <c r="C1193" s="5">
        <v>14</v>
      </c>
      <c r="D1193" s="5">
        <v>4</v>
      </c>
      <c r="E1193" s="5">
        <v>2010</v>
      </c>
      <c r="F1193" s="5" t="s">
        <v>5</v>
      </c>
      <c r="G1193" s="5" t="s">
        <v>5</v>
      </c>
      <c r="H1193" s="7">
        <v>312829.07</v>
      </c>
      <c r="I1193" s="7">
        <v>341397.46</v>
      </c>
      <c r="J1193" s="7">
        <v>28568.390000000014</v>
      </c>
      <c r="K1193" s="8">
        <v>9.1322683023032397E-2</v>
      </c>
    </row>
    <row r="1194" spans="1:11" x14ac:dyDescent="0.3">
      <c r="A1194" s="5" t="s">
        <v>45</v>
      </c>
      <c r="B1194" s="6">
        <v>40270</v>
      </c>
      <c r="C1194" s="5">
        <v>14</v>
      </c>
      <c r="D1194" s="5">
        <v>4</v>
      </c>
      <c r="E1194" s="5">
        <v>2010</v>
      </c>
      <c r="F1194" s="5" t="s">
        <v>20</v>
      </c>
      <c r="G1194" s="5" t="s">
        <v>5</v>
      </c>
      <c r="H1194" s="7">
        <v>112710.79</v>
      </c>
      <c r="I1194" s="7">
        <v>125137.13</v>
      </c>
      <c r="J1194" s="7">
        <v>12426.340000000011</v>
      </c>
      <c r="K1194" s="8">
        <v>0.11024978176446117</v>
      </c>
    </row>
    <row r="1195" spans="1:11" x14ac:dyDescent="0.3">
      <c r="A1195" s="5" t="s">
        <v>45</v>
      </c>
      <c r="B1195" s="6">
        <v>40270</v>
      </c>
      <c r="C1195" s="5">
        <v>14</v>
      </c>
      <c r="D1195" s="5">
        <v>4</v>
      </c>
      <c r="E1195" s="5">
        <v>2010</v>
      </c>
      <c r="F1195" s="5" t="s">
        <v>21</v>
      </c>
      <c r="G1195" s="5" t="s">
        <v>5</v>
      </c>
      <c r="H1195" s="7">
        <v>194274.74</v>
      </c>
      <c r="I1195" s="7">
        <v>206081.48</v>
      </c>
      <c r="J1195" s="7">
        <v>11806.74000000002</v>
      </c>
      <c r="K1195" s="8">
        <v>6.0773418098513582E-2</v>
      </c>
    </row>
    <row r="1196" spans="1:11" x14ac:dyDescent="0.3">
      <c r="A1196" s="5" t="s">
        <v>45</v>
      </c>
      <c r="B1196" s="6">
        <v>40270</v>
      </c>
      <c r="C1196" s="5">
        <v>14</v>
      </c>
      <c r="D1196" s="5">
        <v>4</v>
      </c>
      <c r="E1196" s="5">
        <v>2010</v>
      </c>
      <c r="F1196" s="5" t="s">
        <v>22</v>
      </c>
      <c r="G1196" s="5" t="s">
        <v>8</v>
      </c>
      <c r="H1196" s="7">
        <v>370150.92</v>
      </c>
      <c r="I1196" s="7">
        <v>404754.43</v>
      </c>
      <c r="J1196" s="7">
        <v>34603.510000000009</v>
      </c>
      <c r="K1196" s="8">
        <v>9.3484868280213948E-2</v>
      </c>
    </row>
    <row r="1197" spans="1:11" x14ac:dyDescent="0.3">
      <c r="A1197" s="5" t="s">
        <v>45</v>
      </c>
      <c r="B1197" s="6">
        <v>40270</v>
      </c>
      <c r="C1197" s="5">
        <v>14</v>
      </c>
      <c r="D1197" s="5">
        <v>4</v>
      </c>
      <c r="E1197" s="5">
        <v>2010</v>
      </c>
      <c r="F1197" s="5" t="s">
        <v>23</v>
      </c>
      <c r="G1197" s="5" t="s">
        <v>8</v>
      </c>
      <c r="H1197" s="7">
        <v>188596</v>
      </c>
      <c r="I1197" s="7">
        <v>197604.88</v>
      </c>
      <c r="J1197" s="7">
        <v>9008.8800000000047</v>
      </c>
      <c r="K1197" s="8">
        <v>4.7768139303060536E-2</v>
      </c>
    </row>
    <row r="1198" spans="1:11" x14ac:dyDescent="0.3">
      <c r="A1198" s="5" t="s">
        <v>45</v>
      </c>
      <c r="B1198" s="6">
        <v>40270</v>
      </c>
      <c r="C1198" s="5">
        <v>14</v>
      </c>
      <c r="D1198" s="5">
        <v>4</v>
      </c>
      <c r="E1198" s="5">
        <v>2010</v>
      </c>
      <c r="F1198" s="5" t="s">
        <v>24</v>
      </c>
      <c r="G1198" s="5" t="s">
        <v>8</v>
      </c>
      <c r="H1198" s="7">
        <v>93542</v>
      </c>
      <c r="I1198" s="7">
        <v>98259.01</v>
      </c>
      <c r="J1198" s="7">
        <v>4717.0099999999948</v>
      </c>
      <c r="K1198" s="8">
        <v>5.042665326805066E-2</v>
      </c>
    </row>
    <row r="1199" spans="1:11" x14ac:dyDescent="0.3">
      <c r="A1199" s="5" t="s">
        <v>45</v>
      </c>
      <c r="B1199" s="6">
        <v>40270</v>
      </c>
      <c r="C1199" s="5">
        <v>14</v>
      </c>
      <c r="D1199" s="5">
        <v>4</v>
      </c>
      <c r="E1199" s="5">
        <v>2010</v>
      </c>
      <c r="F1199" s="5" t="s">
        <v>25</v>
      </c>
      <c r="G1199" s="5" t="s">
        <v>8</v>
      </c>
      <c r="H1199" s="7">
        <v>12598.05</v>
      </c>
      <c r="I1199" s="7">
        <v>14470.53</v>
      </c>
      <c r="J1199" s="7">
        <v>1872.4800000000014</v>
      </c>
      <c r="K1199" s="8">
        <v>0.14863252646242883</v>
      </c>
    </row>
    <row r="1200" spans="1:11" x14ac:dyDescent="0.3">
      <c r="A1200" s="5" t="s">
        <v>45</v>
      </c>
      <c r="B1200" s="6">
        <v>40270</v>
      </c>
      <c r="C1200" s="5">
        <v>14</v>
      </c>
      <c r="D1200" s="5">
        <v>4</v>
      </c>
      <c r="E1200" s="5">
        <v>2010</v>
      </c>
      <c r="F1200" s="5" t="s">
        <v>26</v>
      </c>
      <c r="G1200" s="5" t="s">
        <v>10</v>
      </c>
      <c r="H1200" s="7">
        <v>2926.16</v>
      </c>
      <c r="I1200" s="7">
        <v>3355.8</v>
      </c>
      <c r="J1200" s="7">
        <v>429.64000000000033</v>
      </c>
      <c r="K1200" s="8">
        <v>0.14682724116247928</v>
      </c>
    </row>
    <row r="1201" spans="1:11" x14ac:dyDescent="0.3">
      <c r="A1201" s="5" t="s">
        <v>45</v>
      </c>
      <c r="B1201" s="6">
        <v>40270</v>
      </c>
      <c r="C1201" s="5">
        <v>14</v>
      </c>
      <c r="D1201" s="5">
        <v>4</v>
      </c>
      <c r="E1201" s="5">
        <v>2010</v>
      </c>
      <c r="F1201" s="5" t="s">
        <v>27</v>
      </c>
      <c r="G1201" s="5" t="s">
        <v>10</v>
      </c>
      <c r="H1201" s="7">
        <v>96652.56</v>
      </c>
      <c r="I1201" s="7">
        <v>110367.98</v>
      </c>
      <c r="J1201" s="7">
        <v>13715.419999999998</v>
      </c>
      <c r="K1201" s="8">
        <v>0.1419043634229657</v>
      </c>
    </row>
    <row r="1202" spans="1:11" x14ac:dyDescent="0.3">
      <c r="A1202" s="5" t="s">
        <v>45</v>
      </c>
      <c r="B1202" s="6">
        <v>40270</v>
      </c>
      <c r="C1202" s="5">
        <v>14</v>
      </c>
      <c r="D1202" s="5">
        <v>4</v>
      </c>
      <c r="E1202" s="5">
        <v>2010</v>
      </c>
      <c r="F1202" s="5" t="s">
        <v>28</v>
      </c>
      <c r="G1202" s="5" t="s">
        <v>10</v>
      </c>
      <c r="H1202" s="7">
        <v>74602.899999999994</v>
      </c>
      <c r="I1202" s="7">
        <v>83148</v>
      </c>
      <c r="J1202" s="7">
        <v>8545.1000000000058</v>
      </c>
      <c r="K1202" s="8">
        <v>0.11454112373647682</v>
      </c>
    </row>
    <row r="1203" spans="1:11" x14ac:dyDescent="0.3">
      <c r="A1203" s="5" t="s">
        <v>45</v>
      </c>
      <c r="B1203" s="6">
        <v>40270</v>
      </c>
      <c r="C1203" s="5">
        <v>14</v>
      </c>
      <c r="D1203" s="5">
        <v>4</v>
      </c>
      <c r="E1203" s="5">
        <v>2010</v>
      </c>
      <c r="F1203" s="5" t="s">
        <v>29</v>
      </c>
      <c r="G1203" s="5" t="s">
        <v>10</v>
      </c>
      <c r="H1203" s="7">
        <v>529893.30000000005</v>
      </c>
      <c r="I1203" s="7">
        <v>582212.56999999995</v>
      </c>
      <c r="J1203" s="7">
        <v>52319.269999999902</v>
      </c>
      <c r="K1203" s="8">
        <v>9.8735481275192383E-2</v>
      </c>
    </row>
    <row r="1204" spans="1:11" x14ac:dyDescent="0.3">
      <c r="A1204" s="5" t="s">
        <v>45</v>
      </c>
      <c r="B1204" s="6">
        <v>40270</v>
      </c>
      <c r="C1204" s="5">
        <v>14</v>
      </c>
      <c r="D1204" s="5">
        <v>4</v>
      </c>
      <c r="E1204" s="5">
        <v>2010</v>
      </c>
      <c r="F1204" s="5" t="s">
        <v>30</v>
      </c>
      <c r="G1204" s="5" t="s">
        <v>10</v>
      </c>
      <c r="H1204" s="7">
        <v>85314.82</v>
      </c>
      <c r="I1204" s="7">
        <v>97328.99</v>
      </c>
      <c r="J1204" s="7">
        <v>12014.169999999998</v>
      </c>
      <c r="K1204" s="8">
        <v>0.14082160637507055</v>
      </c>
    </row>
    <row r="1205" spans="1:11" x14ac:dyDescent="0.3">
      <c r="A1205" s="5" t="s">
        <v>45</v>
      </c>
      <c r="B1205" s="6">
        <v>40270</v>
      </c>
      <c r="C1205" s="5">
        <v>14</v>
      </c>
      <c r="D1205" s="5">
        <v>4</v>
      </c>
      <c r="E1205" s="5">
        <v>2010</v>
      </c>
      <c r="F1205" s="5" t="s">
        <v>31</v>
      </c>
      <c r="G1205" s="5" t="s">
        <v>7</v>
      </c>
      <c r="H1205" s="7">
        <v>20807.560000000001</v>
      </c>
      <c r="I1205" s="7">
        <v>25829.64</v>
      </c>
      <c r="J1205" s="7">
        <v>5022.0799999999981</v>
      </c>
      <c r="K1205" s="8">
        <v>0.24135842934010512</v>
      </c>
    </row>
    <row r="1206" spans="1:11" x14ac:dyDescent="0.3">
      <c r="A1206" s="5" t="s">
        <v>45</v>
      </c>
      <c r="B1206" s="6">
        <v>40270</v>
      </c>
      <c r="C1206" s="5">
        <v>14</v>
      </c>
      <c r="D1206" s="5">
        <v>4</v>
      </c>
      <c r="E1206" s="5">
        <v>2010</v>
      </c>
      <c r="F1206" s="5" t="s">
        <v>32</v>
      </c>
      <c r="G1206" s="5" t="s">
        <v>7</v>
      </c>
      <c r="H1206" s="7">
        <v>20164.900000000001</v>
      </c>
      <c r="I1206" s="7">
        <v>23187.7</v>
      </c>
      <c r="J1206" s="7">
        <v>3022.7999999999993</v>
      </c>
      <c r="K1206" s="8">
        <v>0.14990404118046699</v>
      </c>
    </row>
    <row r="1207" spans="1:11" x14ac:dyDescent="0.3">
      <c r="A1207" s="5" t="s">
        <v>45</v>
      </c>
      <c r="B1207" s="6">
        <v>40270</v>
      </c>
      <c r="C1207" s="5">
        <v>14</v>
      </c>
      <c r="D1207" s="5">
        <v>4</v>
      </c>
      <c r="E1207" s="5">
        <v>2010</v>
      </c>
      <c r="F1207" s="5" t="s">
        <v>33</v>
      </c>
      <c r="G1207" s="5" t="s">
        <v>7</v>
      </c>
      <c r="H1207" s="7">
        <v>295484.68</v>
      </c>
      <c r="I1207" s="7">
        <v>382914.02</v>
      </c>
      <c r="J1207" s="7">
        <v>87429.340000000026</v>
      </c>
      <c r="K1207" s="8">
        <v>0.29588451083149225</v>
      </c>
    </row>
    <row r="1208" spans="1:11" x14ac:dyDescent="0.3">
      <c r="A1208" s="5" t="s">
        <v>45</v>
      </c>
      <c r="B1208" s="6">
        <v>40270</v>
      </c>
      <c r="C1208" s="5">
        <v>14</v>
      </c>
      <c r="D1208" s="5">
        <v>4</v>
      </c>
      <c r="E1208" s="5">
        <v>2010</v>
      </c>
      <c r="F1208" s="5" t="s">
        <v>34</v>
      </c>
      <c r="G1208" s="5" t="s">
        <v>7</v>
      </c>
      <c r="H1208" s="7">
        <v>76</v>
      </c>
      <c r="I1208" s="7">
        <v>94.95</v>
      </c>
      <c r="J1208" s="7">
        <v>18.950000000000003</v>
      </c>
      <c r="K1208" s="8">
        <v>0.24934210526315792</v>
      </c>
    </row>
    <row r="1209" spans="1:11" x14ac:dyDescent="0.3">
      <c r="A1209" s="5" t="s">
        <v>45</v>
      </c>
      <c r="B1209" s="6">
        <v>40270</v>
      </c>
      <c r="C1209" s="5">
        <v>14</v>
      </c>
      <c r="D1209" s="5">
        <v>4</v>
      </c>
      <c r="E1209" s="5">
        <v>2010</v>
      </c>
      <c r="F1209" s="5" t="s">
        <v>35</v>
      </c>
      <c r="G1209" s="5" t="s">
        <v>11</v>
      </c>
      <c r="H1209" s="7">
        <v>2369.4</v>
      </c>
      <c r="I1209" s="7">
        <v>3079.37</v>
      </c>
      <c r="J1209" s="7">
        <v>709.9699999999998</v>
      </c>
      <c r="K1209" s="8">
        <v>0.29964125939056291</v>
      </c>
    </row>
    <row r="1210" spans="1:11" x14ac:dyDescent="0.3">
      <c r="A1210" s="5" t="s">
        <v>45</v>
      </c>
      <c r="B1210" s="6">
        <v>40270</v>
      </c>
      <c r="C1210" s="5">
        <v>14</v>
      </c>
      <c r="D1210" s="5">
        <v>4</v>
      </c>
      <c r="E1210" s="5">
        <v>2010</v>
      </c>
      <c r="F1210" s="5" t="s">
        <v>36</v>
      </c>
      <c r="G1210" s="5" t="s">
        <v>11</v>
      </c>
      <c r="H1210" s="7">
        <v>183221.02</v>
      </c>
      <c r="I1210" s="7">
        <v>169187.43</v>
      </c>
      <c r="J1210" s="7">
        <v>-14033.589999999997</v>
      </c>
      <c r="K1210" s="8">
        <v>-7.6593777286034087E-2</v>
      </c>
    </row>
    <row r="1211" spans="1:11" x14ac:dyDescent="0.3">
      <c r="A1211" s="5" t="s">
        <v>45</v>
      </c>
      <c r="B1211" s="6">
        <v>40270</v>
      </c>
      <c r="C1211" s="5">
        <v>14</v>
      </c>
      <c r="D1211" s="5">
        <v>4</v>
      </c>
      <c r="E1211" s="5">
        <v>2010</v>
      </c>
      <c r="F1211" s="5" t="s">
        <v>37</v>
      </c>
      <c r="G1211" s="5" t="s">
        <v>11</v>
      </c>
      <c r="H1211" s="7">
        <v>307740.56</v>
      </c>
      <c r="I1211" s="7">
        <v>329725.12</v>
      </c>
      <c r="J1211" s="7">
        <v>21984.559999999998</v>
      </c>
      <c r="K1211" s="8">
        <v>7.1438616996082671E-2</v>
      </c>
    </row>
    <row r="1212" spans="1:11" x14ac:dyDescent="0.3">
      <c r="A1212" s="5" t="s">
        <v>45</v>
      </c>
      <c r="B1212" s="6">
        <v>40270</v>
      </c>
      <c r="C1212" s="5">
        <v>14</v>
      </c>
      <c r="D1212" s="5">
        <v>4</v>
      </c>
      <c r="E1212" s="5">
        <v>2010</v>
      </c>
      <c r="F1212" s="5" t="s">
        <v>38</v>
      </c>
      <c r="G1212" s="5" t="s">
        <v>11</v>
      </c>
      <c r="H1212" s="7">
        <v>245151.5</v>
      </c>
      <c r="I1212" s="7">
        <v>246235.1</v>
      </c>
      <c r="J1212" s="7">
        <v>1083.6000000000058</v>
      </c>
      <c r="K1212" s="8">
        <v>4.4201238825787555E-3</v>
      </c>
    </row>
    <row r="1213" spans="1:11" x14ac:dyDescent="0.3">
      <c r="A1213" s="5" t="s">
        <v>45</v>
      </c>
      <c r="B1213" s="6">
        <v>40271</v>
      </c>
      <c r="C1213" s="5">
        <v>14</v>
      </c>
      <c r="D1213" s="5">
        <v>4</v>
      </c>
      <c r="E1213" s="5">
        <v>2010</v>
      </c>
      <c r="F1213" s="5" t="s">
        <v>14</v>
      </c>
      <c r="G1213" s="5" t="s">
        <v>6</v>
      </c>
      <c r="H1213" s="7">
        <v>10717.64</v>
      </c>
      <c r="I1213" s="7">
        <v>14014.92</v>
      </c>
      <c r="J1213" s="7">
        <v>3297.2800000000007</v>
      </c>
      <c r="K1213" s="8">
        <v>0.30764981843017686</v>
      </c>
    </row>
    <row r="1214" spans="1:11" x14ac:dyDescent="0.3">
      <c r="A1214" s="5" t="s">
        <v>45</v>
      </c>
      <c r="B1214" s="6">
        <v>40271</v>
      </c>
      <c r="C1214" s="5">
        <v>14</v>
      </c>
      <c r="D1214" s="5">
        <v>4</v>
      </c>
      <c r="E1214" s="5">
        <v>2010</v>
      </c>
      <c r="F1214" s="5" t="s">
        <v>15</v>
      </c>
      <c r="G1214" s="5" t="s">
        <v>6</v>
      </c>
      <c r="H1214" s="7">
        <v>295919.31</v>
      </c>
      <c r="I1214" s="7">
        <v>362634.65</v>
      </c>
      <c r="J1214" s="7">
        <v>66715.340000000026</v>
      </c>
      <c r="K1214" s="8">
        <v>0.22545112044225848</v>
      </c>
    </row>
    <row r="1215" spans="1:11" x14ac:dyDescent="0.3">
      <c r="A1215" s="5" t="s">
        <v>45</v>
      </c>
      <c r="B1215" s="6">
        <v>40271</v>
      </c>
      <c r="C1215" s="5">
        <v>14</v>
      </c>
      <c r="D1215" s="5">
        <v>4</v>
      </c>
      <c r="E1215" s="5">
        <v>2010</v>
      </c>
      <c r="F1215" s="5" t="s">
        <v>16</v>
      </c>
      <c r="G1215" s="5" t="s">
        <v>6</v>
      </c>
      <c r="H1215" s="7">
        <v>77923.8</v>
      </c>
      <c r="I1215" s="7">
        <v>86532.45</v>
      </c>
      <c r="J1215" s="7">
        <v>8608.6499999999942</v>
      </c>
      <c r="K1215" s="8">
        <v>0.11047523349733963</v>
      </c>
    </row>
    <row r="1216" spans="1:11" x14ac:dyDescent="0.3">
      <c r="A1216" s="5" t="s">
        <v>45</v>
      </c>
      <c r="B1216" s="6">
        <v>40271</v>
      </c>
      <c r="C1216" s="5">
        <v>14</v>
      </c>
      <c r="D1216" s="5">
        <v>4</v>
      </c>
      <c r="E1216" s="5">
        <v>2010</v>
      </c>
      <c r="F1216" s="5" t="s">
        <v>17</v>
      </c>
      <c r="G1216" s="5" t="s">
        <v>6</v>
      </c>
      <c r="H1216" s="7">
        <v>574</v>
      </c>
      <c r="I1216" s="7">
        <v>659.96</v>
      </c>
      <c r="J1216" s="7">
        <v>85.960000000000036</v>
      </c>
      <c r="K1216" s="8">
        <v>0.14975609756097566</v>
      </c>
    </row>
    <row r="1217" spans="1:11" x14ac:dyDescent="0.3">
      <c r="A1217" s="5" t="s">
        <v>45</v>
      </c>
      <c r="B1217" s="6">
        <v>40271</v>
      </c>
      <c r="C1217" s="5">
        <v>14</v>
      </c>
      <c r="D1217" s="5">
        <v>4</v>
      </c>
      <c r="E1217" s="5">
        <v>2010</v>
      </c>
      <c r="F1217" s="5" t="s">
        <v>19</v>
      </c>
      <c r="G1217" s="5" t="s">
        <v>5</v>
      </c>
      <c r="H1217" s="7">
        <v>140803.76999999999</v>
      </c>
      <c r="I1217" s="7">
        <v>155479.35999999999</v>
      </c>
      <c r="J1217" s="7">
        <v>14675.589999999997</v>
      </c>
      <c r="K1217" s="8">
        <v>0.1042272518697475</v>
      </c>
    </row>
    <row r="1218" spans="1:11" x14ac:dyDescent="0.3">
      <c r="A1218" s="5" t="s">
        <v>45</v>
      </c>
      <c r="B1218" s="6">
        <v>40271</v>
      </c>
      <c r="C1218" s="5">
        <v>14</v>
      </c>
      <c r="D1218" s="5">
        <v>4</v>
      </c>
      <c r="E1218" s="5">
        <v>2010</v>
      </c>
      <c r="F1218" s="5" t="s">
        <v>5</v>
      </c>
      <c r="G1218" s="5" t="s">
        <v>5</v>
      </c>
      <c r="H1218" s="7">
        <v>295129.51</v>
      </c>
      <c r="I1218" s="7">
        <v>322577.55</v>
      </c>
      <c r="J1218" s="7">
        <v>27448.039999999979</v>
      </c>
      <c r="K1218" s="8">
        <v>9.3003373332609052E-2</v>
      </c>
    </row>
    <row r="1219" spans="1:11" x14ac:dyDescent="0.3">
      <c r="A1219" s="5" t="s">
        <v>45</v>
      </c>
      <c r="B1219" s="6">
        <v>40271</v>
      </c>
      <c r="C1219" s="5">
        <v>14</v>
      </c>
      <c r="D1219" s="5">
        <v>4</v>
      </c>
      <c r="E1219" s="5">
        <v>2010</v>
      </c>
      <c r="F1219" s="5" t="s">
        <v>20</v>
      </c>
      <c r="G1219" s="5" t="s">
        <v>5</v>
      </c>
      <c r="H1219" s="7">
        <v>124297.2</v>
      </c>
      <c r="I1219" s="7">
        <v>137808.88</v>
      </c>
      <c r="J1219" s="7">
        <v>13511.680000000008</v>
      </c>
      <c r="K1219" s="8">
        <v>0.10870462086032516</v>
      </c>
    </row>
    <row r="1220" spans="1:11" x14ac:dyDescent="0.3">
      <c r="A1220" s="5" t="s">
        <v>45</v>
      </c>
      <c r="B1220" s="6">
        <v>40271</v>
      </c>
      <c r="C1220" s="5">
        <v>14</v>
      </c>
      <c r="D1220" s="5">
        <v>4</v>
      </c>
      <c r="E1220" s="5">
        <v>2010</v>
      </c>
      <c r="F1220" s="5" t="s">
        <v>21</v>
      </c>
      <c r="G1220" s="5" t="s">
        <v>5</v>
      </c>
      <c r="H1220" s="7">
        <v>214850.22</v>
      </c>
      <c r="I1220" s="7">
        <v>226074.14</v>
      </c>
      <c r="J1220" s="7">
        <v>11223.920000000013</v>
      </c>
      <c r="K1220" s="8">
        <v>5.2240672595075831E-2</v>
      </c>
    </row>
    <row r="1221" spans="1:11" x14ac:dyDescent="0.3">
      <c r="A1221" s="5" t="s">
        <v>45</v>
      </c>
      <c r="B1221" s="6">
        <v>40271</v>
      </c>
      <c r="C1221" s="5">
        <v>14</v>
      </c>
      <c r="D1221" s="5">
        <v>4</v>
      </c>
      <c r="E1221" s="5">
        <v>2010</v>
      </c>
      <c r="F1221" s="5" t="s">
        <v>22</v>
      </c>
      <c r="G1221" s="5" t="s">
        <v>8</v>
      </c>
      <c r="H1221" s="7">
        <v>445247.67</v>
      </c>
      <c r="I1221" s="7">
        <v>487051.11</v>
      </c>
      <c r="J1221" s="7">
        <v>41803.440000000002</v>
      </c>
      <c r="K1221" s="8">
        <v>9.3888060099225235E-2</v>
      </c>
    </row>
    <row r="1222" spans="1:11" x14ac:dyDescent="0.3">
      <c r="A1222" s="5" t="s">
        <v>45</v>
      </c>
      <c r="B1222" s="6">
        <v>40271</v>
      </c>
      <c r="C1222" s="5">
        <v>14</v>
      </c>
      <c r="D1222" s="5">
        <v>4</v>
      </c>
      <c r="E1222" s="5">
        <v>2010</v>
      </c>
      <c r="F1222" s="5" t="s">
        <v>23</v>
      </c>
      <c r="G1222" s="5" t="s">
        <v>8</v>
      </c>
      <c r="H1222" s="7">
        <v>266565.8</v>
      </c>
      <c r="I1222" s="7">
        <v>276001.09999999998</v>
      </c>
      <c r="J1222" s="7">
        <v>9435.2999999999884</v>
      </c>
      <c r="K1222" s="8">
        <v>3.5395763447523987E-2</v>
      </c>
    </row>
    <row r="1223" spans="1:11" x14ac:dyDescent="0.3">
      <c r="A1223" s="5" t="s">
        <v>45</v>
      </c>
      <c r="B1223" s="6">
        <v>40271</v>
      </c>
      <c r="C1223" s="5">
        <v>14</v>
      </c>
      <c r="D1223" s="5">
        <v>4</v>
      </c>
      <c r="E1223" s="5">
        <v>2010</v>
      </c>
      <c r="F1223" s="5" t="s">
        <v>24</v>
      </c>
      <c r="G1223" s="5" t="s">
        <v>8</v>
      </c>
      <c r="H1223" s="7">
        <v>146704</v>
      </c>
      <c r="I1223" s="7">
        <v>153202.37</v>
      </c>
      <c r="J1223" s="7">
        <v>6498.3699999999953</v>
      </c>
      <c r="K1223" s="8">
        <v>4.4295792889082745E-2</v>
      </c>
    </row>
    <row r="1224" spans="1:11" x14ac:dyDescent="0.3">
      <c r="A1224" s="5" t="s">
        <v>45</v>
      </c>
      <c r="B1224" s="6">
        <v>40271</v>
      </c>
      <c r="C1224" s="5">
        <v>14</v>
      </c>
      <c r="D1224" s="5">
        <v>4</v>
      </c>
      <c r="E1224" s="5">
        <v>2010</v>
      </c>
      <c r="F1224" s="5" t="s">
        <v>25</v>
      </c>
      <c r="G1224" s="5" t="s">
        <v>8</v>
      </c>
      <c r="H1224" s="7">
        <v>35419.1</v>
      </c>
      <c r="I1224" s="7">
        <v>37586.410000000003</v>
      </c>
      <c r="J1224" s="7">
        <v>2167.3100000000049</v>
      </c>
      <c r="K1224" s="8">
        <v>6.1190431151553967E-2</v>
      </c>
    </row>
    <row r="1225" spans="1:11" x14ac:dyDescent="0.3">
      <c r="A1225" s="5" t="s">
        <v>45</v>
      </c>
      <c r="B1225" s="6">
        <v>40271</v>
      </c>
      <c r="C1225" s="5">
        <v>14</v>
      </c>
      <c r="D1225" s="5">
        <v>4</v>
      </c>
      <c r="E1225" s="5">
        <v>2010</v>
      </c>
      <c r="F1225" s="5" t="s">
        <v>26</v>
      </c>
      <c r="G1225" s="5" t="s">
        <v>10</v>
      </c>
      <c r="H1225" s="7">
        <v>2301.17</v>
      </c>
      <c r="I1225" s="7">
        <v>2644.49</v>
      </c>
      <c r="J1225" s="7">
        <v>343.31999999999971</v>
      </c>
      <c r="K1225" s="8">
        <v>0.14919367104559841</v>
      </c>
    </row>
    <row r="1226" spans="1:11" x14ac:dyDescent="0.3">
      <c r="A1226" s="5" t="s">
        <v>45</v>
      </c>
      <c r="B1226" s="6">
        <v>40271</v>
      </c>
      <c r="C1226" s="5">
        <v>14</v>
      </c>
      <c r="D1226" s="5">
        <v>4</v>
      </c>
      <c r="E1226" s="5">
        <v>2010</v>
      </c>
      <c r="F1226" s="5" t="s">
        <v>27</v>
      </c>
      <c r="G1226" s="5" t="s">
        <v>10</v>
      </c>
      <c r="H1226" s="7">
        <v>107763.85</v>
      </c>
      <c r="I1226" s="7">
        <v>122840.23</v>
      </c>
      <c r="J1226" s="7">
        <v>15076.37999999999</v>
      </c>
      <c r="K1226" s="8">
        <v>0.13990201723490753</v>
      </c>
    </row>
    <row r="1227" spans="1:11" x14ac:dyDescent="0.3">
      <c r="A1227" s="5" t="s">
        <v>45</v>
      </c>
      <c r="B1227" s="6">
        <v>40271</v>
      </c>
      <c r="C1227" s="5">
        <v>14</v>
      </c>
      <c r="D1227" s="5">
        <v>4</v>
      </c>
      <c r="E1227" s="5">
        <v>2010</v>
      </c>
      <c r="F1227" s="5" t="s">
        <v>28</v>
      </c>
      <c r="G1227" s="5" t="s">
        <v>10</v>
      </c>
      <c r="H1227" s="7">
        <v>57865.52</v>
      </c>
      <c r="I1227" s="7">
        <v>64711.34</v>
      </c>
      <c r="J1227" s="7">
        <v>6845.82</v>
      </c>
      <c r="K1227" s="8">
        <v>0.11830568532003169</v>
      </c>
    </row>
    <row r="1228" spans="1:11" x14ac:dyDescent="0.3">
      <c r="A1228" s="5" t="s">
        <v>45</v>
      </c>
      <c r="B1228" s="6">
        <v>40271</v>
      </c>
      <c r="C1228" s="5">
        <v>14</v>
      </c>
      <c r="D1228" s="5">
        <v>4</v>
      </c>
      <c r="E1228" s="5">
        <v>2010</v>
      </c>
      <c r="F1228" s="5" t="s">
        <v>29</v>
      </c>
      <c r="G1228" s="5" t="s">
        <v>10</v>
      </c>
      <c r="H1228" s="7">
        <v>886050.28</v>
      </c>
      <c r="I1228" s="7">
        <v>973892.57</v>
      </c>
      <c r="J1228" s="7">
        <v>87842.289999999921</v>
      </c>
      <c r="K1228" s="8">
        <v>9.9139170747736705E-2</v>
      </c>
    </row>
    <row r="1229" spans="1:11" x14ac:dyDescent="0.3">
      <c r="A1229" s="5" t="s">
        <v>45</v>
      </c>
      <c r="B1229" s="6">
        <v>40271</v>
      </c>
      <c r="C1229" s="5">
        <v>14</v>
      </c>
      <c r="D1229" s="5">
        <v>4</v>
      </c>
      <c r="E1229" s="5">
        <v>2010</v>
      </c>
      <c r="F1229" s="5" t="s">
        <v>30</v>
      </c>
      <c r="G1229" s="5" t="s">
        <v>10</v>
      </c>
      <c r="H1229" s="7">
        <v>174710.98</v>
      </c>
      <c r="I1229" s="7">
        <v>196769.77</v>
      </c>
      <c r="J1229" s="7">
        <v>22058.789999999979</v>
      </c>
      <c r="K1229" s="8">
        <v>0.1262587503086525</v>
      </c>
    </row>
    <row r="1230" spans="1:11" x14ac:dyDescent="0.3">
      <c r="A1230" s="5" t="s">
        <v>45</v>
      </c>
      <c r="B1230" s="6">
        <v>40271</v>
      </c>
      <c r="C1230" s="5">
        <v>14</v>
      </c>
      <c r="D1230" s="5">
        <v>4</v>
      </c>
      <c r="E1230" s="5">
        <v>2010</v>
      </c>
      <c r="F1230" s="5" t="s">
        <v>31</v>
      </c>
      <c r="G1230" s="5" t="s">
        <v>7</v>
      </c>
      <c r="H1230" s="7">
        <v>83963.85</v>
      </c>
      <c r="I1230" s="7">
        <v>93168.74</v>
      </c>
      <c r="J1230" s="7">
        <v>9204.89</v>
      </c>
      <c r="K1230" s="8">
        <v>0.1096292035203245</v>
      </c>
    </row>
    <row r="1231" spans="1:11" x14ac:dyDescent="0.3">
      <c r="A1231" s="5" t="s">
        <v>45</v>
      </c>
      <c r="B1231" s="6">
        <v>40271</v>
      </c>
      <c r="C1231" s="5">
        <v>14</v>
      </c>
      <c r="D1231" s="5">
        <v>4</v>
      </c>
      <c r="E1231" s="5">
        <v>2010</v>
      </c>
      <c r="F1231" s="5" t="s">
        <v>32</v>
      </c>
      <c r="G1231" s="5" t="s">
        <v>7</v>
      </c>
      <c r="H1231" s="7">
        <v>44481.03</v>
      </c>
      <c r="I1231" s="7">
        <v>51145.15</v>
      </c>
      <c r="J1231" s="7">
        <v>6664.1200000000026</v>
      </c>
      <c r="K1231" s="8">
        <v>0.14981937243809335</v>
      </c>
    </row>
    <row r="1232" spans="1:11" x14ac:dyDescent="0.3">
      <c r="A1232" s="5" t="s">
        <v>45</v>
      </c>
      <c r="B1232" s="6">
        <v>40271</v>
      </c>
      <c r="C1232" s="5">
        <v>14</v>
      </c>
      <c r="D1232" s="5">
        <v>4</v>
      </c>
      <c r="E1232" s="5">
        <v>2010</v>
      </c>
      <c r="F1232" s="5" t="s">
        <v>33</v>
      </c>
      <c r="G1232" s="5" t="s">
        <v>7</v>
      </c>
      <c r="H1232" s="7">
        <v>361931.59</v>
      </c>
      <c r="I1232" s="7">
        <v>465577.97</v>
      </c>
      <c r="J1232" s="7">
        <v>103646.37999999995</v>
      </c>
      <c r="K1232" s="8">
        <v>0.28637008446817241</v>
      </c>
    </row>
    <row r="1233" spans="1:11" x14ac:dyDescent="0.3">
      <c r="A1233" s="5" t="s">
        <v>45</v>
      </c>
      <c r="B1233" s="6">
        <v>40271</v>
      </c>
      <c r="C1233" s="5">
        <v>14</v>
      </c>
      <c r="D1233" s="5">
        <v>4</v>
      </c>
      <c r="E1233" s="5">
        <v>2010</v>
      </c>
      <c r="F1233" s="5" t="s">
        <v>34</v>
      </c>
      <c r="G1233" s="5" t="s">
        <v>7</v>
      </c>
      <c r="H1233" s="7">
        <v>152</v>
      </c>
      <c r="I1233" s="7">
        <v>189.88</v>
      </c>
      <c r="J1233" s="7">
        <v>37.879999999999995</v>
      </c>
      <c r="K1233" s="8">
        <v>0.24921052631578944</v>
      </c>
    </row>
    <row r="1234" spans="1:11" x14ac:dyDescent="0.3">
      <c r="A1234" s="5" t="s">
        <v>45</v>
      </c>
      <c r="B1234" s="6">
        <v>40271</v>
      </c>
      <c r="C1234" s="5">
        <v>14</v>
      </c>
      <c r="D1234" s="5">
        <v>4</v>
      </c>
      <c r="E1234" s="5">
        <v>2010</v>
      </c>
      <c r="F1234" s="5" t="s">
        <v>35</v>
      </c>
      <c r="G1234" s="5" t="s">
        <v>11</v>
      </c>
      <c r="H1234" s="7">
        <v>3912.88</v>
      </c>
      <c r="I1234" s="7">
        <v>5085.66</v>
      </c>
      <c r="J1234" s="7">
        <v>1172.7799999999997</v>
      </c>
      <c r="K1234" s="8">
        <v>0.29972296620392136</v>
      </c>
    </row>
    <row r="1235" spans="1:11" x14ac:dyDescent="0.3">
      <c r="A1235" s="5" t="s">
        <v>45</v>
      </c>
      <c r="B1235" s="6">
        <v>40271</v>
      </c>
      <c r="C1235" s="5">
        <v>14</v>
      </c>
      <c r="D1235" s="5">
        <v>4</v>
      </c>
      <c r="E1235" s="5">
        <v>2010</v>
      </c>
      <c r="F1235" s="5" t="s">
        <v>36</v>
      </c>
      <c r="G1235" s="5" t="s">
        <v>11</v>
      </c>
      <c r="H1235" s="7">
        <v>186250.01</v>
      </c>
      <c r="I1235" s="7">
        <v>177140.59</v>
      </c>
      <c r="J1235" s="7">
        <v>-9109.4200000000128</v>
      </c>
      <c r="K1235" s="8">
        <v>-4.8909634957872018E-2</v>
      </c>
    </row>
    <row r="1236" spans="1:11" x14ac:dyDescent="0.3">
      <c r="A1236" s="5" t="s">
        <v>45</v>
      </c>
      <c r="B1236" s="6">
        <v>40271</v>
      </c>
      <c r="C1236" s="5">
        <v>14</v>
      </c>
      <c r="D1236" s="5">
        <v>4</v>
      </c>
      <c r="E1236" s="5">
        <v>2010</v>
      </c>
      <c r="F1236" s="5" t="s">
        <v>37</v>
      </c>
      <c r="G1236" s="5" t="s">
        <v>11</v>
      </c>
      <c r="H1236" s="7">
        <v>353111.23</v>
      </c>
      <c r="I1236" s="7">
        <v>374318.39</v>
      </c>
      <c r="J1236" s="7">
        <v>21207.160000000033</v>
      </c>
      <c r="K1236" s="8">
        <v>6.0058016280026078E-2</v>
      </c>
    </row>
    <row r="1237" spans="1:11" x14ac:dyDescent="0.3">
      <c r="A1237" s="5" t="s">
        <v>45</v>
      </c>
      <c r="B1237" s="6">
        <v>40271</v>
      </c>
      <c r="C1237" s="5">
        <v>14</v>
      </c>
      <c r="D1237" s="5">
        <v>4</v>
      </c>
      <c r="E1237" s="5">
        <v>2010</v>
      </c>
      <c r="F1237" s="5" t="s">
        <v>38</v>
      </c>
      <c r="G1237" s="5" t="s">
        <v>11</v>
      </c>
      <c r="H1237" s="7">
        <v>358758.89</v>
      </c>
      <c r="I1237" s="7">
        <v>356672.67</v>
      </c>
      <c r="J1237" s="7">
        <v>-2086.2200000000303</v>
      </c>
      <c r="K1237" s="8">
        <v>-5.8151032856636111E-3</v>
      </c>
    </row>
    <row r="1238" spans="1:11" x14ac:dyDescent="0.3">
      <c r="A1238" s="5" t="s">
        <v>45</v>
      </c>
      <c r="B1238" s="6">
        <v>40272</v>
      </c>
      <c r="C1238" s="5">
        <v>15</v>
      </c>
      <c r="D1238" s="5">
        <v>4</v>
      </c>
      <c r="E1238" s="5">
        <v>2010</v>
      </c>
      <c r="F1238" s="5" t="s">
        <v>14</v>
      </c>
      <c r="G1238" s="5" t="s">
        <v>6</v>
      </c>
      <c r="H1238" s="7">
        <v>6320.81</v>
      </c>
      <c r="I1238" s="7">
        <v>8339.44</v>
      </c>
      <c r="J1238" s="7">
        <v>2018.63</v>
      </c>
      <c r="K1238" s="8">
        <v>0.31936255005292041</v>
      </c>
    </row>
    <row r="1239" spans="1:11" x14ac:dyDescent="0.3">
      <c r="A1239" s="5" t="s">
        <v>45</v>
      </c>
      <c r="B1239" s="6">
        <v>40272</v>
      </c>
      <c r="C1239" s="5">
        <v>15</v>
      </c>
      <c r="D1239" s="5">
        <v>4</v>
      </c>
      <c r="E1239" s="5">
        <v>2010</v>
      </c>
      <c r="F1239" s="5" t="s">
        <v>15</v>
      </c>
      <c r="G1239" s="5" t="s">
        <v>6</v>
      </c>
      <c r="H1239" s="7">
        <v>171666.23</v>
      </c>
      <c r="I1239" s="7">
        <v>225249.88</v>
      </c>
      <c r="J1239" s="7">
        <v>53583.649999999994</v>
      </c>
      <c r="K1239" s="8">
        <v>0.31213856097381526</v>
      </c>
    </row>
    <row r="1240" spans="1:11" x14ac:dyDescent="0.3">
      <c r="A1240" s="5" t="s">
        <v>45</v>
      </c>
      <c r="B1240" s="6">
        <v>40272</v>
      </c>
      <c r="C1240" s="5">
        <v>15</v>
      </c>
      <c r="D1240" s="5">
        <v>4</v>
      </c>
      <c r="E1240" s="5">
        <v>2010</v>
      </c>
      <c r="F1240" s="5" t="s">
        <v>16</v>
      </c>
      <c r="G1240" s="5" t="s">
        <v>6</v>
      </c>
      <c r="H1240" s="7">
        <v>28800.06</v>
      </c>
      <c r="I1240" s="7">
        <v>32261.16</v>
      </c>
      <c r="J1240" s="7">
        <v>3461.0999999999985</v>
      </c>
      <c r="K1240" s="8">
        <v>0.12017683296493127</v>
      </c>
    </row>
    <row r="1241" spans="1:11" x14ac:dyDescent="0.3">
      <c r="A1241" s="5" t="s">
        <v>45</v>
      </c>
      <c r="B1241" s="6">
        <v>40272</v>
      </c>
      <c r="C1241" s="5">
        <v>15</v>
      </c>
      <c r="D1241" s="5">
        <v>4</v>
      </c>
      <c r="E1241" s="5">
        <v>2010</v>
      </c>
      <c r="F1241" s="5" t="s">
        <v>18</v>
      </c>
      <c r="G1241" s="5" t="s">
        <v>6</v>
      </c>
      <c r="H1241" s="7">
        <v>973</v>
      </c>
      <c r="I1241" s="7">
        <v>1118.72</v>
      </c>
      <c r="J1241" s="7">
        <v>145.72000000000003</v>
      </c>
      <c r="K1241" s="8">
        <v>0.14976361767728677</v>
      </c>
    </row>
    <row r="1242" spans="1:11" x14ac:dyDescent="0.3">
      <c r="A1242" s="5" t="s">
        <v>45</v>
      </c>
      <c r="B1242" s="6">
        <v>40272</v>
      </c>
      <c r="C1242" s="5">
        <v>15</v>
      </c>
      <c r="D1242" s="5">
        <v>4</v>
      </c>
      <c r="E1242" s="5">
        <v>2010</v>
      </c>
      <c r="F1242" s="5" t="s">
        <v>19</v>
      </c>
      <c r="G1242" s="5" t="s">
        <v>5</v>
      </c>
      <c r="H1242" s="7">
        <v>109795.99</v>
      </c>
      <c r="I1242" s="7">
        <v>122395.67</v>
      </c>
      <c r="J1242" s="7">
        <v>12599.679999999993</v>
      </c>
      <c r="K1242" s="8">
        <v>0.11475537494584268</v>
      </c>
    </row>
    <row r="1243" spans="1:11" x14ac:dyDescent="0.3">
      <c r="A1243" s="5" t="s">
        <v>45</v>
      </c>
      <c r="B1243" s="6">
        <v>40272</v>
      </c>
      <c r="C1243" s="5">
        <v>15</v>
      </c>
      <c r="D1243" s="5">
        <v>4</v>
      </c>
      <c r="E1243" s="5">
        <v>2010</v>
      </c>
      <c r="F1243" s="5" t="s">
        <v>5</v>
      </c>
      <c r="G1243" s="5" t="s">
        <v>5</v>
      </c>
      <c r="H1243" s="7">
        <v>218298.51</v>
      </c>
      <c r="I1243" s="7">
        <v>242804.77</v>
      </c>
      <c r="J1243" s="7">
        <v>24506.25999999998</v>
      </c>
      <c r="K1243" s="8">
        <v>0.11226031730587616</v>
      </c>
    </row>
    <row r="1244" spans="1:11" x14ac:dyDescent="0.3">
      <c r="A1244" s="5" t="s">
        <v>45</v>
      </c>
      <c r="B1244" s="6">
        <v>40272</v>
      </c>
      <c r="C1244" s="5">
        <v>15</v>
      </c>
      <c r="D1244" s="5">
        <v>4</v>
      </c>
      <c r="E1244" s="5">
        <v>2010</v>
      </c>
      <c r="F1244" s="5" t="s">
        <v>20</v>
      </c>
      <c r="G1244" s="5" t="s">
        <v>5</v>
      </c>
      <c r="H1244" s="7">
        <v>71897.91</v>
      </c>
      <c r="I1244" s="7">
        <v>80660.210000000006</v>
      </c>
      <c r="J1244" s="7">
        <v>8762.3000000000029</v>
      </c>
      <c r="K1244" s="8">
        <v>0.12187141462109263</v>
      </c>
    </row>
    <row r="1245" spans="1:11" x14ac:dyDescent="0.3">
      <c r="A1245" s="5" t="s">
        <v>45</v>
      </c>
      <c r="B1245" s="6">
        <v>40272</v>
      </c>
      <c r="C1245" s="5">
        <v>15</v>
      </c>
      <c r="D1245" s="5">
        <v>4</v>
      </c>
      <c r="E1245" s="5">
        <v>2010</v>
      </c>
      <c r="F1245" s="5" t="s">
        <v>21</v>
      </c>
      <c r="G1245" s="5" t="s">
        <v>5</v>
      </c>
      <c r="H1245" s="7">
        <v>154174.85999999999</v>
      </c>
      <c r="I1245" s="7">
        <v>163055.26</v>
      </c>
      <c r="J1245" s="7">
        <v>8880.4000000000233</v>
      </c>
      <c r="K1245" s="8">
        <v>5.7599533412905475E-2</v>
      </c>
    </row>
    <row r="1246" spans="1:11" x14ac:dyDescent="0.3">
      <c r="A1246" s="5" t="s">
        <v>45</v>
      </c>
      <c r="B1246" s="6">
        <v>40272</v>
      </c>
      <c r="C1246" s="5">
        <v>15</v>
      </c>
      <c r="D1246" s="5">
        <v>4</v>
      </c>
      <c r="E1246" s="5">
        <v>2010</v>
      </c>
      <c r="F1246" s="5" t="s">
        <v>22</v>
      </c>
      <c r="G1246" s="5" t="s">
        <v>8</v>
      </c>
      <c r="H1246" s="7">
        <v>173929.28</v>
      </c>
      <c r="I1246" s="7">
        <v>194736.44</v>
      </c>
      <c r="J1246" s="7">
        <v>20807.160000000003</v>
      </c>
      <c r="K1246" s="8">
        <v>0.11963000134307464</v>
      </c>
    </row>
    <row r="1247" spans="1:11" x14ac:dyDescent="0.3">
      <c r="A1247" s="5" t="s">
        <v>45</v>
      </c>
      <c r="B1247" s="6">
        <v>40272</v>
      </c>
      <c r="C1247" s="5">
        <v>15</v>
      </c>
      <c r="D1247" s="5">
        <v>4</v>
      </c>
      <c r="E1247" s="5">
        <v>2010</v>
      </c>
      <c r="F1247" s="5" t="s">
        <v>23</v>
      </c>
      <c r="G1247" s="5" t="s">
        <v>8</v>
      </c>
      <c r="H1247" s="7">
        <v>152681.29999999999</v>
      </c>
      <c r="I1247" s="7">
        <v>158125.46</v>
      </c>
      <c r="J1247" s="7">
        <v>5444.1600000000035</v>
      </c>
      <c r="K1247" s="8">
        <v>3.5657018901463403E-2</v>
      </c>
    </row>
    <row r="1248" spans="1:11" x14ac:dyDescent="0.3">
      <c r="A1248" s="5" t="s">
        <v>45</v>
      </c>
      <c r="B1248" s="6">
        <v>40272</v>
      </c>
      <c r="C1248" s="5">
        <v>15</v>
      </c>
      <c r="D1248" s="5">
        <v>4</v>
      </c>
      <c r="E1248" s="5">
        <v>2010</v>
      </c>
      <c r="F1248" s="5" t="s">
        <v>24</v>
      </c>
      <c r="G1248" s="5" t="s">
        <v>8</v>
      </c>
      <c r="H1248" s="7">
        <v>69224</v>
      </c>
      <c r="I1248" s="7">
        <v>72052.73</v>
      </c>
      <c r="J1248" s="7">
        <v>2828.7299999999959</v>
      </c>
      <c r="K1248" s="8">
        <v>4.0863428868600428E-2</v>
      </c>
    </row>
    <row r="1249" spans="1:11" x14ac:dyDescent="0.3">
      <c r="A1249" s="5" t="s">
        <v>45</v>
      </c>
      <c r="B1249" s="6">
        <v>40272</v>
      </c>
      <c r="C1249" s="5">
        <v>15</v>
      </c>
      <c r="D1249" s="5">
        <v>4</v>
      </c>
      <c r="E1249" s="5">
        <v>2010</v>
      </c>
      <c r="F1249" s="5" t="s">
        <v>25</v>
      </c>
      <c r="G1249" s="5" t="s">
        <v>8</v>
      </c>
      <c r="H1249" s="7">
        <v>7477.25</v>
      </c>
      <c r="I1249" s="7">
        <v>8685.4</v>
      </c>
      <c r="J1249" s="7">
        <v>1208.1499999999996</v>
      </c>
      <c r="K1249" s="8">
        <v>0.16157678290815469</v>
      </c>
    </row>
    <row r="1250" spans="1:11" x14ac:dyDescent="0.3">
      <c r="A1250" s="5" t="s">
        <v>45</v>
      </c>
      <c r="B1250" s="6">
        <v>40272</v>
      </c>
      <c r="C1250" s="5">
        <v>15</v>
      </c>
      <c r="D1250" s="5">
        <v>4</v>
      </c>
      <c r="E1250" s="5">
        <v>2010</v>
      </c>
      <c r="F1250" s="5" t="s">
        <v>26</v>
      </c>
      <c r="G1250" s="5" t="s">
        <v>10</v>
      </c>
      <c r="H1250" s="7">
        <v>2084.44</v>
      </c>
      <c r="I1250" s="7">
        <v>2396.79</v>
      </c>
      <c r="J1250" s="7">
        <v>312.34999999999991</v>
      </c>
      <c r="K1250" s="8">
        <v>0.1498484005296386</v>
      </c>
    </row>
    <row r="1251" spans="1:11" x14ac:dyDescent="0.3">
      <c r="A1251" s="5" t="s">
        <v>45</v>
      </c>
      <c r="B1251" s="6">
        <v>40272</v>
      </c>
      <c r="C1251" s="5">
        <v>15</v>
      </c>
      <c r="D1251" s="5">
        <v>4</v>
      </c>
      <c r="E1251" s="5">
        <v>2010</v>
      </c>
      <c r="F1251" s="5" t="s">
        <v>27</v>
      </c>
      <c r="G1251" s="5" t="s">
        <v>10</v>
      </c>
      <c r="H1251" s="7">
        <v>47249.01</v>
      </c>
      <c r="I1251" s="7">
        <v>53832.17</v>
      </c>
      <c r="J1251" s="7">
        <v>6583.1599999999962</v>
      </c>
      <c r="K1251" s="8">
        <v>0.13932905684161417</v>
      </c>
    </row>
    <row r="1252" spans="1:11" x14ac:dyDescent="0.3">
      <c r="A1252" s="5" t="s">
        <v>45</v>
      </c>
      <c r="B1252" s="6">
        <v>40272</v>
      </c>
      <c r="C1252" s="5">
        <v>15</v>
      </c>
      <c r="D1252" s="5">
        <v>4</v>
      </c>
      <c r="E1252" s="5">
        <v>2010</v>
      </c>
      <c r="F1252" s="5" t="s">
        <v>28</v>
      </c>
      <c r="G1252" s="5" t="s">
        <v>10</v>
      </c>
      <c r="H1252" s="7">
        <v>33462.26</v>
      </c>
      <c r="I1252" s="7">
        <v>37586.699999999997</v>
      </c>
      <c r="J1252" s="7">
        <v>4124.4399999999951</v>
      </c>
      <c r="K1252" s="8">
        <v>0.12325646863063029</v>
      </c>
    </row>
    <row r="1253" spans="1:11" x14ac:dyDescent="0.3">
      <c r="A1253" s="5" t="s">
        <v>45</v>
      </c>
      <c r="B1253" s="6">
        <v>40272</v>
      </c>
      <c r="C1253" s="5">
        <v>15</v>
      </c>
      <c r="D1253" s="5">
        <v>4</v>
      </c>
      <c r="E1253" s="5">
        <v>2010</v>
      </c>
      <c r="F1253" s="5" t="s">
        <v>29</v>
      </c>
      <c r="G1253" s="5" t="s">
        <v>10</v>
      </c>
      <c r="H1253" s="7">
        <v>370941.91</v>
      </c>
      <c r="I1253" s="7">
        <v>406771.17</v>
      </c>
      <c r="J1253" s="7">
        <v>35829.260000000009</v>
      </c>
      <c r="K1253" s="8">
        <v>9.6589948544773527E-2</v>
      </c>
    </row>
    <row r="1254" spans="1:11" x14ac:dyDescent="0.3">
      <c r="A1254" s="5" t="s">
        <v>45</v>
      </c>
      <c r="B1254" s="6">
        <v>40272</v>
      </c>
      <c r="C1254" s="5">
        <v>15</v>
      </c>
      <c r="D1254" s="5">
        <v>4</v>
      </c>
      <c r="E1254" s="5">
        <v>2010</v>
      </c>
      <c r="F1254" s="5" t="s">
        <v>30</v>
      </c>
      <c r="G1254" s="5" t="s">
        <v>10</v>
      </c>
      <c r="H1254" s="7">
        <v>125098.96</v>
      </c>
      <c r="I1254" s="7">
        <v>140448.84</v>
      </c>
      <c r="J1254" s="7">
        <v>15349.87999999999</v>
      </c>
      <c r="K1254" s="8">
        <v>0.12270189936031434</v>
      </c>
    </row>
    <row r="1255" spans="1:11" x14ac:dyDescent="0.3">
      <c r="A1255" s="5" t="s">
        <v>45</v>
      </c>
      <c r="B1255" s="6">
        <v>40272</v>
      </c>
      <c r="C1255" s="5">
        <v>15</v>
      </c>
      <c r="D1255" s="5">
        <v>4</v>
      </c>
      <c r="E1255" s="5">
        <v>2010</v>
      </c>
      <c r="F1255" s="5" t="s">
        <v>31</v>
      </c>
      <c r="G1255" s="5" t="s">
        <v>7</v>
      </c>
      <c r="H1255" s="7">
        <v>17137.900000000001</v>
      </c>
      <c r="I1255" s="7">
        <v>19022.97</v>
      </c>
      <c r="J1255" s="7">
        <v>1885.0699999999997</v>
      </c>
      <c r="K1255" s="8">
        <v>0.10999422332957945</v>
      </c>
    </row>
    <row r="1256" spans="1:11" x14ac:dyDescent="0.3">
      <c r="A1256" s="5" t="s">
        <v>45</v>
      </c>
      <c r="B1256" s="6">
        <v>40272</v>
      </c>
      <c r="C1256" s="5">
        <v>15</v>
      </c>
      <c r="D1256" s="5">
        <v>4</v>
      </c>
      <c r="E1256" s="5">
        <v>2010</v>
      </c>
      <c r="F1256" s="5" t="s">
        <v>32</v>
      </c>
      <c r="G1256" s="5" t="s">
        <v>7</v>
      </c>
      <c r="H1256" s="7">
        <v>22129.07</v>
      </c>
      <c r="I1256" s="7">
        <v>25444.240000000002</v>
      </c>
      <c r="J1256" s="7">
        <v>3315.1700000000019</v>
      </c>
      <c r="K1256" s="8">
        <v>0.14981063370489595</v>
      </c>
    </row>
    <row r="1257" spans="1:11" x14ac:dyDescent="0.3">
      <c r="A1257" s="5" t="s">
        <v>45</v>
      </c>
      <c r="B1257" s="6">
        <v>40272</v>
      </c>
      <c r="C1257" s="5">
        <v>15</v>
      </c>
      <c r="D1257" s="5">
        <v>4</v>
      </c>
      <c r="E1257" s="5">
        <v>2010</v>
      </c>
      <c r="F1257" s="5" t="s">
        <v>33</v>
      </c>
      <c r="G1257" s="5" t="s">
        <v>7</v>
      </c>
      <c r="H1257" s="7">
        <v>181892.75</v>
      </c>
      <c r="I1257" s="7">
        <v>251522.55</v>
      </c>
      <c r="J1257" s="7">
        <v>69629.799999999988</v>
      </c>
      <c r="K1257" s="8">
        <v>0.38280690131959622</v>
      </c>
    </row>
    <row r="1258" spans="1:11" x14ac:dyDescent="0.3">
      <c r="A1258" s="5" t="s">
        <v>45</v>
      </c>
      <c r="B1258" s="6">
        <v>40272</v>
      </c>
      <c r="C1258" s="5">
        <v>15</v>
      </c>
      <c r="D1258" s="5">
        <v>4</v>
      </c>
      <c r="E1258" s="5">
        <v>2010</v>
      </c>
      <c r="F1258" s="5" t="s">
        <v>34</v>
      </c>
      <c r="G1258" s="5" t="s">
        <v>7</v>
      </c>
      <c r="H1258" s="7">
        <v>380</v>
      </c>
      <c r="I1258" s="7">
        <v>474.97</v>
      </c>
      <c r="J1258" s="7">
        <v>94.970000000000027</v>
      </c>
      <c r="K1258" s="8">
        <v>0.24992105263157902</v>
      </c>
    </row>
    <row r="1259" spans="1:11" x14ac:dyDescent="0.3">
      <c r="A1259" s="5" t="s">
        <v>45</v>
      </c>
      <c r="B1259" s="6">
        <v>40272</v>
      </c>
      <c r="C1259" s="5">
        <v>15</v>
      </c>
      <c r="D1259" s="5">
        <v>4</v>
      </c>
      <c r="E1259" s="5">
        <v>2010</v>
      </c>
      <c r="F1259" s="5" t="s">
        <v>35</v>
      </c>
      <c r="G1259" s="5" t="s">
        <v>11</v>
      </c>
      <c r="H1259" s="7">
        <v>2296.08</v>
      </c>
      <c r="I1259" s="7">
        <v>2984.19</v>
      </c>
      <c r="J1259" s="7">
        <v>688.11000000000013</v>
      </c>
      <c r="K1259" s="8">
        <v>0.29968903522525353</v>
      </c>
    </row>
    <row r="1260" spans="1:11" x14ac:dyDescent="0.3">
      <c r="A1260" s="5" t="s">
        <v>45</v>
      </c>
      <c r="B1260" s="6">
        <v>40272</v>
      </c>
      <c r="C1260" s="5">
        <v>15</v>
      </c>
      <c r="D1260" s="5">
        <v>4</v>
      </c>
      <c r="E1260" s="5">
        <v>2010</v>
      </c>
      <c r="F1260" s="5" t="s">
        <v>36</v>
      </c>
      <c r="G1260" s="5" t="s">
        <v>11</v>
      </c>
      <c r="H1260" s="7">
        <v>155158.56</v>
      </c>
      <c r="I1260" s="7">
        <v>158348.78</v>
      </c>
      <c r="J1260" s="7">
        <v>3190.2200000000012</v>
      </c>
      <c r="K1260" s="8">
        <v>2.0561031244425064E-2</v>
      </c>
    </row>
    <row r="1261" spans="1:11" x14ac:dyDescent="0.3">
      <c r="A1261" s="5" t="s">
        <v>45</v>
      </c>
      <c r="B1261" s="6">
        <v>40272</v>
      </c>
      <c r="C1261" s="5">
        <v>15</v>
      </c>
      <c r="D1261" s="5">
        <v>4</v>
      </c>
      <c r="E1261" s="5">
        <v>2010</v>
      </c>
      <c r="F1261" s="5" t="s">
        <v>37</v>
      </c>
      <c r="G1261" s="5" t="s">
        <v>11</v>
      </c>
      <c r="H1261" s="7">
        <v>254529.96</v>
      </c>
      <c r="I1261" s="7">
        <v>278206.63</v>
      </c>
      <c r="J1261" s="7">
        <v>23676.670000000013</v>
      </c>
      <c r="K1261" s="8">
        <v>9.302115161610057E-2</v>
      </c>
    </row>
    <row r="1262" spans="1:11" x14ac:dyDescent="0.3">
      <c r="A1262" s="5" t="s">
        <v>45</v>
      </c>
      <c r="B1262" s="6">
        <v>40272</v>
      </c>
      <c r="C1262" s="5">
        <v>15</v>
      </c>
      <c r="D1262" s="5">
        <v>4</v>
      </c>
      <c r="E1262" s="5">
        <v>2010</v>
      </c>
      <c r="F1262" s="5" t="s">
        <v>38</v>
      </c>
      <c r="G1262" s="5" t="s">
        <v>11</v>
      </c>
      <c r="H1262" s="7">
        <v>248030.57</v>
      </c>
      <c r="I1262" s="7">
        <v>252987.32</v>
      </c>
      <c r="J1262" s="7">
        <v>4956.75</v>
      </c>
      <c r="K1262" s="8">
        <v>1.9984431757746637E-2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K1256"/>
  <sheetViews>
    <sheetView workbookViewId="0">
      <selection activeCell="L10" sqref="L10"/>
    </sheetView>
  </sheetViews>
  <sheetFormatPr defaultRowHeight="14.4" x14ac:dyDescent="0.3"/>
  <cols>
    <col min="1" max="1" width="9.6640625" bestFit="1" customWidth="1"/>
    <col min="2" max="2" width="10.109375" bestFit="1" customWidth="1"/>
    <col min="3" max="3" width="8.33203125" bestFit="1" customWidth="1"/>
    <col min="4" max="4" width="7.5546875" bestFit="1" customWidth="1"/>
    <col min="5" max="5" width="6.109375" customWidth="1"/>
    <col min="6" max="6" width="40.6640625" bestFit="1" customWidth="1"/>
    <col min="7" max="7" width="28" bestFit="1" customWidth="1"/>
    <col min="8" max="9" width="13.33203125" bestFit="1" customWidth="1"/>
    <col min="10" max="10" width="12.44140625" bestFit="1" customWidth="1"/>
    <col min="11" max="11" width="9.5546875" bestFit="1" customWidth="1"/>
  </cols>
  <sheetData>
    <row r="1" spans="1:11" ht="16.2" thickBot="1" x14ac:dyDescent="0.35">
      <c r="A1" s="1" t="s">
        <v>0</v>
      </c>
      <c r="B1" s="2" t="s">
        <v>4</v>
      </c>
      <c r="C1" s="1" t="s">
        <v>3</v>
      </c>
      <c r="D1" s="1" t="s">
        <v>2</v>
      </c>
      <c r="E1" s="1" t="s">
        <v>1</v>
      </c>
      <c r="F1" s="1" t="s">
        <v>12</v>
      </c>
      <c r="G1" s="1" t="s">
        <v>13</v>
      </c>
      <c r="H1" s="3" t="s">
        <v>39</v>
      </c>
      <c r="I1" s="3" t="s">
        <v>40</v>
      </c>
      <c r="J1" s="3" t="s">
        <v>41</v>
      </c>
      <c r="K1" s="4" t="s">
        <v>42</v>
      </c>
    </row>
    <row r="2" spans="1:11" x14ac:dyDescent="0.3">
      <c r="A2" s="5" t="s">
        <v>46</v>
      </c>
      <c r="B2" s="6">
        <v>40224</v>
      </c>
      <c r="C2" s="5">
        <v>8</v>
      </c>
      <c r="D2" s="5">
        <v>2</v>
      </c>
      <c r="E2" s="5">
        <v>2010</v>
      </c>
      <c r="F2" s="5" t="s">
        <v>14</v>
      </c>
      <c r="G2" s="5" t="s">
        <v>6</v>
      </c>
      <c r="H2" s="7">
        <v>16764</v>
      </c>
      <c r="I2" s="7">
        <v>18964.38</v>
      </c>
      <c r="J2" s="7">
        <v>2200.380000000001</v>
      </c>
      <c r="K2" s="8">
        <v>0.13125626342161781</v>
      </c>
    </row>
    <row r="3" spans="1:11" x14ac:dyDescent="0.3">
      <c r="A3" s="5" t="s">
        <v>46</v>
      </c>
      <c r="B3" s="6">
        <v>40224</v>
      </c>
      <c r="C3" s="5">
        <v>8</v>
      </c>
      <c r="D3" s="5">
        <v>2</v>
      </c>
      <c r="E3" s="5">
        <v>2010</v>
      </c>
      <c r="F3" s="5" t="s">
        <v>15</v>
      </c>
      <c r="G3" s="5" t="s">
        <v>6</v>
      </c>
      <c r="H3" s="7">
        <v>203581.19</v>
      </c>
      <c r="I3" s="7">
        <v>233508.11</v>
      </c>
      <c r="J3" s="7">
        <v>29926.919999999984</v>
      </c>
      <c r="K3" s="8">
        <v>0.14700238268574806</v>
      </c>
    </row>
    <row r="4" spans="1:11" x14ac:dyDescent="0.3">
      <c r="A4" s="5" t="s">
        <v>46</v>
      </c>
      <c r="B4" s="6">
        <v>40224</v>
      </c>
      <c r="C4" s="5">
        <v>8</v>
      </c>
      <c r="D4" s="5">
        <v>2</v>
      </c>
      <c r="E4" s="5">
        <v>2010</v>
      </c>
      <c r="F4" s="5" t="s">
        <v>16</v>
      </c>
      <c r="G4" s="5" t="s">
        <v>6</v>
      </c>
      <c r="H4" s="7">
        <v>84532.1</v>
      </c>
      <c r="I4" s="7">
        <v>94884.55</v>
      </c>
      <c r="J4" s="7">
        <v>10352.449999999997</v>
      </c>
      <c r="K4" s="8">
        <v>0.1224676779590238</v>
      </c>
    </row>
    <row r="5" spans="1:11" x14ac:dyDescent="0.3">
      <c r="A5" s="5" t="s">
        <v>46</v>
      </c>
      <c r="B5" s="6">
        <v>40224</v>
      </c>
      <c r="C5" s="5">
        <v>8</v>
      </c>
      <c r="D5" s="5">
        <v>2</v>
      </c>
      <c r="E5" s="5">
        <v>2010</v>
      </c>
      <c r="F5" s="5" t="s">
        <v>17</v>
      </c>
      <c r="G5" s="5" t="s">
        <v>6</v>
      </c>
      <c r="H5" s="7">
        <v>3298</v>
      </c>
      <c r="I5" s="7">
        <v>3746.02</v>
      </c>
      <c r="J5" s="7">
        <v>448.02</v>
      </c>
      <c r="K5" s="8">
        <v>0.13584596725288053</v>
      </c>
    </row>
    <row r="6" spans="1:11" x14ac:dyDescent="0.3">
      <c r="A6" s="5" t="s">
        <v>46</v>
      </c>
      <c r="B6" s="6">
        <v>40224</v>
      </c>
      <c r="C6" s="5">
        <v>8</v>
      </c>
      <c r="D6" s="5">
        <v>2</v>
      </c>
      <c r="E6" s="5">
        <v>2010</v>
      </c>
      <c r="F6" s="5" t="s">
        <v>18</v>
      </c>
      <c r="G6" s="5" t="s">
        <v>6</v>
      </c>
      <c r="H6" s="7">
        <v>34836.870000000003</v>
      </c>
      <c r="I6" s="7">
        <v>39020.550000000003</v>
      </c>
      <c r="J6" s="7">
        <v>4183.68</v>
      </c>
      <c r="K6" s="8">
        <v>0.12009345271260019</v>
      </c>
    </row>
    <row r="7" spans="1:11" x14ac:dyDescent="0.3">
      <c r="A7" s="5" t="s">
        <v>46</v>
      </c>
      <c r="B7" s="6">
        <v>40224</v>
      </c>
      <c r="C7" s="5">
        <v>8</v>
      </c>
      <c r="D7" s="5">
        <v>2</v>
      </c>
      <c r="E7" s="5">
        <v>2010</v>
      </c>
      <c r="F7" s="5" t="s">
        <v>19</v>
      </c>
      <c r="G7" s="5" t="s">
        <v>5</v>
      </c>
      <c r="H7" s="7">
        <v>125858.47</v>
      </c>
      <c r="I7" s="7">
        <v>140080.54</v>
      </c>
      <c r="J7" s="7">
        <v>14222.070000000007</v>
      </c>
      <c r="K7" s="8">
        <v>0.11300049968826101</v>
      </c>
    </row>
    <row r="8" spans="1:11" x14ac:dyDescent="0.3">
      <c r="A8" s="5" t="s">
        <v>46</v>
      </c>
      <c r="B8" s="6">
        <v>40224</v>
      </c>
      <c r="C8" s="5">
        <v>8</v>
      </c>
      <c r="D8" s="5">
        <v>2</v>
      </c>
      <c r="E8" s="5">
        <v>2010</v>
      </c>
      <c r="F8" s="5" t="s">
        <v>5</v>
      </c>
      <c r="G8" s="5" t="s">
        <v>5</v>
      </c>
      <c r="H8" s="7">
        <v>447084.74</v>
      </c>
      <c r="I8" s="7">
        <v>475123.57</v>
      </c>
      <c r="J8" s="7">
        <v>28038.830000000016</v>
      </c>
      <c r="K8" s="8">
        <v>6.2714799883351005E-2</v>
      </c>
    </row>
    <row r="9" spans="1:11" x14ac:dyDescent="0.3">
      <c r="A9" s="5" t="s">
        <v>46</v>
      </c>
      <c r="B9" s="6">
        <v>40224</v>
      </c>
      <c r="C9" s="5">
        <v>8</v>
      </c>
      <c r="D9" s="5">
        <v>2</v>
      </c>
      <c r="E9" s="5">
        <v>2010</v>
      </c>
      <c r="F9" s="5" t="s">
        <v>20</v>
      </c>
      <c r="G9" s="5" t="s">
        <v>5</v>
      </c>
      <c r="H9" s="7">
        <v>108571.97</v>
      </c>
      <c r="I9" s="7">
        <v>120510.08</v>
      </c>
      <c r="J9" s="7">
        <v>11938.11</v>
      </c>
      <c r="K9" s="8">
        <v>0.10995572798393545</v>
      </c>
    </row>
    <row r="10" spans="1:11" x14ac:dyDescent="0.3">
      <c r="A10" s="5" t="s">
        <v>46</v>
      </c>
      <c r="B10" s="6">
        <v>40224</v>
      </c>
      <c r="C10" s="5">
        <v>8</v>
      </c>
      <c r="D10" s="5">
        <v>2</v>
      </c>
      <c r="E10" s="5">
        <v>2010</v>
      </c>
      <c r="F10" s="5" t="s">
        <v>21</v>
      </c>
      <c r="G10" s="5" t="s">
        <v>5</v>
      </c>
      <c r="H10" s="7">
        <v>178209.93</v>
      </c>
      <c r="I10" s="7">
        <v>188679.14</v>
      </c>
      <c r="J10" s="7">
        <v>10469.210000000021</v>
      </c>
      <c r="K10" s="8">
        <v>5.8746501948572796E-2</v>
      </c>
    </row>
    <row r="11" spans="1:11" x14ac:dyDescent="0.3">
      <c r="A11" s="5" t="s">
        <v>46</v>
      </c>
      <c r="B11" s="6">
        <v>40224</v>
      </c>
      <c r="C11" s="5">
        <v>8</v>
      </c>
      <c r="D11" s="5">
        <v>2</v>
      </c>
      <c r="E11" s="5">
        <v>2010</v>
      </c>
      <c r="F11" s="5" t="s">
        <v>22</v>
      </c>
      <c r="G11" s="5" t="s">
        <v>8</v>
      </c>
      <c r="H11" s="7">
        <v>334985.94</v>
      </c>
      <c r="I11" s="7">
        <v>359406.61</v>
      </c>
      <c r="J11" s="7">
        <v>24420.669999999984</v>
      </c>
      <c r="K11" s="8">
        <v>7.29005820363684E-2</v>
      </c>
    </row>
    <row r="12" spans="1:11" x14ac:dyDescent="0.3">
      <c r="A12" s="5" t="s">
        <v>46</v>
      </c>
      <c r="B12" s="6">
        <v>40224</v>
      </c>
      <c r="C12" s="5">
        <v>8</v>
      </c>
      <c r="D12" s="5">
        <v>2</v>
      </c>
      <c r="E12" s="5">
        <v>2010</v>
      </c>
      <c r="F12" s="5" t="s">
        <v>23</v>
      </c>
      <c r="G12" s="5" t="s">
        <v>8</v>
      </c>
      <c r="H12" s="7">
        <v>114554.73</v>
      </c>
      <c r="I12" s="7">
        <v>119006.27</v>
      </c>
      <c r="J12" s="7">
        <v>4451.5400000000081</v>
      </c>
      <c r="K12" s="8">
        <v>3.8859504099045129E-2</v>
      </c>
    </row>
    <row r="13" spans="1:11" x14ac:dyDescent="0.3">
      <c r="A13" s="5" t="s">
        <v>46</v>
      </c>
      <c r="B13" s="6">
        <v>40224</v>
      </c>
      <c r="C13" s="5">
        <v>8</v>
      </c>
      <c r="D13" s="5">
        <v>2</v>
      </c>
      <c r="E13" s="5">
        <v>2010</v>
      </c>
      <c r="F13" s="5" t="s">
        <v>24</v>
      </c>
      <c r="G13" s="5" t="s">
        <v>8</v>
      </c>
      <c r="H13" s="7">
        <v>129453.31</v>
      </c>
      <c r="I13" s="7">
        <v>138792.67000000001</v>
      </c>
      <c r="J13" s="7">
        <v>9339.3600000000151</v>
      </c>
      <c r="K13" s="8">
        <v>7.2144621099298395E-2</v>
      </c>
    </row>
    <row r="14" spans="1:11" x14ac:dyDescent="0.3">
      <c r="A14" s="5" t="s">
        <v>46</v>
      </c>
      <c r="B14" s="6">
        <v>40224</v>
      </c>
      <c r="C14" s="5">
        <v>8</v>
      </c>
      <c r="D14" s="5">
        <v>2</v>
      </c>
      <c r="E14" s="5">
        <v>2010</v>
      </c>
      <c r="F14" s="5" t="s">
        <v>25</v>
      </c>
      <c r="G14" s="5" t="s">
        <v>8</v>
      </c>
      <c r="H14" s="7">
        <v>12198</v>
      </c>
      <c r="I14" s="7">
        <v>13011.33</v>
      </c>
      <c r="J14" s="7">
        <v>813.32999999999993</v>
      </c>
      <c r="K14" s="8">
        <v>6.6677324151500239E-2</v>
      </c>
    </row>
    <row r="15" spans="1:11" x14ac:dyDescent="0.3">
      <c r="A15" s="5" t="s">
        <v>46</v>
      </c>
      <c r="B15" s="6">
        <v>40224</v>
      </c>
      <c r="C15" s="5">
        <v>8</v>
      </c>
      <c r="D15" s="5">
        <v>2</v>
      </c>
      <c r="E15" s="5">
        <v>2010</v>
      </c>
      <c r="F15" s="5" t="s">
        <v>26</v>
      </c>
      <c r="G15" s="5" t="s">
        <v>10</v>
      </c>
      <c r="H15" s="7">
        <v>3717</v>
      </c>
      <c r="I15" s="7">
        <v>4150.7700000000004</v>
      </c>
      <c r="J15" s="7">
        <v>433.77000000000044</v>
      </c>
      <c r="K15" s="8">
        <v>0.11669895076674749</v>
      </c>
    </row>
    <row r="16" spans="1:11" x14ac:dyDescent="0.3">
      <c r="A16" s="5" t="s">
        <v>46</v>
      </c>
      <c r="B16" s="6">
        <v>40224</v>
      </c>
      <c r="C16" s="5">
        <v>8</v>
      </c>
      <c r="D16" s="5">
        <v>2</v>
      </c>
      <c r="E16" s="5">
        <v>2010</v>
      </c>
      <c r="F16" s="5" t="s">
        <v>27</v>
      </c>
      <c r="G16" s="5" t="s">
        <v>10</v>
      </c>
      <c r="H16" s="7">
        <v>138906.99</v>
      </c>
      <c r="I16" s="7">
        <v>157775.48000000001</v>
      </c>
      <c r="J16" s="7">
        <v>18868.49000000002</v>
      </c>
      <c r="K16" s="8">
        <v>0.13583542484075151</v>
      </c>
    </row>
    <row r="17" spans="1:11" x14ac:dyDescent="0.3">
      <c r="A17" s="5" t="s">
        <v>46</v>
      </c>
      <c r="B17" s="6">
        <v>40224</v>
      </c>
      <c r="C17" s="5">
        <v>8</v>
      </c>
      <c r="D17" s="5">
        <v>2</v>
      </c>
      <c r="E17" s="5">
        <v>2010</v>
      </c>
      <c r="F17" s="5" t="s">
        <v>28</v>
      </c>
      <c r="G17" s="5" t="s">
        <v>10</v>
      </c>
      <c r="H17" s="7">
        <v>121229.86</v>
      </c>
      <c r="I17" s="7">
        <v>135174.89000000001</v>
      </c>
      <c r="J17" s="7">
        <v>13945.030000000013</v>
      </c>
      <c r="K17" s="8">
        <v>0.11502966348389757</v>
      </c>
    </row>
    <row r="18" spans="1:11" x14ac:dyDescent="0.3">
      <c r="A18" s="5" t="s">
        <v>46</v>
      </c>
      <c r="B18" s="6">
        <v>40224</v>
      </c>
      <c r="C18" s="5">
        <v>8</v>
      </c>
      <c r="D18" s="5">
        <v>2</v>
      </c>
      <c r="E18" s="5">
        <v>2010</v>
      </c>
      <c r="F18" s="5" t="s">
        <v>29</v>
      </c>
      <c r="G18" s="5" t="s">
        <v>10</v>
      </c>
      <c r="H18" s="7">
        <v>397833.25</v>
      </c>
      <c r="I18" s="7">
        <v>435071.21</v>
      </c>
      <c r="J18" s="7">
        <v>37237.960000000021</v>
      </c>
      <c r="K18" s="8">
        <v>9.3601929954321372E-2</v>
      </c>
    </row>
    <row r="19" spans="1:11" x14ac:dyDescent="0.3">
      <c r="A19" s="5" t="s">
        <v>46</v>
      </c>
      <c r="B19" s="6">
        <v>40224</v>
      </c>
      <c r="C19" s="5">
        <v>8</v>
      </c>
      <c r="D19" s="5">
        <v>2</v>
      </c>
      <c r="E19" s="5">
        <v>2010</v>
      </c>
      <c r="F19" s="5" t="s">
        <v>30</v>
      </c>
      <c r="G19" s="5" t="s">
        <v>10</v>
      </c>
      <c r="H19" s="7">
        <v>101876.03</v>
      </c>
      <c r="I19" s="7">
        <v>114955.27</v>
      </c>
      <c r="J19" s="7">
        <v>13079.240000000005</v>
      </c>
      <c r="K19" s="8">
        <v>0.12838387989795053</v>
      </c>
    </row>
    <row r="20" spans="1:11" x14ac:dyDescent="0.3">
      <c r="A20" s="5" t="s">
        <v>46</v>
      </c>
      <c r="B20" s="6">
        <v>40224</v>
      </c>
      <c r="C20" s="5">
        <v>8</v>
      </c>
      <c r="D20" s="5">
        <v>2</v>
      </c>
      <c r="E20" s="5">
        <v>2010</v>
      </c>
      <c r="F20" s="5" t="s">
        <v>9</v>
      </c>
      <c r="G20" s="5" t="s">
        <v>9</v>
      </c>
      <c r="H20" s="7">
        <v>624591.01</v>
      </c>
      <c r="I20" s="7">
        <v>747033.07</v>
      </c>
      <c r="J20" s="7">
        <v>122442.05999999994</v>
      </c>
      <c r="K20" s="8">
        <v>0.19603557854603115</v>
      </c>
    </row>
    <row r="21" spans="1:11" x14ac:dyDescent="0.3">
      <c r="A21" s="5" t="s">
        <v>46</v>
      </c>
      <c r="B21" s="6">
        <v>40224</v>
      </c>
      <c r="C21" s="5">
        <v>8</v>
      </c>
      <c r="D21" s="5">
        <v>2</v>
      </c>
      <c r="E21" s="5">
        <v>2010</v>
      </c>
      <c r="F21" s="5" t="s">
        <v>31</v>
      </c>
      <c r="G21" s="5" t="s">
        <v>7</v>
      </c>
      <c r="H21" s="7">
        <v>69087.47</v>
      </c>
      <c r="I21" s="7">
        <v>79239.509999999995</v>
      </c>
      <c r="J21" s="7">
        <v>10152.039999999994</v>
      </c>
      <c r="K21" s="8">
        <v>0.14694473542018535</v>
      </c>
    </row>
    <row r="22" spans="1:11" x14ac:dyDescent="0.3">
      <c r="A22" s="5" t="s">
        <v>46</v>
      </c>
      <c r="B22" s="6">
        <v>40224</v>
      </c>
      <c r="C22" s="5">
        <v>8</v>
      </c>
      <c r="D22" s="5">
        <v>2</v>
      </c>
      <c r="E22" s="5">
        <v>2010</v>
      </c>
      <c r="F22" s="5" t="s">
        <v>33</v>
      </c>
      <c r="G22" s="5" t="s">
        <v>7</v>
      </c>
      <c r="H22" s="7">
        <v>63831.63</v>
      </c>
      <c r="I22" s="7">
        <v>117669.28</v>
      </c>
      <c r="J22" s="7">
        <v>53837.65</v>
      </c>
      <c r="K22" s="8">
        <v>0.84343216678001176</v>
      </c>
    </row>
    <row r="23" spans="1:11" x14ac:dyDescent="0.3">
      <c r="A23" s="5" t="s">
        <v>46</v>
      </c>
      <c r="B23" s="6">
        <v>40224</v>
      </c>
      <c r="C23" s="5">
        <v>8</v>
      </c>
      <c r="D23" s="5">
        <v>2</v>
      </c>
      <c r="E23" s="5">
        <v>2010</v>
      </c>
      <c r="F23" s="5" t="s">
        <v>34</v>
      </c>
      <c r="G23" s="5" t="s">
        <v>7</v>
      </c>
      <c r="H23" s="7">
        <v>5290.82</v>
      </c>
      <c r="I23" s="7">
        <v>5925.42</v>
      </c>
      <c r="J23" s="7">
        <v>634.60000000000036</v>
      </c>
      <c r="K23" s="8">
        <v>0.11994360042488696</v>
      </c>
    </row>
    <row r="24" spans="1:11" x14ac:dyDescent="0.3">
      <c r="A24" s="5" t="s">
        <v>46</v>
      </c>
      <c r="B24" s="6">
        <v>40224</v>
      </c>
      <c r="C24" s="5">
        <v>8</v>
      </c>
      <c r="D24" s="5">
        <v>2</v>
      </c>
      <c r="E24" s="5">
        <v>2010</v>
      </c>
      <c r="F24" s="5" t="s">
        <v>35</v>
      </c>
      <c r="G24" s="5" t="s">
        <v>11</v>
      </c>
      <c r="H24" s="7">
        <v>16239.2</v>
      </c>
      <c r="I24" s="7">
        <v>19273.5</v>
      </c>
      <c r="J24" s="7">
        <v>3034.2999999999993</v>
      </c>
      <c r="K24" s="8">
        <v>0.18685033745504701</v>
      </c>
    </row>
    <row r="25" spans="1:11" x14ac:dyDescent="0.3">
      <c r="A25" s="5" t="s">
        <v>46</v>
      </c>
      <c r="B25" s="6">
        <v>40224</v>
      </c>
      <c r="C25" s="5">
        <v>8</v>
      </c>
      <c r="D25" s="5">
        <v>2</v>
      </c>
      <c r="E25" s="5">
        <v>2010</v>
      </c>
      <c r="F25" s="5" t="s">
        <v>36</v>
      </c>
      <c r="G25" s="5" t="s">
        <v>11</v>
      </c>
      <c r="H25" s="7">
        <v>113489.94</v>
      </c>
      <c r="I25" s="7">
        <v>125044.29</v>
      </c>
      <c r="J25" s="7">
        <v>11554.349999999991</v>
      </c>
      <c r="K25" s="8">
        <v>0.10180946434547407</v>
      </c>
    </row>
    <row r="26" spans="1:11" x14ac:dyDescent="0.3">
      <c r="A26" s="5" t="s">
        <v>46</v>
      </c>
      <c r="B26" s="6">
        <v>40224</v>
      </c>
      <c r="C26" s="5">
        <v>8</v>
      </c>
      <c r="D26" s="5">
        <v>2</v>
      </c>
      <c r="E26" s="5">
        <v>2010</v>
      </c>
      <c r="F26" s="5" t="s">
        <v>37</v>
      </c>
      <c r="G26" s="5" t="s">
        <v>11</v>
      </c>
      <c r="H26" s="7">
        <v>300002.12</v>
      </c>
      <c r="I26" s="7">
        <v>308985.34000000003</v>
      </c>
      <c r="J26" s="7">
        <v>8983.2200000000303</v>
      </c>
      <c r="K26" s="8">
        <v>2.994385506342432E-2</v>
      </c>
    </row>
    <row r="27" spans="1:11" x14ac:dyDescent="0.3">
      <c r="A27" s="5" t="s">
        <v>46</v>
      </c>
      <c r="B27" s="6">
        <v>40224</v>
      </c>
      <c r="C27" s="5">
        <v>8</v>
      </c>
      <c r="D27" s="5">
        <v>2</v>
      </c>
      <c r="E27" s="5">
        <v>2010</v>
      </c>
      <c r="F27" s="5" t="s">
        <v>38</v>
      </c>
      <c r="G27" s="5" t="s">
        <v>11</v>
      </c>
      <c r="H27" s="7">
        <v>238154.92</v>
      </c>
      <c r="I27" s="7">
        <v>254259.83</v>
      </c>
      <c r="J27" s="7">
        <v>16104.909999999974</v>
      </c>
      <c r="K27" s="8">
        <v>6.7623671180087205E-2</v>
      </c>
    </row>
    <row r="28" spans="1:11" x14ac:dyDescent="0.3">
      <c r="A28" s="5" t="s">
        <v>46</v>
      </c>
      <c r="B28" s="6">
        <v>40225</v>
      </c>
      <c r="C28" s="5">
        <v>8</v>
      </c>
      <c r="D28" s="5">
        <v>2</v>
      </c>
      <c r="E28" s="5">
        <v>2010</v>
      </c>
      <c r="F28" s="5" t="s">
        <v>14</v>
      </c>
      <c r="G28" s="5" t="s">
        <v>6</v>
      </c>
      <c r="H28" s="7">
        <v>17719</v>
      </c>
      <c r="I28" s="7">
        <v>19984.73</v>
      </c>
      <c r="J28" s="7">
        <v>2265.7299999999996</v>
      </c>
      <c r="K28" s="8">
        <v>0.12787008296179239</v>
      </c>
    </row>
    <row r="29" spans="1:11" x14ac:dyDescent="0.3">
      <c r="A29" s="5" t="s">
        <v>46</v>
      </c>
      <c r="B29" s="6">
        <v>40225</v>
      </c>
      <c r="C29" s="5">
        <v>8</v>
      </c>
      <c r="D29" s="5">
        <v>2</v>
      </c>
      <c r="E29" s="5">
        <v>2010</v>
      </c>
      <c r="F29" s="5" t="s">
        <v>15</v>
      </c>
      <c r="G29" s="5" t="s">
        <v>6</v>
      </c>
      <c r="H29" s="7">
        <v>197871.99</v>
      </c>
      <c r="I29" s="7">
        <v>234264.61</v>
      </c>
      <c r="J29" s="7">
        <v>36392.619999999995</v>
      </c>
      <c r="K29" s="8">
        <v>0.18392001818953757</v>
      </c>
    </row>
    <row r="30" spans="1:11" x14ac:dyDescent="0.3">
      <c r="A30" s="5" t="s">
        <v>46</v>
      </c>
      <c r="B30" s="6">
        <v>40225</v>
      </c>
      <c r="C30" s="5">
        <v>8</v>
      </c>
      <c r="D30" s="5">
        <v>2</v>
      </c>
      <c r="E30" s="5">
        <v>2010</v>
      </c>
      <c r="F30" s="5" t="s">
        <v>16</v>
      </c>
      <c r="G30" s="5" t="s">
        <v>6</v>
      </c>
      <c r="H30" s="7">
        <v>106934.75</v>
      </c>
      <c r="I30" s="7">
        <v>120387.26</v>
      </c>
      <c r="J30" s="7">
        <v>13452.509999999995</v>
      </c>
      <c r="K30" s="8">
        <v>0.12580110768482644</v>
      </c>
    </row>
    <row r="31" spans="1:11" x14ac:dyDescent="0.3">
      <c r="A31" s="5" t="s">
        <v>46</v>
      </c>
      <c r="B31" s="6">
        <v>40225</v>
      </c>
      <c r="C31" s="5">
        <v>8</v>
      </c>
      <c r="D31" s="5">
        <v>2</v>
      </c>
      <c r="E31" s="5">
        <v>2010</v>
      </c>
      <c r="F31" s="5" t="s">
        <v>17</v>
      </c>
      <c r="G31" s="5" t="s">
        <v>6</v>
      </c>
      <c r="H31" s="7">
        <v>8371</v>
      </c>
      <c r="I31" s="7">
        <v>9352.2900000000009</v>
      </c>
      <c r="J31" s="7">
        <v>981.29000000000087</v>
      </c>
      <c r="K31" s="8">
        <v>0.11722494325648081</v>
      </c>
    </row>
    <row r="32" spans="1:11" x14ac:dyDescent="0.3">
      <c r="A32" s="5" t="s">
        <v>46</v>
      </c>
      <c r="B32" s="6">
        <v>40225</v>
      </c>
      <c r="C32" s="5">
        <v>8</v>
      </c>
      <c r="D32" s="5">
        <v>2</v>
      </c>
      <c r="E32" s="5">
        <v>2010</v>
      </c>
      <c r="F32" s="5" t="s">
        <v>18</v>
      </c>
      <c r="G32" s="5" t="s">
        <v>6</v>
      </c>
      <c r="H32" s="7">
        <v>27385.78</v>
      </c>
      <c r="I32" s="7">
        <v>31011.89</v>
      </c>
      <c r="J32" s="7">
        <v>3626.1100000000006</v>
      </c>
      <c r="K32" s="8">
        <v>0.13240849813297267</v>
      </c>
    </row>
    <row r="33" spans="1:11" x14ac:dyDescent="0.3">
      <c r="A33" s="5" t="s">
        <v>46</v>
      </c>
      <c r="B33" s="6">
        <v>40225</v>
      </c>
      <c r="C33" s="5">
        <v>8</v>
      </c>
      <c r="D33" s="5">
        <v>2</v>
      </c>
      <c r="E33" s="5">
        <v>2010</v>
      </c>
      <c r="F33" s="5" t="s">
        <v>19</v>
      </c>
      <c r="G33" s="5" t="s">
        <v>5</v>
      </c>
      <c r="H33" s="7">
        <v>153326.45000000001</v>
      </c>
      <c r="I33" s="7">
        <v>170371.78</v>
      </c>
      <c r="J33" s="7">
        <v>17045.329999999987</v>
      </c>
      <c r="K33" s="8">
        <v>0.11117018622683814</v>
      </c>
    </row>
    <row r="34" spans="1:11" x14ac:dyDescent="0.3">
      <c r="A34" s="5" t="s">
        <v>46</v>
      </c>
      <c r="B34" s="6">
        <v>40225</v>
      </c>
      <c r="C34" s="5">
        <v>8</v>
      </c>
      <c r="D34" s="5">
        <v>2</v>
      </c>
      <c r="E34" s="5">
        <v>2010</v>
      </c>
      <c r="F34" s="5" t="s">
        <v>5</v>
      </c>
      <c r="G34" s="5" t="s">
        <v>5</v>
      </c>
      <c r="H34" s="7">
        <v>484846.31</v>
      </c>
      <c r="I34" s="7">
        <v>514314.8</v>
      </c>
      <c r="J34" s="7">
        <v>29468.489999999991</v>
      </c>
      <c r="K34" s="8">
        <v>6.0779033256951033E-2</v>
      </c>
    </row>
    <row r="35" spans="1:11" x14ac:dyDescent="0.3">
      <c r="A35" s="5" t="s">
        <v>46</v>
      </c>
      <c r="B35" s="6">
        <v>40225</v>
      </c>
      <c r="C35" s="5">
        <v>8</v>
      </c>
      <c r="D35" s="5">
        <v>2</v>
      </c>
      <c r="E35" s="5">
        <v>2010</v>
      </c>
      <c r="F35" s="5" t="s">
        <v>20</v>
      </c>
      <c r="G35" s="5" t="s">
        <v>5</v>
      </c>
      <c r="H35" s="7">
        <v>106785.94</v>
      </c>
      <c r="I35" s="7">
        <v>117595.01</v>
      </c>
      <c r="J35" s="7">
        <v>10809.069999999992</v>
      </c>
      <c r="K35" s="8">
        <v>0.10122184624679983</v>
      </c>
    </row>
    <row r="36" spans="1:11" x14ac:dyDescent="0.3">
      <c r="A36" s="5" t="s">
        <v>46</v>
      </c>
      <c r="B36" s="6">
        <v>40225</v>
      </c>
      <c r="C36" s="5">
        <v>8</v>
      </c>
      <c r="D36" s="5">
        <v>2</v>
      </c>
      <c r="E36" s="5">
        <v>2010</v>
      </c>
      <c r="F36" s="5" t="s">
        <v>21</v>
      </c>
      <c r="G36" s="5" t="s">
        <v>5</v>
      </c>
      <c r="H36" s="7">
        <v>186225.29</v>
      </c>
      <c r="I36" s="7">
        <v>198446.8</v>
      </c>
      <c r="J36" s="7">
        <v>12221.50999999998</v>
      </c>
      <c r="K36" s="8">
        <v>6.5627552519853666E-2</v>
      </c>
    </row>
    <row r="37" spans="1:11" x14ac:dyDescent="0.3">
      <c r="A37" s="5" t="s">
        <v>46</v>
      </c>
      <c r="B37" s="6">
        <v>40225</v>
      </c>
      <c r="C37" s="5">
        <v>8</v>
      </c>
      <c r="D37" s="5">
        <v>2</v>
      </c>
      <c r="E37" s="5">
        <v>2010</v>
      </c>
      <c r="F37" s="5" t="s">
        <v>22</v>
      </c>
      <c r="G37" s="5" t="s">
        <v>8</v>
      </c>
      <c r="H37" s="7">
        <v>382123.89299999998</v>
      </c>
      <c r="I37" s="7">
        <v>412833.51</v>
      </c>
      <c r="J37" s="7">
        <v>30709.617000000027</v>
      </c>
      <c r="K37" s="8">
        <v>8.0365602786319434E-2</v>
      </c>
    </row>
    <row r="38" spans="1:11" x14ac:dyDescent="0.3">
      <c r="A38" s="5" t="s">
        <v>46</v>
      </c>
      <c r="B38" s="6">
        <v>40225</v>
      </c>
      <c r="C38" s="5">
        <v>8</v>
      </c>
      <c r="D38" s="5">
        <v>2</v>
      </c>
      <c r="E38" s="5">
        <v>2010</v>
      </c>
      <c r="F38" s="5" t="s">
        <v>23</v>
      </c>
      <c r="G38" s="5" t="s">
        <v>8</v>
      </c>
      <c r="H38" s="7">
        <v>141270.81</v>
      </c>
      <c r="I38" s="7">
        <v>147036.37</v>
      </c>
      <c r="J38" s="7">
        <v>5765.5599999999977</v>
      </c>
      <c r="K38" s="8">
        <v>4.081211115020858E-2</v>
      </c>
    </row>
    <row r="39" spans="1:11" x14ac:dyDescent="0.3">
      <c r="A39" s="5" t="s">
        <v>46</v>
      </c>
      <c r="B39" s="6">
        <v>40225</v>
      </c>
      <c r="C39" s="5">
        <v>8</v>
      </c>
      <c r="D39" s="5">
        <v>2</v>
      </c>
      <c r="E39" s="5">
        <v>2010</v>
      </c>
      <c r="F39" s="5" t="s">
        <v>24</v>
      </c>
      <c r="G39" s="5" t="s">
        <v>8</v>
      </c>
      <c r="H39" s="7">
        <v>131088.99</v>
      </c>
      <c r="I39" s="7">
        <v>138766.68</v>
      </c>
      <c r="J39" s="7">
        <v>7677.6900000000023</v>
      </c>
      <c r="K39" s="8">
        <v>5.8568534245324516E-2</v>
      </c>
    </row>
    <row r="40" spans="1:11" x14ac:dyDescent="0.3">
      <c r="A40" s="5" t="s">
        <v>46</v>
      </c>
      <c r="B40" s="6">
        <v>40225</v>
      </c>
      <c r="C40" s="5">
        <v>8</v>
      </c>
      <c r="D40" s="5">
        <v>2</v>
      </c>
      <c r="E40" s="5">
        <v>2010</v>
      </c>
      <c r="F40" s="5" t="s">
        <v>25</v>
      </c>
      <c r="G40" s="5" t="s">
        <v>8</v>
      </c>
      <c r="H40" s="7">
        <v>15072</v>
      </c>
      <c r="I40" s="7">
        <v>16264.74</v>
      </c>
      <c r="J40" s="7">
        <v>1192.7399999999998</v>
      </c>
      <c r="K40" s="8">
        <v>7.9136146496815274E-2</v>
      </c>
    </row>
    <row r="41" spans="1:11" x14ac:dyDescent="0.3">
      <c r="A41" s="5" t="s">
        <v>46</v>
      </c>
      <c r="B41" s="6">
        <v>40225</v>
      </c>
      <c r="C41" s="5">
        <v>8</v>
      </c>
      <c r="D41" s="5">
        <v>2</v>
      </c>
      <c r="E41" s="5">
        <v>2010</v>
      </c>
      <c r="F41" s="5" t="s">
        <v>26</v>
      </c>
      <c r="G41" s="5" t="s">
        <v>10</v>
      </c>
      <c r="H41" s="7">
        <v>4517</v>
      </c>
      <c r="I41" s="7">
        <v>5037.68</v>
      </c>
      <c r="J41" s="7">
        <v>520.68000000000029</v>
      </c>
      <c r="K41" s="8">
        <v>0.11527119769758695</v>
      </c>
    </row>
    <row r="42" spans="1:11" x14ac:dyDescent="0.3">
      <c r="A42" s="5" t="s">
        <v>46</v>
      </c>
      <c r="B42" s="6">
        <v>40225</v>
      </c>
      <c r="C42" s="5">
        <v>8</v>
      </c>
      <c r="D42" s="5">
        <v>2</v>
      </c>
      <c r="E42" s="5">
        <v>2010</v>
      </c>
      <c r="F42" s="5" t="s">
        <v>27</v>
      </c>
      <c r="G42" s="5" t="s">
        <v>10</v>
      </c>
      <c r="H42" s="7">
        <v>123452.52</v>
      </c>
      <c r="I42" s="7">
        <v>138962.48000000001</v>
      </c>
      <c r="J42" s="7">
        <v>15509.960000000006</v>
      </c>
      <c r="K42" s="8">
        <v>0.12563502146412245</v>
      </c>
    </row>
    <row r="43" spans="1:11" x14ac:dyDescent="0.3">
      <c r="A43" s="5" t="s">
        <v>46</v>
      </c>
      <c r="B43" s="6">
        <v>40225</v>
      </c>
      <c r="C43" s="5">
        <v>8</v>
      </c>
      <c r="D43" s="5">
        <v>2</v>
      </c>
      <c r="E43" s="5">
        <v>2010</v>
      </c>
      <c r="F43" s="5" t="s">
        <v>28</v>
      </c>
      <c r="G43" s="5" t="s">
        <v>10</v>
      </c>
      <c r="H43" s="7">
        <v>131920.29</v>
      </c>
      <c r="I43" s="7">
        <v>146030.26999999999</v>
      </c>
      <c r="J43" s="7">
        <v>14109.979999999981</v>
      </c>
      <c r="K43" s="8">
        <v>0.10695837615275088</v>
      </c>
    </row>
    <row r="44" spans="1:11" x14ac:dyDescent="0.3">
      <c r="A44" s="5" t="s">
        <v>46</v>
      </c>
      <c r="B44" s="6">
        <v>40225</v>
      </c>
      <c r="C44" s="5">
        <v>8</v>
      </c>
      <c r="D44" s="5">
        <v>2</v>
      </c>
      <c r="E44" s="5">
        <v>2010</v>
      </c>
      <c r="F44" s="5" t="s">
        <v>29</v>
      </c>
      <c r="G44" s="5" t="s">
        <v>10</v>
      </c>
      <c r="H44" s="7">
        <v>401604.35</v>
      </c>
      <c r="I44" s="7">
        <v>450481.59</v>
      </c>
      <c r="J44" s="7">
        <v>48877.240000000049</v>
      </c>
      <c r="K44" s="8">
        <v>0.12170495663206848</v>
      </c>
    </row>
    <row r="45" spans="1:11" x14ac:dyDescent="0.3">
      <c r="A45" s="5" t="s">
        <v>46</v>
      </c>
      <c r="B45" s="6">
        <v>40225</v>
      </c>
      <c r="C45" s="5">
        <v>8</v>
      </c>
      <c r="D45" s="5">
        <v>2</v>
      </c>
      <c r="E45" s="5">
        <v>2010</v>
      </c>
      <c r="F45" s="5" t="s">
        <v>30</v>
      </c>
      <c r="G45" s="5" t="s">
        <v>10</v>
      </c>
      <c r="H45" s="7">
        <v>86752.639999999999</v>
      </c>
      <c r="I45" s="7">
        <v>98192.18</v>
      </c>
      <c r="J45" s="7">
        <v>11439.539999999994</v>
      </c>
      <c r="K45" s="8">
        <v>0.13186388333542348</v>
      </c>
    </row>
    <row r="46" spans="1:11" x14ac:dyDescent="0.3">
      <c r="A46" s="5" t="s">
        <v>46</v>
      </c>
      <c r="B46" s="6">
        <v>40225</v>
      </c>
      <c r="C46" s="5">
        <v>8</v>
      </c>
      <c r="D46" s="5">
        <v>2</v>
      </c>
      <c r="E46" s="5">
        <v>2010</v>
      </c>
      <c r="F46" s="5" t="s">
        <v>9</v>
      </c>
      <c r="G46" s="5" t="s">
        <v>9</v>
      </c>
      <c r="H46" s="7">
        <v>664504.9</v>
      </c>
      <c r="I46" s="7">
        <v>792256.51</v>
      </c>
      <c r="J46" s="7">
        <v>127751.60999999999</v>
      </c>
      <c r="K46" s="8">
        <v>0.19225081711210856</v>
      </c>
    </row>
    <row r="47" spans="1:11" x14ac:dyDescent="0.3">
      <c r="A47" s="5" t="s">
        <v>46</v>
      </c>
      <c r="B47" s="6">
        <v>40225</v>
      </c>
      <c r="C47" s="5">
        <v>8</v>
      </c>
      <c r="D47" s="5">
        <v>2</v>
      </c>
      <c r="E47" s="5">
        <v>2010</v>
      </c>
      <c r="F47" s="5" t="s">
        <v>31</v>
      </c>
      <c r="G47" s="5" t="s">
        <v>7</v>
      </c>
      <c r="H47" s="7">
        <v>93456.98</v>
      </c>
      <c r="I47" s="7">
        <v>108677.9</v>
      </c>
      <c r="J47" s="7">
        <v>15220.919999999998</v>
      </c>
      <c r="K47" s="8">
        <v>0.1628655237950124</v>
      </c>
    </row>
    <row r="48" spans="1:11" x14ac:dyDescent="0.3">
      <c r="A48" s="5" t="s">
        <v>46</v>
      </c>
      <c r="B48" s="6">
        <v>40225</v>
      </c>
      <c r="C48" s="5">
        <v>8</v>
      </c>
      <c r="D48" s="5">
        <v>2</v>
      </c>
      <c r="E48" s="5">
        <v>2010</v>
      </c>
      <c r="F48" s="5" t="s">
        <v>33</v>
      </c>
      <c r="G48" s="5" t="s">
        <v>7</v>
      </c>
      <c r="H48" s="7">
        <v>62891.26</v>
      </c>
      <c r="I48" s="7">
        <v>112590.92</v>
      </c>
      <c r="J48" s="7">
        <v>49699.659999999996</v>
      </c>
      <c r="K48" s="8">
        <v>0.79024748430863034</v>
      </c>
    </row>
    <row r="49" spans="1:11" x14ac:dyDescent="0.3">
      <c r="A49" s="5" t="s">
        <v>46</v>
      </c>
      <c r="B49" s="6">
        <v>40225</v>
      </c>
      <c r="C49" s="5">
        <v>8</v>
      </c>
      <c r="D49" s="5">
        <v>2</v>
      </c>
      <c r="E49" s="5">
        <v>2010</v>
      </c>
      <c r="F49" s="5" t="s">
        <v>34</v>
      </c>
      <c r="G49" s="5" t="s">
        <v>7</v>
      </c>
      <c r="H49" s="7">
        <v>3417.96</v>
      </c>
      <c r="I49" s="7">
        <v>3827.59</v>
      </c>
      <c r="J49" s="7">
        <v>409.63000000000011</v>
      </c>
      <c r="K49" s="8">
        <v>0.11984634109234751</v>
      </c>
    </row>
    <row r="50" spans="1:11" x14ac:dyDescent="0.3">
      <c r="A50" s="5" t="s">
        <v>46</v>
      </c>
      <c r="B50" s="6">
        <v>40225</v>
      </c>
      <c r="C50" s="5">
        <v>8</v>
      </c>
      <c r="D50" s="5">
        <v>2</v>
      </c>
      <c r="E50" s="5">
        <v>2010</v>
      </c>
      <c r="F50" s="5" t="s">
        <v>35</v>
      </c>
      <c r="G50" s="5" t="s">
        <v>11</v>
      </c>
      <c r="H50" s="7">
        <v>6702.72</v>
      </c>
      <c r="I50" s="7">
        <v>8087.28</v>
      </c>
      <c r="J50" s="7">
        <v>1384.5599999999995</v>
      </c>
      <c r="K50" s="8">
        <v>0.20656688627900308</v>
      </c>
    </row>
    <row r="51" spans="1:11" x14ac:dyDescent="0.3">
      <c r="A51" s="5" t="s">
        <v>46</v>
      </c>
      <c r="B51" s="6">
        <v>40225</v>
      </c>
      <c r="C51" s="5">
        <v>8</v>
      </c>
      <c r="D51" s="5">
        <v>2</v>
      </c>
      <c r="E51" s="5">
        <v>2010</v>
      </c>
      <c r="F51" s="5" t="s">
        <v>36</v>
      </c>
      <c r="G51" s="5" t="s">
        <v>11</v>
      </c>
      <c r="H51" s="7">
        <v>141445.62</v>
      </c>
      <c r="I51" s="7">
        <v>155483.9</v>
      </c>
      <c r="J51" s="7">
        <v>14038.279999999999</v>
      </c>
      <c r="K51" s="8">
        <v>9.9248601688762081E-2</v>
      </c>
    </row>
    <row r="52" spans="1:11" x14ac:dyDescent="0.3">
      <c r="A52" s="5" t="s">
        <v>46</v>
      </c>
      <c r="B52" s="6">
        <v>40225</v>
      </c>
      <c r="C52" s="5">
        <v>8</v>
      </c>
      <c r="D52" s="5">
        <v>2</v>
      </c>
      <c r="E52" s="5">
        <v>2010</v>
      </c>
      <c r="F52" s="5" t="s">
        <v>37</v>
      </c>
      <c r="G52" s="5" t="s">
        <v>11</v>
      </c>
      <c r="H52" s="7">
        <v>268606.90999999997</v>
      </c>
      <c r="I52" s="7">
        <v>285664.15000000002</v>
      </c>
      <c r="J52" s="7">
        <v>17057.240000000049</v>
      </c>
      <c r="K52" s="8">
        <v>6.3502610562029285E-2</v>
      </c>
    </row>
    <row r="53" spans="1:11" x14ac:dyDescent="0.3">
      <c r="A53" s="5" t="s">
        <v>46</v>
      </c>
      <c r="B53" s="6">
        <v>40225</v>
      </c>
      <c r="C53" s="5">
        <v>8</v>
      </c>
      <c r="D53" s="5">
        <v>2</v>
      </c>
      <c r="E53" s="5">
        <v>2010</v>
      </c>
      <c r="F53" s="5" t="s">
        <v>38</v>
      </c>
      <c r="G53" s="5" t="s">
        <v>11</v>
      </c>
      <c r="H53" s="7">
        <v>265160.21999999997</v>
      </c>
      <c r="I53" s="7">
        <v>283749.69</v>
      </c>
      <c r="J53" s="7">
        <v>18589.47000000003</v>
      </c>
      <c r="K53" s="8">
        <v>7.0106556707488152E-2</v>
      </c>
    </row>
    <row r="54" spans="1:11" x14ac:dyDescent="0.3">
      <c r="A54" s="5" t="s">
        <v>46</v>
      </c>
      <c r="B54" s="6">
        <v>40226</v>
      </c>
      <c r="C54" s="5">
        <v>8</v>
      </c>
      <c r="D54" s="5">
        <v>2</v>
      </c>
      <c r="E54" s="5">
        <v>2010</v>
      </c>
      <c r="F54" s="5" t="s">
        <v>14</v>
      </c>
      <c r="G54" s="5" t="s">
        <v>6</v>
      </c>
      <c r="H54" s="7">
        <v>17892</v>
      </c>
      <c r="I54" s="7">
        <v>20146.400000000001</v>
      </c>
      <c r="J54" s="7">
        <v>2254.4000000000015</v>
      </c>
      <c r="K54" s="8">
        <v>0.12600044712720776</v>
      </c>
    </row>
    <row r="55" spans="1:11" x14ac:dyDescent="0.3">
      <c r="A55" s="5" t="s">
        <v>46</v>
      </c>
      <c r="B55" s="6">
        <v>40226</v>
      </c>
      <c r="C55" s="5">
        <v>8</v>
      </c>
      <c r="D55" s="5">
        <v>2</v>
      </c>
      <c r="E55" s="5">
        <v>2010</v>
      </c>
      <c r="F55" s="5" t="s">
        <v>15</v>
      </c>
      <c r="G55" s="5" t="s">
        <v>6</v>
      </c>
      <c r="H55" s="7">
        <v>173806.4</v>
      </c>
      <c r="I55" s="7">
        <v>208092.56</v>
      </c>
      <c r="J55" s="7">
        <v>34286.160000000003</v>
      </c>
      <c r="K55" s="8">
        <v>0.1972663837465134</v>
      </c>
    </row>
    <row r="56" spans="1:11" x14ac:dyDescent="0.3">
      <c r="A56" s="5" t="s">
        <v>46</v>
      </c>
      <c r="B56" s="6">
        <v>40226</v>
      </c>
      <c r="C56" s="5">
        <v>8</v>
      </c>
      <c r="D56" s="5">
        <v>2</v>
      </c>
      <c r="E56" s="5">
        <v>2010</v>
      </c>
      <c r="F56" s="5" t="s">
        <v>16</v>
      </c>
      <c r="G56" s="5" t="s">
        <v>6</v>
      </c>
      <c r="H56" s="7">
        <v>149641.19</v>
      </c>
      <c r="I56" s="7">
        <v>156389.03</v>
      </c>
      <c r="J56" s="7">
        <v>6747.8399999999965</v>
      </c>
      <c r="K56" s="8">
        <v>4.5093466578286341E-2</v>
      </c>
    </row>
    <row r="57" spans="1:11" x14ac:dyDescent="0.3">
      <c r="A57" s="5" t="s">
        <v>46</v>
      </c>
      <c r="B57" s="6">
        <v>40226</v>
      </c>
      <c r="C57" s="5">
        <v>8</v>
      </c>
      <c r="D57" s="5">
        <v>2</v>
      </c>
      <c r="E57" s="5">
        <v>2010</v>
      </c>
      <c r="F57" s="5" t="s">
        <v>17</v>
      </c>
      <c r="G57" s="5" t="s">
        <v>6</v>
      </c>
      <c r="H57" s="7">
        <v>8292</v>
      </c>
      <c r="I57" s="7">
        <v>9279.39</v>
      </c>
      <c r="J57" s="7">
        <v>987.38999999999942</v>
      </c>
      <c r="K57" s="8">
        <v>0.11907742402315477</v>
      </c>
    </row>
    <row r="58" spans="1:11" x14ac:dyDescent="0.3">
      <c r="A58" s="5" t="s">
        <v>46</v>
      </c>
      <c r="B58" s="6">
        <v>40226</v>
      </c>
      <c r="C58" s="5">
        <v>8</v>
      </c>
      <c r="D58" s="5">
        <v>2</v>
      </c>
      <c r="E58" s="5">
        <v>2010</v>
      </c>
      <c r="F58" s="5" t="s">
        <v>18</v>
      </c>
      <c r="G58" s="5" t="s">
        <v>6</v>
      </c>
      <c r="H58" s="7">
        <v>40910.160000000003</v>
      </c>
      <c r="I58" s="7">
        <v>45172.09</v>
      </c>
      <c r="J58" s="7">
        <v>4261.929999999993</v>
      </c>
      <c r="K58" s="8">
        <v>0.10417778859823557</v>
      </c>
    </row>
    <row r="59" spans="1:11" x14ac:dyDescent="0.3">
      <c r="A59" s="5" t="s">
        <v>46</v>
      </c>
      <c r="B59" s="6">
        <v>40226</v>
      </c>
      <c r="C59" s="5">
        <v>8</v>
      </c>
      <c r="D59" s="5">
        <v>2</v>
      </c>
      <c r="E59" s="5">
        <v>2010</v>
      </c>
      <c r="F59" s="5" t="s">
        <v>19</v>
      </c>
      <c r="G59" s="5" t="s">
        <v>5</v>
      </c>
      <c r="H59" s="7">
        <v>167862.63</v>
      </c>
      <c r="I59" s="7">
        <v>186070.77</v>
      </c>
      <c r="J59" s="7">
        <v>18208.139999999985</v>
      </c>
      <c r="K59" s="8">
        <v>0.10847047970116984</v>
      </c>
    </row>
    <row r="60" spans="1:11" x14ac:dyDescent="0.3">
      <c r="A60" s="5" t="s">
        <v>46</v>
      </c>
      <c r="B60" s="6">
        <v>40226</v>
      </c>
      <c r="C60" s="5">
        <v>8</v>
      </c>
      <c r="D60" s="5">
        <v>2</v>
      </c>
      <c r="E60" s="5">
        <v>2010</v>
      </c>
      <c r="F60" s="5" t="s">
        <v>5</v>
      </c>
      <c r="G60" s="5" t="s">
        <v>5</v>
      </c>
      <c r="H60" s="7">
        <v>569301.56000000006</v>
      </c>
      <c r="I60" s="7">
        <v>598279.16</v>
      </c>
      <c r="J60" s="7">
        <v>28977.599999999977</v>
      </c>
      <c r="K60" s="8">
        <v>5.0900264527643263E-2</v>
      </c>
    </row>
    <row r="61" spans="1:11" x14ac:dyDescent="0.3">
      <c r="A61" s="5" t="s">
        <v>46</v>
      </c>
      <c r="B61" s="6">
        <v>40226</v>
      </c>
      <c r="C61" s="5">
        <v>8</v>
      </c>
      <c r="D61" s="5">
        <v>2</v>
      </c>
      <c r="E61" s="5">
        <v>2010</v>
      </c>
      <c r="F61" s="5" t="s">
        <v>20</v>
      </c>
      <c r="G61" s="5" t="s">
        <v>5</v>
      </c>
      <c r="H61" s="7">
        <v>154846.97</v>
      </c>
      <c r="I61" s="7">
        <v>166117.57</v>
      </c>
      <c r="J61" s="7">
        <v>11270.600000000006</v>
      </c>
      <c r="K61" s="8">
        <v>7.2785408716747935E-2</v>
      </c>
    </row>
    <row r="62" spans="1:11" x14ac:dyDescent="0.3">
      <c r="A62" s="5" t="s">
        <v>46</v>
      </c>
      <c r="B62" s="6">
        <v>40226</v>
      </c>
      <c r="C62" s="5">
        <v>8</v>
      </c>
      <c r="D62" s="5">
        <v>2</v>
      </c>
      <c r="E62" s="5">
        <v>2010</v>
      </c>
      <c r="F62" s="5" t="s">
        <v>21</v>
      </c>
      <c r="G62" s="5" t="s">
        <v>5</v>
      </c>
      <c r="H62" s="7">
        <v>188988.76</v>
      </c>
      <c r="I62" s="7">
        <v>200604.75</v>
      </c>
      <c r="J62" s="7">
        <v>11615.989999999991</v>
      </c>
      <c r="K62" s="8">
        <v>6.1463919864863867E-2</v>
      </c>
    </row>
    <row r="63" spans="1:11" x14ac:dyDescent="0.3">
      <c r="A63" s="5" t="s">
        <v>46</v>
      </c>
      <c r="B63" s="6">
        <v>40226</v>
      </c>
      <c r="C63" s="5">
        <v>8</v>
      </c>
      <c r="D63" s="5">
        <v>2</v>
      </c>
      <c r="E63" s="5">
        <v>2010</v>
      </c>
      <c r="F63" s="5" t="s">
        <v>22</v>
      </c>
      <c r="G63" s="5" t="s">
        <v>8</v>
      </c>
      <c r="H63" s="7">
        <v>502311.43</v>
      </c>
      <c r="I63" s="7">
        <v>413947.75</v>
      </c>
      <c r="J63" s="7">
        <v>-88363.68</v>
      </c>
      <c r="K63" s="8">
        <v>-0.17591413358839952</v>
      </c>
    </row>
    <row r="64" spans="1:11" x14ac:dyDescent="0.3">
      <c r="A64" s="5" t="s">
        <v>46</v>
      </c>
      <c r="B64" s="6">
        <v>40226</v>
      </c>
      <c r="C64" s="5">
        <v>8</v>
      </c>
      <c r="D64" s="5">
        <v>2</v>
      </c>
      <c r="E64" s="5">
        <v>2010</v>
      </c>
      <c r="F64" s="5" t="s">
        <v>23</v>
      </c>
      <c r="G64" s="5" t="s">
        <v>8</v>
      </c>
      <c r="H64" s="7">
        <v>118469.29</v>
      </c>
      <c r="I64" s="7">
        <v>123694.14</v>
      </c>
      <c r="J64" s="7">
        <v>5224.8500000000058</v>
      </c>
      <c r="K64" s="8">
        <v>4.4102990741313686E-2</v>
      </c>
    </row>
    <row r="65" spans="1:11" x14ac:dyDescent="0.3">
      <c r="A65" s="5" t="s">
        <v>46</v>
      </c>
      <c r="B65" s="6">
        <v>40226</v>
      </c>
      <c r="C65" s="5">
        <v>8</v>
      </c>
      <c r="D65" s="5">
        <v>2</v>
      </c>
      <c r="E65" s="5">
        <v>2010</v>
      </c>
      <c r="F65" s="5" t="s">
        <v>24</v>
      </c>
      <c r="G65" s="5" t="s">
        <v>8</v>
      </c>
      <c r="H65" s="7">
        <v>109152.44</v>
      </c>
      <c r="I65" s="7">
        <v>118383.29</v>
      </c>
      <c r="J65" s="7">
        <v>9230.8499999999913</v>
      </c>
      <c r="K65" s="8">
        <v>8.4568425589020196E-2</v>
      </c>
    </row>
    <row r="66" spans="1:11" x14ac:dyDescent="0.3">
      <c r="A66" s="5" t="s">
        <v>46</v>
      </c>
      <c r="B66" s="6">
        <v>40226</v>
      </c>
      <c r="C66" s="5">
        <v>8</v>
      </c>
      <c r="D66" s="5">
        <v>2</v>
      </c>
      <c r="E66" s="5">
        <v>2010</v>
      </c>
      <c r="F66" s="5" t="s">
        <v>25</v>
      </c>
      <c r="G66" s="5" t="s">
        <v>8</v>
      </c>
      <c r="H66" s="7">
        <v>7750</v>
      </c>
      <c r="I66" s="7">
        <v>8260.77</v>
      </c>
      <c r="J66" s="7">
        <v>510.77000000000044</v>
      </c>
      <c r="K66" s="8">
        <v>6.5905806451612953E-2</v>
      </c>
    </row>
    <row r="67" spans="1:11" x14ac:dyDescent="0.3">
      <c r="A67" s="5" t="s">
        <v>46</v>
      </c>
      <c r="B67" s="6">
        <v>40226</v>
      </c>
      <c r="C67" s="5">
        <v>8</v>
      </c>
      <c r="D67" s="5">
        <v>2</v>
      </c>
      <c r="E67" s="5">
        <v>2010</v>
      </c>
      <c r="F67" s="5" t="s">
        <v>26</v>
      </c>
      <c r="G67" s="5" t="s">
        <v>10</v>
      </c>
      <c r="H67" s="7">
        <v>4639</v>
      </c>
      <c r="I67" s="7">
        <v>5246.15</v>
      </c>
      <c r="J67" s="7">
        <v>607.14999999999964</v>
      </c>
      <c r="K67" s="8">
        <v>0.13087949989221806</v>
      </c>
    </row>
    <row r="68" spans="1:11" x14ac:dyDescent="0.3">
      <c r="A68" s="5" t="s">
        <v>46</v>
      </c>
      <c r="B68" s="6">
        <v>40226</v>
      </c>
      <c r="C68" s="5">
        <v>8</v>
      </c>
      <c r="D68" s="5">
        <v>2</v>
      </c>
      <c r="E68" s="5">
        <v>2010</v>
      </c>
      <c r="F68" s="5" t="s">
        <v>27</v>
      </c>
      <c r="G68" s="5" t="s">
        <v>10</v>
      </c>
      <c r="H68" s="7">
        <v>135865</v>
      </c>
      <c r="I68" s="7">
        <v>151768.85999999999</v>
      </c>
      <c r="J68" s="7">
        <v>15903.859999999986</v>
      </c>
      <c r="K68" s="8">
        <v>0.11705634269311438</v>
      </c>
    </row>
    <row r="69" spans="1:11" x14ac:dyDescent="0.3">
      <c r="A69" s="5" t="s">
        <v>46</v>
      </c>
      <c r="B69" s="6">
        <v>40226</v>
      </c>
      <c r="C69" s="5">
        <v>8</v>
      </c>
      <c r="D69" s="5">
        <v>2</v>
      </c>
      <c r="E69" s="5">
        <v>2010</v>
      </c>
      <c r="F69" s="5" t="s">
        <v>28</v>
      </c>
      <c r="G69" s="5" t="s">
        <v>10</v>
      </c>
      <c r="H69" s="7">
        <v>84497.33</v>
      </c>
      <c r="I69" s="7">
        <v>98373.93</v>
      </c>
      <c r="J69" s="7">
        <v>13876.599999999991</v>
      </c>
      <c r="K69" s="8">
        <v>0.16422530747421238</v>
      </c>
    </row>
    <row r="70" spans="1:11" x14ac:dyDescent="0.3">
      <c r="A70" s="5" t="s">
        <v>46</v>
      </c>
      <c r="B70" s="6">
        <v>40226</v>
      </c>
      <c r="C70" s="5">
        <v>8</v>
      </c>
      <c r="D70" s="5">
        <v>2</v>
      </c>
      <c r="E70" s="5">
        <v>2010</v>
      </c>
      <c r="F70" s="5" t="s">
        <v>29</v>
      </c>
      <c r="G70" s="5" t="s">
        <v>10</v>
      </c>
      <c r="H70" s="7">
        <v>462954.43</v>
      </c>
      <c r="I70" s="7">
        <v>501895.47</v>
      </c>
      <c r="J70" s="7">
        <v>38941.039999999979</v>
      </c>
      <c r="K70" s="8">
        <v>8.4114196725582638E-2</v>
      </c>
    </row>
    <row r="71" spans="1:11" x14ac:dyDescent="0.3">
      <c r="A71" s="5" t="s">
        <v>46</v>
      </c>
      <c r="B71" s="6">
        <v>40226</v>
      </c>
      <c r="C71" s="5">
        <v>8</v>
      </c>
      <c r="D71" s="5">
        <v>2</v>
      </c>
      <c r="E71" s="5">
        <v>2010</v>
      </c>
      <c r="F71" s="5" t="s">
        <v>30</v>
      </c>
      <c r="G71" s="5" t="s">
        <v>10</v>
      </c>
      <c r="H71" s="7">
        <v>82174.92</v>
      </c>
      <c r="I71" s="7">
        <v>92949.79</v>
      </c>
      <c r="J71" s="7">
        <v>10774.869999999995</v>
      </c>
      <c r="K71" s="8">
        <v>0.13112114985934875</v>
      </c>
    </row>
    <row r="72" spans="1:11" x14ac:dyDescent="0.3">
      <c r="A72" s="5" t="s">
        <v>46</v>
      </c>
      <c r="B72" s="6">
        <v>40226</v>
      </c>
      <c r="C72" s="5">
        <v>8</v>
      </c>
      <c r="D72" s="5">
        <v>2</v>
      </c>
      <c r="E72" s="5">
        <v>2010</v>
      </c>
      <c r="F72" s="5" t="s">
        <v>9</v>
      </c>
      <c r="G72" s="5" t="s">
        <v>9</v>
      </c>
      <c r="H72" s="7">
        <v>639713.91</v>
      </c>
      <c r="I72" s="7">
        <v>762024.13</v>
      </c>
      <c r="J72" s="7">
        <v>122310.21999999997</v>
      </c>
      <c r="K72" s="8">
        <v>0.19119518598556026</v>
      </c>
    </row>
    <row r="73" spans="1:11" x14ac:dyDescent="0.3">
      <c r="A73" s="5" t="s">
        <v>46</v>
      </c>
      <c r="B73" s="6">
        <v>40226</v>
      </c>
      <c r="C73" s="5">
        <v>8</v>
      </c>
      <c r="D73" s="5">
        <v>2</v>
      </c>
      <c r="E73" s="5">
        <v>2010</v>
      </c>
      <c r="F73" s="5" t="s">
        <v>31</v>
      </c>
      <c r="G73" s="5" t="s">
        <v>7</v>
      </c>
      <c r="H73" s="7">
        <v>85413.04</v>
      </c>
      <c r="I73" s="7">
        <v>100038.81</v>
      </c>
      <c r="J73" s="7">
        <v>14625.770000000004</v>
      </c>
      <c r="K73" s="8">
        <v>0.17123579725063065</v>
      </c>
    </row>
    <row r="74" spans="1:11" x14ac:dyDescent="0.3">
      <c r="A74" s="5" t="s">
        <v>46</v>
      </c>
      <c r="B74" s="6">
        <v>40226</v>
      </c>
      <c r="C74" s="5">
        <v>8</v>
      </c>
      <c r="D74" s="5">
        <v>2</v>
      </c>
      <c r="E74" s="5">
        <v>2010</v>
      </c>
      <c r="F74" s="5" t="s">
        <v>33</v>
      </c>
      <c r="G74" s="5" t="s">
        <v>7</v>
      </c>
      <c r="H74" s="7">
        <v>63554.7</v>
      </c>
      <c r="I74" s="7">
        <v>118585.67</v>
      </c>
      <c r="J74" s="7">
        <v>55030.97</v>
      </c>
      <c r="K74" s="8">
        <v>0.86588356171927494</v>
      </c>
    </row>
    <row r="75" spans="1:11" x14ac:dyDescent="0.3">
      <c r="A75" s="5" t="s">
        <v>46</v>
      </c>
      <c r="B75" s="6">
        <v>40226</v>
      </c>
      <c r="C75" s="5">
        <v>8</v>
      </c>
      <c r="D75" s="5">
        <v>2</v>
      </c>
      <c r="E75" s="5">
        <v>2010</v>
      </c>
      <c r="F75" s="5" t="s">
        <v>34</v>
      </c>
      <c r="G75" s="5" t="s">
        <v>7</v>
      </c>
      <c r="H75" s="7">
        <v>5160.21</v>
      </c>
      <c r="I75" s="7">
        <v>5779.03</v>
      </c>
      <c r="J75" s="7">
        <v>618.81999999999971</v>
      </c>
      <c r="K75" s="8">
        <v>0.11992147606395857</v>
      </c>
    </row>
    <row r="76" spans="1:11" x14ac:dyDescent="0.3">
      <c r="A76" s="5" t="s">
        <v>46</v>
      </c>
      <c r="B76" s="6">
        <v>40226</v>
      </c>
      <c r="C76" s="5">
        <v>8</v>
      </c>
      <c r="D76" s="5">
        <v>2</v>
      </c>
      <c r="E76" s="5">
        <v>2010</v>
      </c>
      <c r="F76" s="5" t="s">
        <v>35</v>
      </c>
      <c r="G76" s="5" t="s">
        <v>11</v>
      </c>
      <c r="H76" s="7">
        <v>10769.6</v>
      </c>
      <c r="I76" s="7">
        <v>13207.71</v>
      </c>
      <c r="J76" s="7">
        <v>2438.1099999999988</v>
      </c>
      <c r="K76" s="8">
        <v>0.22638816669142761</v>
      </c>
    </row>
    <row r="77" spans="1:11" x14ac:dyDescent="0.3">
      <c r="A77" s="5" t="s">
        <v>46</v>
      </c>
      <c r="B77" s="6">
        <v>40226</v>
      </c>
      <c r="C77" s="5">
        <v>8</v>
      </c>
      <c r="D77" s="5">
        <v>2</v>
      </c>
      <c r="E77" s="5">
        <v>2010</v>
      </c>
      <c r="F77" s="5" t="s">
        <v>36</v>
      </c>
      <c r="G77" s="5" t="s">
        <v>11</v>
      </c>
      <c r="H77" s="7">
        <v>115510.49</v>
      </c>
      <c r="I77" s="7">
        <v>127943.38</v>
      </c>
      <c r="J77" s="7">
        <v>12432.89</v>
      </c>
      <c r="K77" s="8">
        <v>0.1076342936472696</v>
      </c>
    </row>
    <row r="78" spans="1:11" x14ac:dyDescent="0.3">
      <c r="A78" s="5" t="s">
        <v>46</v>
      </c>
      <c r="B78" s="6">
        <v>40226</v>
      </c>
      <c r="C78" s="5">
        <v>8</v>
      </c>
      <c r="D78" s="5">
        <v>2</v>
      </c>
      <c r="E78" s="5">
        <v>2010</v>
      </c>
      <c r="F78" s="5" t="s">
        <v>37</v>
      </c>
      <c r="G78" s="5" t="s">
        <v>11</v>
      </c>
      <c r="H78" s="7">
        <v>236174.36</v>
      </c>
      <c r="I78" s="7">
        <v>252543.74</v>
      </c>
      <c r="J78" s="7">
        <v>16369.380000000005</v>
      </c>
      <c r="K78" s="8">
        <v>6.9310572070566873E-2</v>
      </c>
    </row>
    <row r="79" spans="1:11" x14ac:dyDescent="0.3">
      <c r="A79" s="5" t="s">
        <v>46</v>
      </c>
      <c r="B79" s="6">
        <v>40226</v>
      </c>
      <c r="C79" s="5">
        <v>8</v>
      </c>
      <c r="D79" s="5">
        <v>2</v>
      </c>
      <c r="E79" s="5">
        <v>2010</v>
      </c>
      <c r="F79" s="5" t="s">
        <v>38</v>
      </c>
      <c r="G79" s="5" t="s">
        <v>11</v>
      </c>
      <c r="H79" s="7">
        <v>245932.93</v>
      </c>
      <c r="I79" s="7">
        <v>261102.86</v>
      </c>
      <c r="J79" s="7">
        <v>15169.929999999993</v>
      </c>
      <c r="K79" s="8">
        <v>6.1683199561766669E-2</v>
      </c>
    </row>
    <row r="80" spans="1:11" x14ac:dyDescent="0.3">
      <c r="A80" s="5" t="s">
        <v>46</v>
      </c>
      <c r="B80" s="6">
        <v>40227</v>
      </c>
      <c r="C80" s="5">
        <v>8</v>
      </c>
      <c r="D80" s="5">
        <v>2</v>
      </c>
      <c r="E80" s="5">
        <v>2010</v>
      </c>
      <c r="F80" s="5" t="s">
        <v>14</v>
      </c>
      <c r="G80" s="5" t="s">
        <v>6</v>
      </c>
      <c r="H80" s="7">
        <v>12378</v>
      </c>
      <c r="I80" s="7">
        <v>14101</v>
      </c>
      <c r="J80" s="7">
        <v>1723</v>
      </c>
      <c r="K80" s="8">
        <v>0.13919857812247535</v>
      </c>
    </row>
    <row r="81" spans="1:11" x14ac:dyDescent="0.3">
      <c r="A81" s="5" t="s">
        <v>46</v>
      </c>
      <c r="B81" s="6">
        <v>40227</v>
      </c>
      <c r="C81" s="5">
        <v>8</v>
      </c>
      <c r="D81" s="5">
        <v>2</v>
      </c>
      <c r="E81" s="5">
        <v>2010</v>
      </c>
      <c r="F81" s="5" t="s">
        <v>15</v>
      </c>
      <c r="G81" s="5" t="s">
        <v>6</v>
      </c>
      <c r="H81" s="7">
        <v>219132</v>
      </c>
      <c r="I81" s="7">
        <v>252437</v>
      </c>
      <c r="J81" s="7">
        <v>33305</v>
      </c>
      <c r="K81" s="8">
        <v>0.15198601756019203</v>
      </c>
    </row>
    <row r="82" spans="1:11" x14ac:dyDescent="0.3">
      <c r="A82" s="5" t="s">
        <v>46</v>
      </c>
      <c r="B82" s="6">
        <v>40227</v>
      </c>
      <c r="C82" s="5">
        <v>8</v>
      </c>
      <c r="D82" s="5">
        <v>2</v>
      </c>
      <c r="E82" s="5">
        <v>2010</v>
      </c>
      <c r="F82" s="5" t="s">
        <v>16</v>
      </c>
      <c r="G82" s="5" t="s">
        <v>6</v>
      </c>
      <c r="H82" s="7">
        <v>93612</v>
      </c>
      <c r="I82" s="7">
        <v>104566</v>
      </c>
      <c r="J82" s="7">
        <v>10954</v>
      </c>
      <c r="K82" s="8">
        <v>0.11701491261804042</v>
      </c>
    </row>
    <row r="83" spans="1:11" x14ac:dyDescent="0.3">
      <c r="A83" s="5" t="s">
        <v>46</v>
      </c>
      <c r="B83" s="6">
        <v>40227</v>
      </c>
      <c r="C83" s="5">
        <v>8</v>
      </c>
      <c r="D83" s="5">
        <v>2</v>
      </c>
      <c r="E83" s="5">
        <v>2010</v>
      </c>
      <c r="F83" s="5" t="s">
        <v>17</v>
      </c>
      <c r="G83" s="5" t="s">
        <v>6</v>
      </c>
      <c r="H83" s="7">
        <v>6911</v>
      </c>
      <c r="I83" s="7">
        <v>7801</v>
      </c>
      <c r="J83" s="7">
        <v>890</v>
      </c>
      <c r="K83" s="8">
        <v>0.1287802054695413</v>
      </c>
    </row>
    <row r="84" spans="1:11" x14ac:dyDescent="0.3">
      <c r="A84" s="5" t="s">
        <v>46</v>
      </c>
      <c r="B84" s="6">
        <v>40227</v>
      </c>
      <c r="C84" s="5">
        <v>8</v>
      </c>
      <c r="D84" s="5">
        <v>2</v>
      </c>
      <c r="E84" s="5">
        <v>2010</v>
      </c>
      <c r="F84" s="5" t="s">
        <v>18</v>
      </c>
      <c r="G84" s="5" t="s">
        <v>6</v>
      </c>
      <c r="H84" s="7">
        <v>31372</v>
      </c>
      <c r="I84" s="7">
        <v>34370</v>
      </c>
      <c r="J84" s="7">
        <v>2998</v>
      </c>
      <c r="K84" s="8">
        <v>9.5562922351141139E-2</v>
      </c>
    </row>
    <row r="85" spans="1:11" x14ac:dyDescent="0.3">
      <c r="A85" s="5" t="s">
        <v>46</v>
      </c>
      <c r="B85" s="6">
        <v>40227</v>
      </c>
      <c r="C85" s="5">
        <v>8</v>
      </c>
      <c r="D85" s="5">
        <v>2</v>
      </c>
      <c r="E85" s="5">
        <v>2010</v>
      </c>
      <c r="F85" s="5" t="s">
        <v>19</v>
      </c>
      <c r="G85" s="5" t="s">
        <v>5</v>
      </c>
      <c r="H85" s="7">
        <v>152322</v>
      </c>
      <c r="I85" s="7">
        <v>168246</v>
      </c>
      <c r="J85" s="7">
        <v>15924</v>
      </c>
      <c r="K85" s="8">
        <v>0.10454169456808603</v>
      </c>
    </row>
    <row r="86" spans="1:11" x14ac:dyDescent="0.3">
      <c r="A86" s="5" t="s">
        <v>46</v>
      </c>
      <c r="B86" s="6">
        <v>40227</v>
      </c>
      <c r="C86" s="5">
        <v>8</v>
      </c>
      <c r="D86" s="5">
        <v>2</v>
      </c>
      <c r="E86" s="5">
        <v>2010</v>
      </c>
      <c r="F86" s="5" t="s">
        <v>5</v>
      </c>
      <c r="G86" s="5" t="s">
        <v>5</v>
      </c>
      <c r="H86" s="7">
        <v>416888</v>
      </c>
      <c r="I86" s="7">
        <v>440514</v>
      </c>
      <c r="J86" s="7">
        <v>23626</v>
      </c>
      <c r="K86" s="8">
        <v>5.6672295676536623E-2</v>
      </c>
    </row>
    <row r="87" spans="1:11" x14ac:dyDescent="0.3">
      <c r="A87" s="5" t="s">
        <v>46</v>
      </c>
      <c r="B87" s="6">
        <v>40227</v>
      </c>
      <c r="C87" s="5">
        <v>8</v>
      </c>
      <c r="D87" s="5">
        <v>2</v>
      </c>
      <c r="E87" s="5">
        <v>2010</v>
      </c>
      <c r="F87" s="5" t="s">
        <v>20</v>
      </c>
      <c r="G87" s="5" t="s">
        <v>5</v>
      </c>
      <c r="H87" s="7">
        <v>101591</v>
      </c>
      <c r="I87" s="7">
        <v>112023</v>
      </c>
      <c r="J87" s="7">
        <v>10432</v>
      </c>
      <c r="K87" s="8">
        <v>0.10268626157828942</v>
      </c>
    </row>
    <row r="88" spans="1:11" x14ac:dyDescent="0.3">
      <c r="A88" s="5" t="s">
        <v>46</v>
      </c>
      <c r="B88" s="6">
        <v>40227</v>
      </c>
      <c r="C88" s="5">
        <v>8</v>
      </c>
      <c r="D88" s="5">
        <v>2</v>
      </c>
      <c r="E88" s="5">
        <v>2010</v>
      </c>
      <c r="F88" s="5" t="s">
        <v>21</v>
      </c>
      <c r="G88" s="5" t="s">
        <v>5</v>
      </c>
      <c r="H88" s="7">
        <v>172980</v>
      </c>
      <c r="I88" s="7">
        <v>185671</v>
      </c>
      <c r="J88" s="7">
        <v>12691</v>
      </c>
      <c r="K88" s="8">
        <v>7.3366863221181633E-2</v>
      </c>
    </row>
    <row r="89" spans="1:11" x14ac:dyDescent="0.3">
      <c r="A89" s="5" t="s">
        <v>46</v>
      </c>
      <c r="B89" s="6">
        <v>40227</v>
      </c>
      <c r="C89" s="5">
        <v>8</v>
      </c>
      <c r="D89" s="5">
        <v>2</v>
      </c>
      <c r="E89" s="5">
        <v>2010</v>
      </c>
      <c r="F89" s="5" t="s">
        <v>22</v>
      </c>
      <c r="G89" s="5" t="s">
        <v>8</v>
      </c>
      <c r="H89" s="7">
        <v>494572</v>
      </c>
      <c r="I89" s="7">
        <v>516640</v>
      </c>
      <c r="J89" s="7">
        <v>22068</v>
      </c>
      <c r="K89" s="8">
        <v>4.4620399052109704E-2</v>
      </c>
    </row>
    <row r="90" spans="1:11" x14ac:dyDescent="0.3">
      <c r="A90" s="5" t="s">
        <v>46</v>
      </c>
      <c r="B90" s="6">
        <v>40227</v>
      </c>
      <c r="C90" s="5">
        <v>8</v>
      </c>
      <c r="D90" s="5">
        <v>2</v>
      </c>
      <c r="E90" s="5">
        <v>2010</v>
      </c>
      <c r="F90" s="5" t="s">
        <v>23</v>
      </c>
      <c r="G90" s="5" t="s">
        <v>8</v>
      </c>
      <c r="H90" s="7">
        <v>177437</v>
      </c>
      <c r="I90" s="7">
        <v>185058</v>
      </c>
      <c r="J90" s="7">
        <v>7621</v>
      </c>
      <c r="K90" s="8">
        <v>4.295045565468307E-2</v>
      </c>
    </row>
    <row r="91" spans="1:11" x14ac:dyDescent="0.3">
      <c r="A91" s="5" t="s">
        <v>46</v>
      </c>
      <c r="B91" s="6">
        <v>40227</v>
      </c>
      <c r="C91" s="5">
        <v>8</v>
      </c>
      <c r="D91" s="5">
        <v>2</v>
      </c>
      <c r="E91" s="5">
        <v>2010</v>
      </c>
      <c r="F91" s="5" t="s">
        <v>24</v>
      </c>
      <c r="G91" s="5" t="s">
        <v>8</v>
      </c>
      <c r="H91" s="7">
        <v>155922</v>
      </c>
      <c r="I91" s="7">
        <v>164943</v>
      </c>
      <c r="J91" s="7">
        <v>9021</v>
      </c>
      <c r="K91" s="8">
        <v>5.785585100242429E-2</v>
      </c>
    </row>
    <row r="92" spans="1:11" x14ac:dyDescent="0.3">
      <c r="A92" s="5" t="s">
        <v>46</v>
      </c>
      <c r="B92" s="6">
        <v>40227</v>
      </c>
      <c r="C92" s="5">
        <v>8</v>
      </c>
      <c r="D92" s="5">
        <v>2</v>
      </c>
      <c r="E92" s="5">
        <v>2010</v>
      </c>
      <c r="F92" s="5" t="s">
        <v>25</v>
      </c>
      <c r="G92" s="5" t="s">
        <v>8</v>
      </c>
      <c r="H92" s="7">
        <v>15658</v>
      </c>
      <c r="I92" s="7">
        <v>16475</v>
      </c>
      <c r="J92" s="7">
        <v>817</v>
      </c>
      <c r="K92" s="8">
        <v>5.2177800485374889E-2</v>
      </c>
    </row>
    <row r="93" spans="1:11" x14ac:dyDescent="0.3">
      <c r="A93" s="5" t="s">
        <v>46</v>
      </c>
      <c r="B93" s="6">
        <v>40227</v>
      </c>
      <c r="C93" s="5">
        <v>8</v>
      </c>
      <c r="D93" s="5">
        <v>2</v>
      </c>
      <c r="E93" s="5">
        <v>2010</v>
      </c>
      <c r="F93" s="5" t="s">
        <v>26</v>
      </c>
      <c r="G93" s="5" t="s">
        <v>10</v>
      </c>
      <c r="H93" s="7">
        <v>3843</v>
      </c>
      <c r="I93" s="7">
        <v>4303</v>
      </c>
      <c r="J93" s="7">
        <v>460</v>
      </c>
      <c r="K93" s="8">
        <v>0.11969815248503773</v>
      </c>
    </row>
    <row r="94" spans="1:11" x14ac:dyDescent="0.3">
      <c r="A94" s="5" t="s">
        <v>46</v>
      </c>
      <c r="B94" s="6">
        <v>40227</v>
      </c>
      <c r="C94" s="5">
        <v>8</v>
      </c>
      <c r="D94" s="5">
        <v>2</v>
      </c>
      <c r="E94" s="5">
        <v>2010</v>
      </c>
      <c r="F94" s="5" t="s">
        <v>27</v>
      </c>
      <c r="G94" s="5" t="s">
        <v>10</v>
      </c>
      <c r="H94" s="7">
        <v>153452</v>
      </c>
      <c r="I94" s="7">
        <v>172811</v>
      </c>
      <c r="J94" s="7">
        <v>19359</v>
      </c>
      <c r="K94" s="8">
        <v>0.12615671349998697</v>
      </c>
    </row>
    <row r="95" spans="1:11" x14ac:dyDescent="0.3">
      <c r="A95" s="5" t="s">
        <v>46</v>
      </c>
      <c r="B95" s="6">
        <v>40227</v>
      </c>
      <c r="C95" s="5">
        <v>8</v>
      </c>
      <c r="D95" s="5">
        <v>2</v>
      </c>
      <c r="E95" s="5">
        <v>2010</v>
      </c>
      <c r="F95" s="5" t="s">
        <v>28</v>
      </c>
      <c r="G95" s="5" t="s">
        <v>10</v>
      </c>
      <c r="H95" s="7">
        <v>66508</v>
      </c>
      <c r="I95" s="7">
        <v>76505</v>
      </c>
      <c r="J95" s="7">
        <v>9997</v>
      </c>
      <c r="K95" s="8">
        <v>0.15031274433150899</v>
      </c>
    </row>
    <row r="96" spans="1:11" x14ac:dyDescent="0.3">
      <c r="A96" s="5" t="s">
        <v>46</v>
      </c>
      <c r="B96" s="6">
        <v>40227</v>
      </c>
      <c r="C96" s="5">
        <v>8</v>
      </c>
      <c r="D96" s="5">
        <v>2</v>
      </c>
      <c r="E96" s="5">
        <v>2010</v>
      </c>
      <c r="F96" s="5" t="s">
        <v>29</v>
      </c>
      <c r="G96" s="5" t="s">
        <v>10</v>
      </c>
      <c r="H96" s="7">
        <v>476398</v>
      </c>
      <c r="I96" s="7">
        <v>515357</v>
      </c>
      <c r="J96" s="7">
        <v>38959</v>
      </c>
      <c r="K96" s="8">
        <v>8.1778261033841448E-2</v>
      </c>
    </row>
    <row r="97" spans="1:11" x14ac:dyDescent="0.3">
      <c r="A97" s="5" t="s">
        <v>46</v>
      </c>
      <c r="B97" s="6">
        <v>40227</v>
      </c>
      <c r="C97" s="5">
        <v>8</v>
      </c>
      <c r="D97" s="5">
        <v>2</v>
      </c>
      <c r="E97" s="5">
        <v>2010</v>
      </c>
      <c r="F97" s="5" t="s">
        <v>30</v>
      </c>
      <c r="G97" s="5" t="s">
        <v>10</v>
      </c>
      <c r="H97" s="7">
        <v>96486</v>
      </c>
      <c r="I97" s="7">
        <v>109214</v>
      </c>
      <c r="J97" s="7">
        <v>12728</v>
      </c>
      <c r="K97" s="8">
        <v>0.13191551105859917</v>
      </c>
    </row>
    <row r="98" spans="1:11" x14ac:dyDescent="0.3">
      <c r="A98" s="5" t="s">
        <v>46</v>
      </c>
      <c r="B98" s="6">
        <v>40227</v>
      </c>
      <c r="C98" s="5">
        <v>8</v>
      </c>
      <c r="D98" s="5">
        <v>2</v>
      </c>
      <c r="E98" s="5">
        <v>2010</v>
      </c>
      <c r="F98" s="5" t="s">
        <v>9</v>
      </c>
      <c r="G98" s="5" t="s">
        <v>9</v>
      </c>
      <c r="H98" s="7">
        <v>636022</v>
      </c>
      <c r="I98" s="7">
        <v>759022</v>
      </c>
      <c r="J98" s="7">
        <v>123000</v>
      </c>
      <c r="K98" s="8">
        <v>0.19338953683992063</v>
      </c>
    </row>
    <row r="99" spans="1:11" x14ac:dyDescent="0.3">
      <c r="A99" s="5" t="s">
        <v>46</v>
      </c>
      <c r="B99" s="6">
        <v>40227</v>
      </c>
      <c r="C99" s="5">
        <v>8</v>
      </c>
      <c r="D99" s="5">
        <v>2</v>
      </c>
      <c r="E99" s="5">
        <v>2010</v>
      </c>
      <c r="F99" s="5" t="s">
        <v>31</v>
      </c>
      <c r="G99" s="5" t="s">
        <v>7</v>
      </c>
      <c r="H99" s="7">
        <v>54441</v>
      </c>
      <c r="I99" s="7">
        <v>66845</v>
      </c>
      <c r="J99" s="7">
        <v>12404</v>
      </c>
      <c r="K99" s="8">
        <v>0.22784298598482761</v>
      </c>
    </row>
    <row r="100" spans="1:11" x14ac:dyDescent="0.3">
      <c r="A100" s="5" t="s">
        <v>46</v>
      </c>
      <c r="B100" s="6">
        <v>40227</v>
      </c>
      <c r="C100" s="5">
        <v>8</v>
      </c>
      <c r="D100" s="5">
        <v>2</v>
      </c>
      <c r="E100" s="5">
        <v>2010</v>
      </c>
      <c r="F100" s="5" t="s">
        <v>33</v>
      </c>
      <c r="G100" s="5" t="s">
        <v>7</v>
      </c>
      <c r="H100" s="7">
        <v>51769</v>
      </c>
      <c r="I100" s="7">
        <v>93966</v>
      </c>
      <c r="J100" s="7">
        <v>42197</v>
      </c>
      <c r="K100" s="8">
        <v>0.81510170179064689</v>
      </c>
    </row>
    <row r="101" spans="1:11" x14ac:dyDescent="0.3">
      <c r="A101" s="5" t="s">
        <v>46</v>
      </c>
      <c r="B101" s="6">
        <v>40227</v>
      </c>
      <c r="C101" s="5">
        <v>8</v>
      </c>
      <c r="D101" s="5">
        <v>2</v>
      </c>
      <c r="E101" s="5">
        <v>2010</v>
      </c>
      <c r="F101" s="5" t="s">
        <v>34</v>
      </c>
      <c r="G101" s="5" t="s">
        <v>7</v>
      </c>
      <c r="H101" s="7">
        <v>5821</v>
      </c>
      <c r="I101" s="7">
        <v>6519</v>
      </c>
      <c r="J101" s="7">
        <v>698</v>
      </c>
      <c r="K101" s="8">
        <v>0.1199106682700567</v>
      </c>
    </row>
    <row r="102" spans="1:11" x14ac:dyDescent="0.3">
      <c r="A102" s="5" t="s">
        <v>46</v>
      </c>
      <c r="B102" s="6">
        <v>40227</v>
      </c>
      <c r="C102" s="5">
        <v>8</v>
      </c>
      <c r="D102" s="5">
        <v>2</v>
      </c>
      <c r="E102" s="5">
        <v>2010</v>
      </c>
      <c r="F102" s="5" t="s">
        <v>35</v>
      </c>
      <c r="G102" s="5" t="s">
        <v>11</v>
      </c>
      <c r="H102" s="7">
        <v>8724</v>
      </c>
      <c r="I102" s="7">
        <v>10299</v>
      </c>
      <c r="J102" s="7">
        <v>1575</v>
      </c>
      <c r="K102" s="8">
        <v>0.18053645116918846</v>
      </c>
    </row>
    <row r="103" spans="1:11" x14ac:dyDescent="0.3">
      <c r="A103" s="5" t="s">
        <v>46</v>
      </c>
      <c r="B103" s="6">
        <v>40227</v>
      </c>
      <c r="C103" s="5">
        <v>8</v>
      </c>
      <c r="D103" s="5">
        <v>2</v>
      </c>
      <c r="E103" s="5">
        <v>2010</v>
      </c>
      <c r="F103" s="5" t="s">
        <v>36</v>
      </c>
      <c r="G103" s="5" t="s">
        <v>11</v>
      </c>
      <c r="H103" s="7">
        <v>134164</v>
      </c>
      <c r="I103" s="7">
        <v>148123</v>
      </c>
      <c r="J103" s="7">
        <v>13959</v>
      </c>
      <c r="K103" s="8">
        <v>0.10404430398616618</v>
      </c>
    </row>
    <row r="104" spans="1:11" x14ac:dyDescent="0.3">
      <c r="A104" s="5" t="s">
        <v>46</v>
      </c>
      <c r="B104" s="6">
        <v>40227</v>
      </c>
      <c r="C104" s="5">
        <v>8</v>
      </c>
      <c r="D104" s="5">
        <v>2</v>
      </c>
      <c r="E104" s="5">
        <v>2010</v>
      </c>
      <c r="F104" s="5" t="s">
        <v>37</v>
      </c>
      <c r="G104" s="5" t="s">
        <v>11</v>
      </c>
      <c r="H104" s="7">
        <v>291414</v>
      </c>
      <c r="I104" s="7">
        <v>309766</v>
      </c>
      <c r="J104" s="7">
        <v>18352</v>
      </c>
      <c r="K104" s="8">
        <v>6.2975697804498063E-2</v>
      </c>
    </row>
    <row r="105" spans="1:11" x14ac:dyDescent="0.3">
      <c r="A105" s="5" t="s">
        <v>46</v>
      </c>
      <c r="B105" s="6">
        <v>40227</v>
      </c>
      <c r="C105" s="5">
        <v>8</v>
      </c>
      <c r="D105" s="5">
        <v>2</v>
      </c>
      <c r="E105" s="5">
        <v>2010</v>
      </c>
      <c r="F105" s="5" t="s">
        <v>38</v>
      </c>
      <c r="G105" s="5" t="s">
        <v>11</v>
      </c>
      <c r="H105" s="7">
        <v>254373</v>
      </c>
      <c r="I105" s="7">
        <v>270312</v>
      </c>
      <c r="J105" s="7">
        <v>15939</v>
      </c>
      <c r="K105" s="8">
        <v>6.2659952117559647E-2</v>
      </c>
    </row>
    <row r="106" spans="1:11" x14ac:dyDescent="0.3">
      <c r="A106" s="5" t="s">
        <v>46</v>
      </c>
      <c r="B106" s="6">
        <v>40228</v>
      </c>
      <c r="C106" s="5">
        <v>8</v>
      </c>
      <c r="D106" s="5">
        <v>2</v>
      </c>
      <c r="E106" s="5">
        <v>2010</v>
      </c>
      <c r="F106" s="5" t="s">
        <v>14</v>
      </c>
      <c r="G106" s="5" t="s">
        <v>6</v>
      </c>
      <c r="H106" s="7">
        <v>19556</v>
      </c>
      <c r="I106" s="7">
        <v>22312</v>
      </c>
      <c r="J106" s="7">
        <v>2756</v>
      </c>
      <c r="K106" s="8">
        <v>0.14092861525874412</v>
      </c>
    </row>
    <row r="107" spans="1:11" x14ac:dyDescent="0.3">
      <c r="A107" s="5" t="s">
        <v>46</v>
      </c>
      <c r="B107" s="6">
        <v>40228</v>
      </c>
      <c r="C107" s="5">
        <v>8</v>
      </c>
      <c r="D107" s="5">
        <v>2</v>
      </c>
      <c r="E107" s="5">
        <v>2010</v>
      </c>
      <c r="F107" s="5" t="s">
        <v>15</v>
      </c>
      <c r="G107" s="5" t="s">
        <v>6</v>
      </c>
      <c r="H107" s="7">
        <v>267059</v>
      </c>
      <c r="I107" s="7">
        <v>307592</v>
      </c>
      <c r="J107" s="7">
        <v>40533</v>
      </c>
      <c r="K107" s="8">
        <v>0.15177545036864512</v>
      </c>
    </row>
    <row r="108" spans="1:11" x14ac:dyDescent="0.3">
      <c r="A108" s="5" t="s">
        <v>46</v>
      </c>
      <c r="B108" s="6">
        <v>40228</v>
      </c>
      <c r="C108" s="5">
        <v>8</v>
      </c>
      <c r="D108" s="5">
        <v>2</v>
      </c>
      <c r="E108" s="5">
        <v>2010</v>
      </c>
      <c r="F108" s="5" t="s">
        <v>16</v>
      </c>
      <c r="G108" s="5" t="s">
        <v>6</v>
      </c>
      <c r="H108" s="7">
        <v>97169</v>
      </c>
      <c r="I108" s="7">
        <v>108782</v>
      </c>
      <c r="J108" s="7">
        <v>11613</v>
      </c>
      <c r="K108" s="8">
        <v>0.11951342506354908</v>
      </c>
    </row>
    <row r="109" spans="1:11" x14ac:dyDescent="0.3">
      <c r="A109" s="5" t="s">
        <v>46</v>
      </c>
      <c r="B109" s="6">
        <v>40228</v>
      </c>
      <c r="C109" s="5">
        <v>8</v>
      </c>
      <c r="D109" s="5">
        <v>2</v>
      </c>
      <c r="E109" s="5">
        <v>2010</v>
      </c>
      <c r="F109" s="5" t="s">
        <v>17</v>
      </c>
      <c r="G109" s="5" t="s">
        <v>6</v>
      </c>
      <c r="H109" s="7">
        <v>5422</v>
      </c>
      <c r="I109" s="7">
        <v>6107</v>
      </c>
      <c r="J109" s="7">
        <v>685</v>
      </c>
      <c r="K109" s="8">
        <v>0.12633714496495757</v>
      </c>
    </row>
    <row r="110" spans="1:11" x14ac:dyDescent="0.3">
      <c r="A110" s="5" t="s">
        <v>46</v>
      </c>
      <c r="B110" s="6">
        <v>40228</v>
      </c>
      <c r="C110" s="5">
        <v>8</v>
      </c>
      <c r="D110" s="5">
        <v>2</v>
      </c>
      <c r="E110" s="5">
        <v>2010</v>
      </c>
      <c r="F110" s="5" t="s">
        <v>18</v>
      </c>
      <c r="G110" s="5" t="s">
        <v>6</v>
      </c>
      <c r="H110" s="7">
        <v>35461</v>
      </c>
      <c r="I110" s="7">
        <v>39800</v>
      </c>
      <c r="J110" s="7">
        <v>4339</v>
      </c>
      <c r="K110" s="8">
        <v>0.12235977552804489</v>
      </c>
    </row>
    <row r="111" spans="1:11" x14ac:dyDescent="0.3">
      <c r="A111" s="5" t="s">
        <v>46</v>
      </c>
      <c r="B111" s="6">
        <v>40228</v>
      </c>
      <c r="C111" s="5">
        <v>8</v>
      </c>
      <c r="D111" s="5">
        <v>2</v>
      </c>
      <c r="E111" s="5">
        <v>2010</v>
      </c>
      <c r="F111" s="5" t="s">
        <v>19</v>
      </c>
      <c r="G111" s="5" t="s">
        <v>5</v>
      </c>
      <c r="H111" s="7">
        <v>146017</v>
      </c>
      <c r="I111" s="7">
        <v>162643</v>
      </c>
      <c r="J111" s="7">
        <v>16626</v>
      </c>
      <c r="K111" s="8">
        <v>0.11386345425532643</v>
      </c>
    </row>
    <row r="112" spans="1:11" x14ac:dyDescent="0.3">
      <c r="A112" s="5" t="s">
        <v>46</v>
      </c>
      <c r="B112" s="6">
        <v>40228</v>
      </c>
      <c r="C112" s="5">
        <v>8</v>
      </c>
      <c r="D112" s="5">
        <v>2</v>
      </c>
      <c r="E112" s="5">
        <v>2010</v>
      </c>
      <c r="F112" s="5" t="s">
        <v>5</v>
      </c>
      <c r="G112" s="5" t="s">
        <v>5</v>
      </c>
      <c r="H112" s="7">
        <v>456960</v>
      </c>
      <c r="I112" s="7">
        <v>481214</v>
      </c>
      <c r="J112" s="7">
        <v>24254</v>
      </c>
      <c r="K112" s="8">
        <v>5.3076855742296918E-2</v>
      </c>
    </row>
    <row r="113" spans="1:11" x14ac:dyDescent="0.3">
      <c r="A113" s="5" t="s">
        <v>46</v>
      </c>
      <c r="B113" s="6">
        <v>40228</v>
      </c>
      <c r="C113" s="5">
        <v>8</v>
      </c>
      <c r="D113" s="5">
        <v>2</v>
      </c>
      <c r="E113" s="5">
        <v>2010</v>
      </c>
      <c r="F113" s="5" t="s">
        <v>20</v>
      </c>
      <c r="G113" s="5" t="s">
        <v>5</v>
      </c>
      <c r="H113" s="7">
        <v>184667</v>
      </c>
      <c r="I113" s="7">
        <v>200376</v>
      </c>
      <c r="J113" s="7">
        <v>15709</v>
      </c>
      <c r="K113" s="8">
        <v>8.5066633453730223E-2</v>
      </c>
    </row>
    <row r="114" spans="1:11" x14ac:dyDescent="0.3">
      <c r="A114" s="5" t="s">
        <v>46</v>
      </c>
      <c r="B114" s="6">
        <v>40228</v>
      </c>
      <c r="C114" s="5">
        <v>8</v>
      </c>
      <c r="D114" s="5">
        <v>2</v>
      </c>
      <c r="E114" s="5">
        <v>2010</v>
      </c>
      <c r="F114" s="5" t="s">
        <v>21</v>
      </c>
      <c r="G114" s="5" t="s">
        <v>5</v>
      </c>
      <c r="H114" s="7">
        <v>208377</v>
      </c>
      <c r="I114" s="7">
        <v>220076</v>
      </c>
      <c r="J114" s="7">
        <v>11699</v>
      </c>
      <c r="K114" s="8">
        <v>5.6143432336582255E-2</v>
      </c>
    </row>
    <row r="115" spans="1:11" x14ac:dyDescent="0.3">
      <c r="A115" s="5" t="s">
        <v>46</v>
      </c>
      <c r="B115" s="6">
        <v>40228</v>
      </c>
      <c r="C115" s="5">
        <v>8</v>
      </c>
      <c r="D115" s="5">
        <v>2</v>
      </c>
      <c r="E115" s="5">
        <v>2010</v>
      </c>
      <c r="F115" s="5" t="s">
        <v>22</v>
      </c>
      <c r="G115" s="5" t="s">
        <v>8</v>
      </c>
      <c r="H115" s="7">
        <v>1687185</v>
      </c>
      <c r="I115" s="7">
        <v>1721057</v>
      </c>
      <c r="J115" s="7">
        <v>33872</v>
      </c>
      <c r="K115" s="8">
        <v>2.0076043824476867E-2</v>
      </c>
    </row>
    <row r="116" spans="1:11" x14ac:dyDescent="0.3">
      <c r="A116" s="5" t="s">
        <v>46</v>
      </c>
      <c r="B116" s="6">
        <v>40228</v>
      </c>
      <c r="C116" s="5">
        <v>8</v>
      </c>
      <c r="D116" s="5">
        <v>2</v>
      </c>
      <c r="E116" s="5">
        <v>2010</v>
      </c>
      <c r="F116" s="5" t="s">
        <v>23</v>
      </c>
      <c r="G116" s="5" t="s">
        <v>8</v>
      </c>
      <c r="H116" s="7">
        <v>200153</v>
      </c>
      <c r="I116" s="7">
        <v>208574</v>
      </c>
      <c r="J116" s="7">
        <v>8421</v>
      </c>
      <c r="K116" s="8">
        <v>4.2072814297062749E-2</v>
      </c>
    </row>
    <row r="117" spans="1:11" x14ac:dyDescent="0.3">
      <c r="A117" s="5" t="s">
        <v>46</v>
      </c>
      <c r="B117" s="6">
        <v>40228</v>
      </c>
      <c r="C117" s="5">
        <v>8</v>
      </c>
      <c r="D117" s="5">
        <v>2</v>
      </c>
      <c r="E117" s="5">
        <v>2010</v>
      </c>
      <c r="F117" s="5" t="s">
        <v>24</v>
      </c>
      <c r="G117" s="5" t="s">
        <v>8</v>
      </c>
      <c r="H117" s="7">
        <v>183719</v>
      </c>
      <c r="I117" s="7">
        <v>195243</v>
      </c>
      <c r="J117" s="7">
        <v>11524</v>
      </c>
      <c r="K117" s="8">
        <v>6.2726228642655354E-2</v>
      </c>
    </row>
    <row r="118" spans="1:11" x14ac:dyDescent="0.3">
      <c r="A118" s="5" t="s">
        <v>46</v>
      </c>
      <c r="B118" s="6">
        <v>40228</v>
      </c>
      <c r="C118" s="5">
        <v>8</v>
      </c>
      <c r="D118" s="5">
        <v>2</v>
      </c>
      <c r="E118" s="5">
        <v>2010</v>
      </c>
      <c r="F118" s="5" t="s">
        <v>25</v>
      </c>
      <c r="G118" s="5" t="s">
        <v>8</v>
      </c>
      <c r="H118" s="7">
        <v>6464</v>
      </c>
      <c r="I118" s="7">
        <v>7114</v>
      </c>
      <c r="J118" s="7">
        <v>650</v>
      </c>
      <c r="K118" s="8">
        <v>0.10055693069306931</v>
      </c>
    </row>
    <row r="119" spans="1:11" x14ac:dyDescent="0.3">
      <c r="A119" s="5" t="s">
        <v>46</v>
      </c>
      <c r="B119" s="6">
        <v>40228</v>
      </c>
      <c r="C119" s="5">
        <v>8</v>
      </c>
      <c r="D119" s="5">
        <v>2</v>
      </c>
      <c r="E119" s="5">
        <v>2010</v>
      </c>
      <c r="F119" s="5" t="s">
        <v>26</v>
      </c>
      <c r="G119" s="5" t="s">
        <v>10</v>
      </c>
      <c r="H119" s="7">
        <v>16931</v>
      </c>
      <c r="I119" s="7">
        <v>18880</v>
      </c>
      <c r="J119" s="7">
        <v>1949</v>
      </c>
      <c r="K119" s="8">
        <v>0.11511428740180733</v>
      </c>
    </row>
    <row r="120" spans="1:11" x14ac:dyDescent="0.3">
      <c r="A120" s="5" t="s">
        <v>46</v>
      </c>
      <c r="B120" s="6">
        <v>40228</v>
      </c>
      <c r="C120" s="5">
        <v>8</v>
      </c>
      <c r="D120" s="5">
        <v>2</v>
      </c>
      <c r="E120" s="5">
        <v>2010</v>
      </c>
      <c r="F120" s="5" t="s">
        <v>27</v>
      </c>
      <c r="G120" s="5" t="s">
        <v>10</v>
      </c>
      <c r="H120" s="7">
        <v>163013</v>
      </c>
      <c r="I120" s="7">
        <v>184102</v>
      </c>
      <c r="J120" s="7">
        <v>21089</v>
      </c>
      <c r="K120" s="8">
        <v>0.12937005024139178</v>
      </c>
    </row>
    <row r="121" spans="1:11" x14ac:dyDescent="0.3">
      <c r="A121" s="5" t="s">
        <v>46</v>
      </c>
      <c r="B121" s="6">
        <v>40228</v>
      </c>
      <c r="C121" s="5">
        <v>8</v>
      </c>
      <c r="D121" s="5">
        <v>2</v>
      </c>
      <c r="E121" s="5">
        <v>2010</v>
      </c>
      <c r="F121" s="5" t="s">
        <v>28</v>
      </c>
      <c r="G121" s="5" t="s">
        <v>10</v>
      </c>
      <c r="H121" s="7">
        <v>81572</v>
      </c>
      <c r="I121" s="7">
        <v>96141</v>
      </c>
      <c r="J121" s="7">
        <v>14569</v>
      </c>
      <c r="K121" s="8">
        <v>0.17860295199333104</v>
      </c>
    </row>
    <row r="122" spans="1:11" x14ac:dyDescent="0.3">
      <c r="A122" s="5" t="s">
        <v>46</v>
      </c>
      <c r="B122" s="6">
        <v>40228</v>
      </c>
      <c r="C122" s="5">
        <v>8</v>
      </c>
      <c r="D122" s="5">
        <v>2</v>
      </c>
      <c r="E122" s="5">
        <v>2010</v>
      </c>
      <c r="F122" s="5" t="s">
        <v>29</v>
      </c>
      <c r="G122" s="5" t="s">
        <v>10</v>
      </c>
      <c r="H122" s="7">
        <v>569973</v>
      </c>
      <c r="I122" s="7">
        <v>618122</v>
      </c>
      <c r="J122" s="7">
        <v>48149</v>
      </c>
      <c r="K122" s="8">
        <v>8.4475931316044792E-2</v>
      </c>
    </row>
    <row r="123" spans="1:11" x14ac:dyDescent="0.3">
      <c r="A123" s="5" t="s">
        <v>46</v>
      </c>
      <c r="B123" s="6">
        <v>40228</v>
      </c>
      <c r="C123" s="5">
        <v>8</v>
      </c>
      <c r="D123" s="5">
        <v>2</v>
      </c>
      <c r="E123" s="5">
        <v>2010</v>
      </c>
      <c r="F123" s="5" t="s">
        <v>30</v>
      </c>
      <c r="G123" s="5" t="s">
        <v>10</v>
      </c>
      <c r="H123" s="7">
        <v>137488</v>
      </c>
      <c r="I123" s="7">
        <v>155780</v>
      </c>
      <c r="J123" s="7">
        <v>18292</v>
      </c>
      <c r="K123" s="8">
        <v>0.13304433841498894</v>
      </c>
    </row>
    <row r="124" spans="1:11" x14ac:dyDescent="0.3">
      <c r="A124" s="5" t="s">
        <v>46</v>
      </c>
      <c r="B124" s="6">
        <v>40228</v>
      </c>
      <c r="C124" s="5">
        <v>8</v>
      </c>
      <c r="D124" s="5">
        <v>2</v>
      </c>
      <c r="E124" s="5">
        <v>2010</v>
      </c>
      <c r="F124" s="5" t="s">
        <v>9</v>
      </c>
      <c r="G124" s="5" t="s">
        <v>9</v>
      </c>
      <c r="H124" s="7">
        <v>813774</v>
      </c>
      <c r="I124" s="7">
        <v>979593</v>
      </c>
      <c r="J124" s="7">
        <v>165819</v>
      </c>
      <c r="K124" s="8">
        <v>0.20376541890008773</v>
      </c>
    </row>
    <row r="125" spans="1:11" x14ac:dyDescent="0.3">
      <c r="A125" s="5" t="s">
        <v>46</v>
      </c>
      <c r="B125" s="6">
        <v>40228</v>
      </c>
      <c r="C125" s="5">
        <v>8</v>
      </c>
      <c r="D125" s="5">
        <v>2</v>
      </c>
      <c r="E125" s="5">
        <v>2010</v>
      </c>
      <c r="F125" s="5" t="s">
        <v>31</v>
      </c>
      <c r="G125" s="5" t="s">
        <v>7</v>
      </c>
      <c r="H125" s="7">
        <v>73147</v>
      </c>
      <c r="I125" s="7">
        <v>91511</v>
      </c>
      <c r="J125" s="7">
        <v>18364</v>
      </c>
      <c r="K125" s="8">
        <v>0.25105609252600924</v>
      </c>
    </row>
    <row r="126" spans="1:11" x14ac:dyDescent="0.3">
      <c r="A126" s="5" t="s">
        <v>46</v>
      </c>
      <c r="B126" s="6">
        <v>40228</v>
      </c>
      <c r="C126" s="5">
        <v>8</v>
      </c>
      <c r="D126" s="5">
        <v>2</v>
      </c>
      <c r="E126" s="5">
        <v>2010</v>
      </c>
      <c r="F126" s="5" t="s">
        <v>33</v>
      </c>
      <c r="G126" s="5" t="s">
        <v>7</v>
      </c>
      <c r="H126" s="7">
        <v>73529</v>
      </c>
      <c r="I126" s="7">
        <v>132747</v>
      </c>
      <c r="J126" s="7">
        <v>59218</v>
      </c>
      <c r="K126" s="8">
        <v>0.80536931006813639</v>
      </c>
    </row>
    <row r="127" spans="1:11" x14ac:dyDescent="0.3">
      <c r="A127" s="5" t="s">
        <v>46</v>
      </c>
      <c r="B127" s="6">
        <v>40228</v>
      </c>
      <c r="C127" s="5">
        <v>8</v>
      </c>
      <c r="D127" s="5">
        <v>2</v>
      </c>
      <c r="E127" s="5">
        <v>2010</v>
      </c>
      <c r="F127" s="5" t="s">
        <v>34</v>
      </c>
      <c r="G127" s="5" t="s">
        <v>7</v>
      </c>
      <c r="H127" s="7">
        <v>4909</v>
      </c>
      <c r="I127" s="7">
        <v>5497</v>
      </c>
      <c r="J127" s="7">
        <v>588</v>
      </c>
      <c r="K127" s="8">
        <v>0.11977999592585048</v>
      </c>
    </row>
    <row r="128" spans="1:11" x14ac:dyDescent="0.3">
      <c r="A128" s="5" t="s">
        <v>46</v>
      </c>
      <c r="B128" s="6">
        <v>40228</v>
      </c>
      <c r="C128" s="5">
        <v>8</v>
      </c>
      <c r="D128" s="5">
        <v>2</v>
      </c>
      <c r="E128" s="5">
        <v>2010</v>
      </c>
      <c r="F128" s="5" t="s">
        <v>35</v>
      </c>
      <c r="G128" s="5" t="s">
        <v>11</v>
      </c>
      <c r="H128" s="7">
        <v>5514</v>
      </c>
      <c r="I128" s="7">
        <v>6768</v>
      </c>
      <c r="J128" s="7">
        <v>1254</v>
      </c>
      <c r="K128" s="8">
        <v>0.22742110990206746</v>
      </c>
    </row>
    <row r="129" spans="1:11" x14ac:dyDescent="0.3">
      <c r="A129" s="5" t="s">
        <v>46</v>
      </c>
      <c r="B129" s="6">
        <v>40228</v>
      </c>
      <c r="C129" s="5">
        <v>8</v>
      </c>
      <c r="D129" s="5">
        <v>2</v>
      </c>
      <c r="E129" s="5">
        <v>2010</v>
      </c>
      <c r="F129" s="5" t="s">
        <v>36</v>
      </c>
      <c r="G129" s="5" t="s">
        <v>11</v>
      </c>
      <c r="H129" s="7">
        <v>140650</v>
      </c>
      <c r="I129" s="7">
        <v>155659</v>
      </c>
      <c r="J129" s="7">
        <v>15009</v>
      </c>
      <c r="K129" s="8">
        <v>0.10671169569854248</v>
      </c>
    </row>
    <row r="130" spans="1:11" x14ac:dyDescent="0.3">
      <c r="A130" s="5" t="s">
        <v>46</v>
      </c>
      <c r="B130" s="6">
        <v>40228</v>
      </c>
      <c r="C130" s="5">
        <v>8</v>
      </c>
      <c r="D130" s="5">
        <v>2</v>
      </c>
      <c r="E130" s="5">
        <v>2010</v>
      </c>
      <c r="F130" s="5" t="s">
        <v>37</v>
      </c>
      <c r="G130" s="5" t="s">
        <v>11</v>
      </c>
      <c r="H130" s="7">
        <v>271492</v>
      </c>
      <c r="I130" s="7">
        <v>292621</v>
      </c>
      <c r="J130" s="7">
        <v>21129</v>
      </c>
      <c r="K130" s="8">
        <v>7.7825497620556044E-2</v>
      </c>
    </row>
    <row r="131" spans="1:11" x14ac:dyDescent="0.3">
      <c r="A131" s="5" t="s">
        <v>46</v>
      </c>
      <c r="B131" s="6">
        <v>40228</v>
      </c>
      <c r="C131" s="5">
        <v>8</v>
      </c>
      <c r="D131" s="5">
        <v>2</v>
      </c>
      <c r="E131" s="5">
        <v>2010</v>
      </c>
      <c r="F131" s="5" t="s">
        <v>38</v>
      </c>
      <c r="G131" s="5" t="s">
        <v>11</v>
      </c>
      <c r="H131" s="7">
        <v>273699</v>
      </c>
      <c r="I131" s="7">
        <v>293179</v>
      </c>
      <c r="J131" s="7">
        <v>19480</v>
      </c>
      <c r="K131" s="8">
        <v>7.1173076993339399E-2</v>
      </c>
    </row>
    <row r="132" spans="1:11" x14ac:dyDescent="0.3">
      <c r="A132" s="5" t="s">
        <v>46</v>
      </c>
      <c r="B132" s="6">
        <v>40229</v>
      </c>
      <c r="C132" s="5">
        <v>8</v>
      </c>
      <c r="D132" s="5">
        <v>2</v>
      </c>
      <c r="E132" s="5">
        <v>2010</v>
      </c>
      <c r="F132" s="5" t="s">
        <v>14</v>
      </c>
      <c r="G132" s="5" t="s">
        <v>6</v>
      </c>
      <c r="H132" s="7">
        <v>25281</v>
      </c>
      <c r="I132" s="7">
        <v>28422</v>
      </c>
      <c r="J132" s="7">
        <v>3141</v>
      </c>
      <c r="K132" s="8">
        <v>0.1242435030259879</v>
      </c>
    </row>
    <row r="133" spans="1:11" x14ac:dyDescent="0.3">
      <c r="A133" s="5" t="s">
        <v>46</v>
      </c>
      <c r="B133" s="6">
        <v>40229</v>
      </c>
      <c r="C133" s="5">
        <v>8</v>
      </c>
      <c r="D133" s="5">
        <v>2</v>
      </c>
      <c r="E133" s="5">
        <v>2010</v>
      </c>
      <c r="F133" s="5" t="s">
        <v>15</v>
      </c>
      <c r="G133" s="5" t="s">
        <v>6</v>
      </c>
      <c r="H133" s="7">
        <v>314593</v>
      </c>
      <c r="I133" s="7">
        <v>367943</v>
      </c>
      <c r="J133" s="7">
        <v>53350</v>
      </c>
      <c r="K133" s="8">
        <v>0.16958419290956886</v>
      </c>
    </row>
    <row r="134" spans="1:11" x14ac:dyDescent="0.3">
      <c r="A134" s="5" t="s">
        <v>46</v>
      </c>
      <c r="B134" s="6">
        <v>40229</v>
      </c>
      <c r="C134" s="5">
        <v>8</v>
      </c>
      <c r="D134" s="5">
        <v>2</v>
      </c>
      <c r="E134" s="5">
        <v>2010</v>
      </c>
      <c r="F134" s="5" t="s">
        <v>16</v>
      </c>
      <c r="G134" s="5" t="s">
        <v>6</v>
      </c>
      <c r="H134" s="7">
        <v>118813</v>
      </c>
      <c r="I134" s="7">
        <v>133745</v>
      </c>
      <c r="J134" s="7">
        <v>14932</v>
      </c>
      <c r="K134" s="8">
        <v>0.12567648321311642</v>
      </c>
    </row>
    <row r="135" spans="1:11" x14ac:dyDescent="0.3">
      <c r="A135" s="5" t="s">
        <v>46</v>
      </c>
      <c r="B135" s="6">
        <v>40229</v>
      </c>
      <c r="C135" s="5">
        <v>8</v>
      </c>
      <c r="D135" s="5">
        <v>2</v>
      </c>
      <c r="E135" s="5">
        <v>2010</v>
      </c>
      <c r="F135" s="5" t="s">
        <v>17</v>
      </c>
      <c r="G135" s="5" t="s">
        <v>6</v>
      </c>
      <c r="H135" s="7">
        <v>8579</v>
      </c>
      <c r="I135" s="7">
        <v>9416</v>
      </c>
      <c r="J135" s="7">
        <v>837</v>
      </c>
      <c r="K135" s="8">
        <v>9.7563818626879587E-2</v>
      </c>
    </row>
    <row r="136" spans="1:11" x14ac:dyDescent="0.3">
      <c r="A136" s="5" t="s">
        <v>46</v>
      </c>
      <c r="B136" s="6">
        <v>40229</v>
      </c>
      <c r="C136" s="5">
        <v>8</v>
      </c>
      <c r="D136" s="5">
        <v>2</v>
      </c>
      <c r="E136" s="5">
        <v>2010</v>
      </c>
      <c r="F136" s="5" t="s">
        <v>18</v>
      </c>
      <c r="G136" s="5" t="s">
        <v>6</v>
      </c>
      <c r="H136" s="7">
        <v>64233</v>
      </c>
      <c r="I136" s="7">
        <v>72541</v>
      </c>
      <c r="J136" s="7">
        <v>8308</v>
      </c>
      <c r="K136" s="8">
        <v>0.1293416156804135</v>
      </c>
    </row>
    <row r="137" spans="1:11" x14ac:dyDescent="0.3">
      <c r="A137" s="5" t="s">
        <v>46</v>
      </c>
      <c r="B137" s="6">
        <v>40229</v>
      </c>
      <c r="C137" s="5">
        <v>8</v>
      </c>
      <c r="D137" s="5">
        <v>2</v>
      </c>
      <c r="E137" s="5">
        <v>2010</v>
      </c>
      <c r="F137" s="5" t="s">
        <v>19</v>
      </c>
      <c r="G137" s="5" t="s">
        <v>5</v>
      </c>
      <c r="H137" s="7">
        <v>194311</v>
      </c>
      <c r="I137" s="7">
        <v>216636</v>
      </c>
      <c r="J137" s="7">
        <v>22325</v>
      </c>
      <c r="K137" s="8">
        <v>0.11489313523166471</v>
      </c>
    </row>
    <row r="138" spans="1:11" x14ac:dyDescent="0.3">
      <c r="A138" s="5" t="s">
        <v>46</v>
      </c>
      <c r="B138" s="6">
        <v>40229</v>
      </c>
      <c r="C138" s="5">
        <v>8</v>
      </c>
      <c r="D138" s="5">
        <v>2</v>
      </c>
      <c r="E138" s="5">
        <v>2010</v>
      </c>
      <c r="F138" s="5" t="s">
        <v>5</v>
      </c>
      <c r="G138" s="5" t="s">
        <v>5</v>
      </c>
      <c r="H138" s="7">
        <v>674046</v>
      </c>
      <c r="I138" s="7">
        <v>710577</v>
      </c>
      <c r="J138" s="7">
        <v>36531</v>
      </c>
      <c r="K138" s="8">
        <v>5.4196597858306404E-2</v>
      </c>
    </row>
    <row r="139" spans="1:11" x14ac:dyDescent="0.3">
      <c r="A139" s="5" t="s">
        <v>46</v>
      </c>
      <c r="B139" s="6">
        <v>40229</v>
      </c>
      <c r="C139" s="5">
        <v>8</v>
      </c>
      <c r="D139" s="5">
        <v>2</v>
      </c>
      <c r="E139" s="5">
        <v>2010</v>
      </c>
      <c r="F139" s="5" t="s">
        <v>20</v>
      </c>
      <c r="G139" s="5" t="s">
        <v>5</v>
      </c>
      <c r="H139" s="7">
        <v>180098</v>
      </c>
      <c r="I139" s="7">
        <v>198486</v>
      </c>
      <c r="J139" s="7">
        <v>18388</v>
      </c>
      <c r="K139" s="8">
        <v>0.10209996779531144</v>
      </c>
    </row>
    <row r="140" spans="1:11" x14ac:dyDescent="0.3">
      <c r="A140" s="5" t="s">
        <v>46</v>
      </c>
      <c r="B140" s="6">
        <v>40229</v>
      </c>
      <c r="C140" s="5">
        <v>8</v>
      </c>
      <c r="D140" s="5">
        <v>2</v>
      </c>
      <c r="E140" s="5">
        <v>2010</v>
      </c>
      <c r="F140" s="5" t="s">
        <v>21</v>
      </c>
      <c r="G140" s="5" t="s">
        <v>5</v>
      </c>
      <c r="H140" s="7">
        <v>264053</v>
      </c>
      <c r="I140" s="7">
        <v>278524</v>
      </c>
      <c r="J140" s="7">
        <v>14471</v>
      </c>
      <c r="K140" s="8">
        <v>5.4803391743324256E-2</v>
      </c>
    </row>
    <row r="141" spans="1:11" x14ac:dyDescent="0.3">
      <c r="A141" s="5" t="s">
        <v>46</v>
      </c>
      <c r="B141" s="6">
        <v>40229</v>
      </c>
      <c r="C141" s="5">
        <v>8</v>
      </c>
      <c r="D141" s="5">
        <v>2</v>
      </c>
      <c r="E141" s="5">
        <v>2010</v>
      </c>
      <c r="F141" s="5" t="s">
        <v>22</v>
      </c>
      <c r="G141" s="5" t="s">
        <v>8</v>
      </c>
      <c r="H141" s="7">
        <v>536933</v>
      </c>
      <c r="I141" s="7">
        <v>588263</v>
      </c>
      <c r="J141" s="7">
        <v>51330</v>
      </c>
      <c r="K141" s="8">
        <v>9.559851974082427E-2</v>
      </c>
    </row>
    <row r="142" spans="1:11" x14ac:dyDescent="0.3">
      <c r="A142" s="5" t="s">
        <v>46</v>
      </c>
      <c r="B142" s="6">
        <v>40229</v>
      </c>
      <c r="C142" s="5">
        <v>8</v>
      </c>
      <c r="D142" s="5">
        <v>2</v>
      </c>
      <c r="E142" s="5">
        <v>2010</v>
      </c>
      <c r="F142" s="5" t="s">
        <v>23</v>
      </c>
      <c r="G142" s="5" t="s">
        <v>8</v>
      </c>
      <c r="H142" s="7">
        <v>200824</v>
      </c>
      <c r="I142" s="7">
        <v>209538</v>
      </c>
      <c r="J142" s="7">
        <v>8714</v>
      </c>
      <c r="K142" s="8">
        <v>4.3391228140062937E-2</v>
      </c>
    </row>
    <row r="143" spans="1:11" x14ac:dyDescent="0.3">
      <c r="A143" s="5" t="s">
        <v>46</v>
      </c>
      <c r="B143" s="6">
        <v>40229</v>
      </c>
      <c r="C143" s="5">
        <v>8</v>
      </c>
      <c r="D143" s="5">
        <v>2</v>
      </c>
      <c r="E143" s="5">
        <v>2010</v>
      </c>
      <c r="F143" s="5" t="s">
        <v>24</v>
      </c>
      <c r="G143" s="5" t="s">
        <v>8</v>
      </c>
      <c r="H143" s="7">
        <v>222104</v>
      </c>
      <c r="I143" s="7">
        <v>237553</v>
      </c>
      <c r="J143" s="7">
        <v>15449</v>
      </c>
      <c r="K143" s="8">
        <v>6.9557504592443184E-2</v>
      </c>
    </row>
    <row r="144" spans="1:11" x14ac:dyDescent="0.3">
      <c r="A144" s="5" t="s">
        <v>46</v>
      </c>
      <c r="B144" s="6">
        <v>40229</v>
      </c>
      <c r="C144" s="5">
        <v>8</v>
      </c>
      <c r="D144" s="5">
        <v>2</v>
      </c>
      <c r="E144" s="5">
        <v>2010</v>
      </c>
      <c r="F144" s="5" t="s">
        <v>25</v>
      </c>
      <c r="G144" s="5" t="s">
        <v>8</v>
      </c>
      <c r="H144" s="7">
        <v>10972</v>
      </c>
      <c r="I144" s="7">
        <v>11770</v>
      </c>
      <c r="J144" s="7">
        <v>798</v>
      </c>
      <c r="K144" s="8">
        <v>7.2730586948596423E-2</v>
      </c>
    </row>
    <row r="145" spans="1:11" x14ac:dyDescent="0.3">
      <c r="A145" s="5" t="s">
        <v>46</v>
      </c>
      <c r="B145" s="6">
        <v>40229</v>
      </c>
      <c r="C145" s="5">
        <v>8</v>
      </c>
      <c r="D145" s="5">
        <v>2</v>
      </c>
      <c r="E145" s="5">
        <v>2010</v>
      </c>
      <c r="F145" s="5" t="s">
        <v>26</v>
      </c>
      <c r="G145" s="5" t="s">
        <v>10</v>
      </c>
      <c r="H145" s="7">
        <v>20154</v>
      </c>
      <c r="I145" s="7">
        <v>22525</v>
      </c>
      <c r="J145" s="7">
        <v>2371</v>
      </c>
      <c r="K145" s="8">
        <v>0.11764414012106778</v>
      </c>
    </row>
    <row r="146" spans="1:11" x14ac:dyDescent="0.3">
      <c r="A146" s="5" t="s">
        <v>46</v>
      </c>
      <c r="B146" s="6">
        <v>40229</v>
      </c>
      <c r="C146" s="5">
        <v>8</v>
      </c>
      <c r="D146" s="5">
        <v>2</v>
      </c>
      <c r="E146" s="5">
        <v>2010</v>
      </c>
      <c r="F146" s="5" t="s">
        <v>27</v>
      </c>
      <c r="G146" s="5" t="s">
        <v>10</v>
      </c>
      <c r="H146" s="7">
        <v>184993</v>
      </c>
      <c r="I146" s="7">
        <v>210403</v>
      </c>
      <c r="J146" s="7">
        <v>25410</v>
      </c>
      <c r="K146" s="8">
        <v>0.13735654862616423</v>
      </c>
    </row>
    <row r="147" spans="1:11" x14ac:dyDescent="0.3">
      <c r="A147" s="5" t="s">
        <v>46</v>
      </c>
      <c r="B147" s="6">
        <v>40229</v>
      </c>
      <c r="C147" s="5">
        <v>8</v>
      </c>
      <c r="D147" s="5">
        <v>2</v>
      </c>
      <c r="E147" s="5">
        <v>2010</v>
      </c>
      <c r="F147" s="5" t="s">
        <v>28</v>
      </c>
      <c r="G147" s="5" t="s">
        <v>10</v>
      </c>
      <c r="H147" s="7">
        <v>138001</v>
      </c>
      <c r="I147" s="7">
        <v>157743</v>
      </c>
      <c r="J147" s="7">
        <v>19742</v>
      </c>
      <c r="K147" s="8">
        <v>0.1430569343700408</v>
      </c>
    </row>
    <row r="148" spans="1:11" x14ac:dyDescent="0.3">
      <c r="A148" s="5" t="s">
        <v>46</v>
      </c>
      <c r="B148" s="6">
        <v>40229</v>
      </c>
      <c r="C148" s="5">
        <v>8</v>
      </c>
      <c r="D148" s="5">
        <v>2</v>
      </c>
      <c r="E148" s="5">
        <v>2010</v>
      </c>
      <c r="F148" s="5" t="s">
        <v>29</v>
      </c>
      <c r="G148" s="5" t="s">
        <v>10</v>
      </c>
      <c r="H148" s="7">
        <v>667511</v>
      </c>
      <c r="I148" s="7">
        <v>731389</v>
      </c>
      <c r="J148" s="7">
        <v>63878</v>
      </c>
      <c r="K148" s="8">
        <v>9.5695801267694461E-2</v>
      </c>
    </row>
    <row r="149" spans="1:11" x14ac:dyDescent="0.3">
      <c r="A149" s="5" t="s">
        <v>46</v>
      </c>
      <c r="B149" s="6">
        <v>40229</v>
      </c>
      <c r="C149" s="5">
        <v>8</v>
      </c>
      <c r="D149" s="5">
        <v>2</v>
      </c>
      <c r="E149" s="5">
        <v>2010</v>
      </c>
      <c r="F149" s="5" t="s">
        <v>30</v>
      </c>
      <c r="G149" s="5" t="s">
        <v>10</v>
      </c>
      <c r="H149" s="7">
        <v>149315</v>
      </c>
      <c r="I149" s="7">
        <v>169695</v>
      </c>
      <c r="J149" s="7">
        <v>20380</v>
      </c>
      <c r="K149" s="8">
        <v>0.1364899708669591</v>
      </c>
    </row>
    <row r="150" spans="1:11" x14ac:dyDescent="0.3">
      <c r="A150" s="5" t="s">
        <v>46</v>
      </c>
      <c r="B150" s="6">
        <v>40229</v>
      </c>
      <c r="C150" s="5">
        <v>8</v>
      </c>
      <c r="D150" s="5">
        <v>2</v>
      </c>
      <c r="E150" s="5">
        <v>2010</v>
      </c>
      <c r="F150" s="5" t="s">
        <v>9</v>
      </c>
      <c r="G150" s="5" t="s">
        <v>9</v>
      </c>
      <c r="H150" s="7">
        <v>903442</v>
      </c>
      <c r="I150" s="7">
        <v>1085705</v>
      </c>
      <c r="J150" s="7">
        <v>182263</v>
      </c>
      <c r="K150" s="8">
        <v>0.2017428899696937</v>
      </c>
    </row>
    <row r="151" spans="1:11" x14ac:dyDescent="0.3">
      <c r="A151" s="5" t="s">
        <v>46</v>
      </c>
      <c r="B151" s="6">
        <v>40229</v>
      </c>
      <c r="C151" s="5">
        <v>8</v>
      </c>
      <c r="D151" s="5">
        <v>2</v>
      </c>
      <c r="E151" s="5">
        <v>2010</v>
      </c>
      <c r="F151" s="5" t="s">
        <v>31</v>
      </c>
      <c r="G151" s="5" t="s">
        <v>7</v>
      </c>
      <c r="H151" s="7">
        <v>100333</v>
      </c>
      <c r="I151" s="7">
        <v>119758</v>
      </c>
      <c r="J151" s="7">
        <v>19425</v>
      </c>
      <c r="K151" s="8">
        <v>0.19360529436974874</v>
      </c>
    </row>
    <row r="152" spans="1:11" x14ac:dyDescent="0.3">
      <c r="A152" s="5" t="s">
        <v>46</v>
      </c>
      <c r="B152" s="6">
        <v>40229</v>
      </c>
      <c r="C152" s="5">
        <v>8</v>
      </c>
      <c r="D152" s="5">
        <v>2</v>
      </c>
      <c r="E152" s="5">
        <v>2010</v>
      </c>
      <c r="F152" s="5" t="s">
        <v>33</v>
      </c>
      <c r="G152" s="5" t="s">
        <v>7</v>
      </c>
      <c r="H152" s="7">
        <v>67181</v>
      </c>
      <c r="I152" s="7">
        <v>131025</v>
      </c>
      <c r="J152" s="7">
        <v>63844</v>
      </c>
      <c r="K152" s="8">
        <v>0.95032821779967547</v>
      </c>
    </row>
    <row r="153" spans="1:11" x14ac:dyDescent="0.3">
      <c r="A153" s="5" t="s">
        <v>46</v>
      </c>
      <c r="B153" s="6">
        <v>40229</v>
      </c>
      <c r="C153" s="5">
        <v>8</v>
      </c>
      <c r="D153" s="5">
        <v>2</v>
      </c>
      <c r="E153" s="5">
        <v>2010</v>
      </c>
      <c r="F153" s="5" t="s">
        <v>35</v>
      </c>
      <c r="G153" s="5" t="s">
        <v>11</v>
      </c>
      <c r="H153" s="7">
        <v>10914</v>
      </c>
      <c r="I153" s="7">
        <v>13170</v>
      </c>
      <c r="J153" s="7">
        <v>2256</v>
      </c>
      <c r="K153" s="8">
        <v>0.20670698185816383</v>
      </c>
    </row>
    <row r="154" spans="1:11" x14ac:dyDescent="0.3">
      <c r="A154" s="5" t="s">
        <v>46</v>
      </c>
      <c r="B154" s="6">
        <v>40229</v>
      </c>
      <c r="C154" s="5">
        <v>8</v>
      </c>
      <c r="D154" s="5">
        <v>2</v>
      </c>
      <c r="E154" s="5">
        <v>2010</v>
      </c>
      <c r="F154" s="5" t="s">
        <v>36</v>
      </c>
      <c r="G154" s="5" t="s">
        <v>11</v>
      </c>
      <c r="H154" s="7">
        <v>201456</v>
      </c>
      <c r="I154" s="7">
        <v>221817</v>
      </c>
      <c r="J154" s="7">
        <v>20361</v>
      </c>
      <c r="K154" s="8">
        <v>0.10106921610674291</v>
      </c>
    </row>
    <row r="155" spans="1:11" x14ac:dyDescent="0.3">
      <c r="A155" s="5" t="s">
        <v>46</v>
      </c>
      <c r="B155" s="6">
        <v>40229</v>
      </c>
      <c r="C155" s="5">
        <v>8</v>
      </c>
      <c r="D155" s="5">
        <v>2</v>
      </c>
      <c r="E155" s="5">
        <v>2010</v>
      </c>
      <c r="F155" s="5" t="s">
        <v>37</v>
      </c>
      <c r="G155" s="5" t="s">
        <v>11</v>
      </c>
      <c r="H155" s="7">
        <v>411667</v>
      </c>
      <c r="I155" s="7">
        <v>442671</v>
      </c>
      <c r="J155" s="7">
        <v>31004</v>
      </c>
      <c r="K155" s="8">
        <v>7.5313299341458029E-2</v>
      </c>
    </row>
    <row r="156" spans="1:11" x14ac:dyDescent="0.3">
      <c r="A156" s="5" t="s">
        <v>46</v>
      </c>
      <c r="B156" s="6">
        <v>40229</v>
      </c>
      <c r="C156" s="5">
        <v>8</v>
      </c>
      <c r="D156" s="5">
        <v>2</v>
      </c>
      <c r="E156" s="5">
        <v>2010</v>
      </c>
      <c r="F156" s="5" t="s">
        <v>38</v>
      </c>
      <c r="G156" s="5" t="s">
        <v>11</v>
      </c>
      <c r="H156" s="7">
        <v>424372</v>
      </c>
      <c r="I156" s="7">
        <v>453490</v>
      </c>
      <c r="J156" s="7">
        <v>29118</v>
      </c>
      <c r="K156" s="8">
        <v>6.86143289378187E-2</v>
      </c>
    </row>
    <row r="157" spans="1:11" x14ac:dyDescent="0.3">
      <c r="A157" s="5" t="s">
        <v>46</v>
      </c>
      <c r="B157" s="6">
        <v>40230</v>
      </c>
      <c r="C157" s="5">
        <v>9</v>
      </c>
      <c r="D157" s="5">
        <v>2</v>
      </c>
      <c r="E157" s="5">
        <v>2010</v>
      </c>
      <c r="F157" s="5" t="s">
        <v>14</v>
      </c>
      <c r="G157" s="5" t="s">
        <v>6</v>
      </c>
      <c r="H157" s="7">
        <v>14486</v>
      </c>
      <c r="I157" s="7">
        <v>16413.11</v>
      </c>
      <c r="J157" s="7">
        <v>1927.1100000000006</v>
      </c>
      <c r="K157" s="8">
        <v>0.13303258318376368</v>
      </c>
    </row>
    <row r="158" spans="1:11" x14ac:dyDescent="0.3">
      <c r="A158" s="5" t="s">
        <v>46</v>
      </c>
      <c r="B158" s="6">
        <v>40230</v>
      </c>
      <c r="C158" s="5">
        <v>9</v>
      </c>
      <c r="D158" s="5">
        <v>2</v>
      </c>
      <c r="E158" s="5">
        <v>2010</v>
      </c>
      <c r="F158" s="5" t="s">
        <v>15</v>
      </c>
      <c r="G158" s="5" t="s">
        <v>6</v>
      </c>
      <c r="H158" s="7">
        <v>233361.73</v>
      </c>
      <c r="I158" s="7">
        <v>280221.03999999998</v>
      </c>
      <c r="J158" s="7">
        <v>46859.309999999969</v>
      </c>
      <c r="K158" s="8">
        <v>0.2008011767824997</v>
      </c>
    </row>
    <row r="159" spans="1:11" x14ac:dyDescent="0.3">
      <c r="A159" s="5" t="s">
        <v>46</v>
      </c>
      <c r="B159" s="6">
        <v>40230</v>
      </c>
      <c r="C159" s="5">
        <v>9</v>
      </c>
      <c r="D159" s="5">
        <v>2</v>
      </c>
      <c r="E159" s="5">
        <v>2010</v>
      </c>
      <c r="F159" s="5" t="s">
        <v>16</v>
      </c>
      <c r="G159" s="5" t="s">
        <v>6</v>
      </c>
      <c r="H159" s="7">
        <v>87098.15</v>
      </c>
      <c r="I159" s="7">
        <v>98112.06</v>
      </c>
      <c r="J159" s="7">
        <v>11013.910000000003</v>
      </c>
      <c r="K159" s="8">
        <v>0.12645400619875399</v>
      </c>
    </row>
    <row r="160" spans="1:11" x14ac:dyDescent="0.3">
      <c r="A160" s="5" t="s">
        <v>46</v>
      </c>
      <c r="B160" s="6">
        <v>40230</v>
      </c>
      <c r="C160" s="5">
        <v>9</v>
      </c>
      <c r="D160" s="5">
        <v>2</v>
      </c>
      <c r="E160" s="5">
        <v>2010</v>
      </c>
      <c r="F160" s="5" t="s">
        <v>17</v>
      </c>
      <c r="G160" s="5" t="s">
        <v>6</v>
      </c>
      <c r="H160" s="7">
        <v>7143</v>
      </c>
      <c r="I160" s="7">
        <v>8163.68</v>
      </c>
      <c r="J160" s="7">
        <v>1020.6800000000003</v>
      </c>
      <c r="K160" s="8">
        <v>0.14289234215315696</v>
      </c>
    </row>
    <row r="161" spans="1:11" x14ac:dyDescent="0.3">
      <c r="A161" s="5" t="s">
        <v>46</v>
      </c>
      <c r="B161" s="6">
        <v>40230</v>
      </c>
      <c r="C161" s="5">
        <v>9</v>
      </c>
      <c r="D161" s="5">
        <v>2</v>
      </c>
      <c r="E161" s="5">
        <v>2010</v>
      </c>
      <c r="F161" s="5" t="s">
        <v>18</v>
      </c>
      <c r="G161" s="5" t="s">
        <v>6</v>
      </c>
      <c r="H161" s="7">
        <v>44647.86</v>
      </c>
      <c r="I161" s="7">
        <v>49643.82</v>
      </c>
      <c r="J161" s="7">
        <v>4995.9599999999991</v>
      </c>
      <c r="K161" s="8">
        <v>0.11189696437858386</v>
      </c>
    </row>
    <row r="162" spans="1:11" x14ac:dyDescent="0.3">
      <c r="A162" s="5" t="s">
        <v>46</v>
      </c>
      <c r="B162" s="6">
        <v>40230</v>
      </c>
      <c r="C162" s="5">
        <v>9</v>
      </c>
      <c r="D162" s="5">
        <v>2</v>
      </c>
      <c r="E162" s="5">
        <v>2010</v>
      </c>
      <c r="F162" s="5" t="s">
        <v>19</v>
      </c>
      <c r="G162" s="5" t="s">
        <v>5</v>
      </c>
      <c r="H162" s="7">
        <v>186287.42</v>
      </c>
      <c r="I162" s="7">
        <v>207317.6</v>
      </c>
      <c r="J162" s="7">
        <v>21030.179999999993</v>
      </c>
      <c r="K162" s="8">
        <v>0.11289103687194761</v>
      </c>
    </row>
    <row r="163" spans="1:11" x14ac:dyDescent="0.3">
      <c r="A163" s="5" t="s">
        <v>46</v>
      </c>
      <c r="B163" s="6">
        <v>40230</v>
      </c>
      <c r="C163" s="5">
        <v>9</v>
      </c>
      <c r="D163" s="5">
        <v>2</v>
      </c>
      <c r="E163" s="5">
        <v>2010</v>
      </c>
      <c r="F163" s="5" t="s">
        <v>5</v>
      </c>
      <c r="G163" s="5" t="s">
        <v>5</v>
      </c>
      <c r="H163" s="7">
        <v>481028.62</v>
      </c>
      <c r="I163" s="7">
        <v>512150.28</v>
      </c>
      <c r="J163" s="7">
        <v>31121.660000000033</v>
      </c>
      <c r="K163" s="8">
        <v>6.4698146235041137E-2</v>
      </c>
    </row>
    <row r="164" spans="1:11" x14ac:dyDescent="0.3">
      <c r="A164" s="5" t="s">
        <v>46</v>
      </c>
      <c r="B164" s="6">
        <v>40230</v>
      </c>
      <c r="C164" s="5">
        <v>9</v>
      </c>
      <c r="D164" s="5">
        <v>2</v>
      </c>
      <c r="E164" s="5">
        <v>2010</v>
      </c>
      <c r="F164" s="5" t="s">
        <v>20</v>
      </c>
      <c r="G164" s="5" t="s">
        <v>5</v>
      </c>
      <c r="H164" s="7">
        <v>153160.44</v>
      </c>
      <c r="I164" s="7">
        <v>169318.85</v>
      </c>
      <c r="J164" s="7">
        <v>16158.410000000003</v>
      </c>
      <c r="K164" s="8">
        <v>0.10549989279215967</v>
      </c>
    </row>
    <row r="165" spans="1:11" x14ac:dyDescent="0.3">
      <c r="A165" s="5" t="s">
        <v>46</v>
      </c>
      <c r="B165" s="6">
        <v>40230</v>
      </c>
      <c r="C165" s="5">
        <v>9</v>
      </c>
      <c r="D165" s="5">
        <v>2</v>
      </c>
      <c r="E165" s="5">
        <v>2010</v>
      </c>
      <c r="F165" s="5" t="s">
        <v>21</v>
      </c>
      <c r="G165" s="5" t="s">
        <v>5</v>
      </c>
      <c r="H165" s="7">
        <v>218128.21</v>
      </c>
      <c r="I165" s="7">
        <v>231443.11</v>
      </c>
      <c r="J165" s="7">
        <v>13314.899999999994</v>
      </c>
      <c r="K165" s="8">
        <v>6.1041623181155684E-2</v>
      </c>
    </row>
    <row r="166" spans="1:11" x14ac:dyDescent="0.3">
      <c r="A166" s="5" t="s">
        <v>46</v>
      </c>
      <c r="B166" s="6">
        <v>40230</v>
      </c>
      <c r="C166" s="5">
        <v>9</v>
      </c>
      <c r="D166" s="5">
        <v>2</v>
      </c>
      <c r="E166" s="5">
        <v>2010</v>
      </c>
      <c r="F166" s="5" t="s">
        <v>22</v>
      </c>
      <c r="G166" s="5" t="s">
        <v>8</v>
      </c>
      <c r="H166" s="7">
        <v>400775.24</v>
      </c>
      <c r="I166" s="7">
        <v>435890.03</v>
      </c>
      <c r="J166" s="7">
        <v>35114.790000000037</v>
      </c>
      <c r="K166" s="8">
        <v>8.7617164174114248E-2</v>
      </c>
    </row>
    <row r="167" spans="1:11" x14ac:dyDescent="0.3">
      <c r="A167" s="5" t="s">
        <v>46</v>
      </c>
      <c r="B167" s="6">
        <v>40230</v>
      </c>
      <c r="C167" s="5">
        <v>9</v>
      </c>
      <c r="D167" s="5">
        <v>2</v>
      </c>
      <c r="E167" s="5">
        <v>2010</v>
      </c>
      <c r="F167" s="5" t="s">
        <v>23</v>
      </c>
      <c r="G167" s="5" t="s">
        <v>8</v>
      </c>
      <c r="H167" s="7">
        <v>211536.69</v>
      </c>
      <c r="I167" s="7">
        <v>221318.39</v>
      </c>
      <c r="J167" s="7">
        <v>9781.7000000000116</v>
      </c>
      <c r="K167" s="8">
        <v>4.6241150884983651E-2</v>
      </c>
    </row>
    <row r="168" spans="1:11" x14ac:dyDescent="0.3">
      <c r="A168" s="5" t="s">
        <v>46</v>
      </c>
      <c r="B168" s="6">
        <v>40230</v>
      </c>
      <c r="C168" s="5">
        <v>9</v>
      </c>
      <c r="D168" s="5">
        <v>2</v>
      </c>
      <c r="E168" s="5">
        <v>2010</v>
      </c>
      <c r="F168" s="5" t="s">
        <v>24</v>
      </c>
      <c r="G168" s="5" t="s">
        <v>8</v>
      </c>
      <c r="H168" s="7">
        <v>169916.43</v>
      </c>
      <c r="I168" s="7">
        <v>183619.78</v>
      </c>
      <c r="J168" s="7">
        <v>13703.350000000006</v>
      </c>
      <c r="K168" s="8">
        <v>8.0647586581238828E-2</v>
      </c>
    </row>
    <row r="169" spans="1:11" x14ac:dyDescent="0.3">
      <c r="A169" s="5" t="s">
        <v>46</v>
      </c>
      <c r="B169" s="6">
        <v>40230</v>
      </c>
      <c r="C169" s="5">
        <v>9</v>
      </c>
      <c r="D169" s="5">
        <v>2</v>
      </c>
      <c r="E169" s="5">
        <v>2010</v>
      </c>
      <c r="F169" s="5" t="s">
        <v>25</v>
      </c>
      <c r="G169" s="5" t="s">
        <v>8</v>
      </c>
      <c r="H169" s="7">
        <v>11300</v>
      </c>
      <c r="I169" s="7">
        <v>12203.31</v>
      </c>
      <c r="J169" s="7">
        <v>903.30999999999949</v>
      </c>
      <c r="K169" s="8">
        <v>7.9938938053097305E-2</v>
      </c>
    </row>
    <row r="170" spans="1:11" x14ac:dyDescent="0.3">
      <c r="A170" s="5" t="s">
        <v>46</v>
      </c>
      <c r="B170" s="6">
        <v>40230</v>
      </c>
      <c r="C170" s="5">
        <v>9</v>
      </c>
      <c r="D170" s="5">
        <v>2</v>
      </c>
      <c r="E170" s="5">
        <v>2010</v>
      </c>
      <c r="F170" s="5" t="s">
        <v>26</v>
      </c>
      <c r="G170" s="5" t="s">
        <v>10</v>
      </c>
      <c r="H170" s="7">
        <v>11925</v>
      </c>
      <c r="I170" s="7">
        <v>13548.43</v>
      </c>
      <c r="J170" s="7">
        <v>1623.4300000000003</v>
      </c>
      <c r="K170" s="8">
        <v>0.13613668763102726</v>
      </c>
    </row>
    <row r="171" spans="1:11" x14ac:dyDescent="0.3">
      <c r="A171" s="5" t="s">
        <v>46</v>
      </c>
      <c r="B171" s="6">
        <v>40230</v>
      </c>
      <c r="C171" s="5">
        <v>9</v>
      </c>
      <c r="D171" s="5">
        <v>2</v>
      </c>
      <c r="E171" s="5">
        <v>2010</v>
      </c>
      <c r="F171" s="5" t="s">
        <v>27</v>
      </c>
      <c r="G171" s="5" t="s">
        <v>10</v>
      </c>
      <c r="H171" s="7">
        <v>118450.32</v>
      </c>
      <c r="I171" s="7">
        <v>135187.95000000001</v>
      </c>
      <c r="J171" s="7">
        <v>16737.630000000005</v>
      </c>
      <c r="K171" s="8">
        <v>0.141305063591217</v>
      </c>
    </row>
    <row r="172" spans="1:11" x14ac:dyDescent="0.3">
      <c r="A172" s="5" t="s">
        <v>46</v>
      </c>
      <c r="B172" s="6">
        <v>40230</v>
      </c>
      <c r="C172" s="5">
        <v>9</v>
      </c>
      <c r="D172" s="5">
        <v>2</v>
      </c>
      <c r="E172" s="5">
        <v>2010</v>
      </c>
      <c r="F172" s="5" t="s">
        <v>28</v>
      </c>
      <c r="G172" s="5" t="s">
        <v>10</v>
      </c>
      <c r="H172" s="7">
        <v>110769.31</v>
      </c>
      <c r="I172" s="7">
        <v>126722.07</v>
      </c>
      <c r="J172" s="7">
        <v>15952.760000000009</v>
      </c>
      <c r="K172" s="8">
        <v>0.14401786920944087</v>
      </c>
    </row>
    <row r="173" spans="1:11" x14ac:dyDescent="0.3">
      <c r="A173" s="5" t="s">
        <v>46</v>
      </c>
      <c r="B173" s="6">
        <v>40230</v>
      </c>
      <c r="C173" s="5">
        <v>9</v>
      </c>
      <c r="D173" s="5">
        <v>2</v>
      </c>
      <c r="E173" s="5">
        <v>2010</v>
      </c>
      <c r="F173" s="5" t="s">
        <v>29</v>
      </c>
      <c r="G173" s="5" t="s">
        <v>10</v>
      </c>
      <c r="H173" s="7">
        <v>605960.31999999995</v>
      </c>
      <c r="I173" s="7">
        <v>658084.61</v>
      </c>
      <c r="J173" s="7">
        <v>52124.290000000037</v>
      </c>
      <c r="K173" s="8">
        <v>8.6019312287642924E-2</v>
      </c>
    </row>
    <row r="174" spans="1:11" x14ac:dyDescent="0.3">
      <c r="A174" s="5" t="s">
        <v>46</v>
      </c>
      <c r="B174" s="6">
        <v>40230</v>
      </c>
      <c r="C174" s="5">
        <v>9</v>
      </c>
      <c r="D174" s="5">
        <v>2</v>
      </c>
      <c r="E174" s="5">
        <v>2010</v>
      </c>
      <c r="F174" s="5" t="s">
        <v>30</v>
      </c>
      <c r="G174" s="5" t="s">
        <v>10</v>
      </c>
      <c r="H174" s="7">
        <v>120242.28</v>
      </c>
      <c r="I174" s="7">
        <v>136127.85</v>
      </c>
      <c r="J174" s="7">
        <v>15885.570000000007</v>
      </c>
      <c r="K174" s="8">
        <v>0.13211301382508722</v>
      </c>
    </row>
    <row r="175" spans="1:11" x14ac:dyDescent="0.3">
      <c r="A175" s="5" t="s">
        <v>46</v>
      </c>
      <c r="B175" s="6">
        <v>40230</v>
      </c>
      <c r="C175" s="5">
        <v>9</v>
      </c>
      <c r="D175" s="5">
        <v>2</v>
      </c>
      <c r="E175" s="5">
        <v>2010</v>
      </c>
      <c r="F175" s="5" t="s">
        <v>9</v>
      </c>
      <c r="G175" s="5" t="s">
        <v>9</v>
      </c>
      <c r="H175" s="7">
        <v>657135.51</v>
      </c>
      <c r="I175" s="7">
        <v>812114.86</v>
      </c>
      <c r="J175" s="7">
        <v>154979.34999999998</v>
      </c>
      <c r="K175" s="8">
        <v>0.2358407781067865</v>
      </c>
    </row>
    <row r="176" spans="1:11" x14ac:dyDescent="0.3">
      <c r="A176" s="5" t="s">
        <v>46</v>
      </c>
      <c r="B176" s="6">
        <v>40230</v>
      </c>
      <c r="C176" s="5">
        <v>9</v>
      </c>
      <c r="D176" s="5">
        <v>2</v>
      </c>
      <c r="E176" s="5">
        <v>2010</v>
      </c>
      <c r="F176" s="5" t="s">
        <v>31</v>
      </c>
      <c r="G176" s="5" t="s">
        <v>7</v>
      </c>
      <c r="H176" s="7">
        <v>82554.77</v>
      </c>
      <c r="I176" s="7">
        <v>103725.71</v>
      </c>
      <c r="J176" s="7">
        <v>21170.940000000002</v>
      </c>
      <c r="K176" s="8">
        <v>0.2564472046860527</v>
      </c>
    </row>
    <row r="177" spans="1:11" x14ac:dyDescent="0.3">
      <c r="A177" s="5" t="s">
        <v>46</v>
      </c>
      <c r="B177" s="6">
        <v>40230</v>
      </c>
      <c r="C177" s="5">
        <v>9</v>
      </c>
      <c r="D177" s="5">
        <v>2</v>
      </c>
      <c r="E177" s="5">
        <v>2010</v>
      </c>
      <c r="F177" s="5" t="s">
        <v>33</v>
      </c>
      <c r="G177" s="5" t="s">
        <v>7</v>
      </c>
      <c r="H177" s="7">
        <v>64024.88</v>
      </c>
      <c r="I177" s="7">
        <v>118754.37</v>
      </c>
      <c r="J177" s="7">
        <v>54729.49</v>
      </c>
      <c r="K177" s="8">
        <v>0.85481597154106337</v>
      </c>
    </row>
    <row r="178" spans="1:11" x14ac:dyDescent="0.3">
      <c r="A178" s="5" t="s">
        <v>46</v>
      </c>
      <c r="B178" s="6">
        <v>40230</v>
      </c>
      <c r="C178" s="5">
        <v>9</v>
      </c>
      <c r="D178" s="5">
        <v>2</v>
      </c>
      <c r="E178" s="5">
        <v>2010</v>
      </c>
      <c r="F178" s="5" t="s">
        <v>34</v>
      </c>
      <c r="G178" s="5" t="s">
        <v>7</v>
      </c>
      <c r="H178" s="7">
        <v>3585.54</v>
      </c>
      <c r="I178" s="7">
        <v>4015.67</v>
      </c>
      <c r="J178" s="7">
        <v>430.13000000000011</v>
      </c>
      <c r="K178" s="8">
        <v>0.11996240454715332</v>
      </c>
    </row>
    <row r="179" spans="1:11" x14ac:dyDescent="0.3">
      <c r="A179" s="5" t="s">
        <v>46</v>
      </c>
      <c r="B179" s="6">
        <v>40230</v>
      </c>
      <c r="C179" s="5">
        <v>9</v>
      </c>
      <c r="D179" s="5">
        <v>2</v>
      </c>
      <c r="E179" s="5">
        <v>2010</v>
      </c>
      <c r="F179" s="5" t="s">
        <v>35</v>
      </c>
      <c r="G179" s="5" t="s">
        <v>11</v>
      </c>
      <c r="H179" s="7">
        <v>5030.72</v>
      </c>
      <c r="I179" s="7">
        <v>6145.42</v>
      </c>
      <c r="J179" s="7">
        <v>1114.6999999999998</v>
      </c>
      <c r="K179" s="8">
        <v>0.22157862095286554</v>
      </c>
    </row>
    <row r="180" spans="1:11" x14ac:dyDescent="0.3">
      <c r="A180" s="5" t="s">
        <v>46</v>
      </c>
      <c r="B180" s="6">
        <v>40230</v>
      </c>
      <c r="C180" s="5">
        <v>9</v>
      </c>
      <c r="D180" s="5">
        <v>2</v>
      </c>
      <c r="E180" s="5">
        <v>2010</v>
      </c>
      <c r="F180" s="5" t="s">
        <v>36</v>
      </c>
      <c r="G180" s="5" t="s">
        <v>11</v>
      </c>
      <c r="H180" s="7">
        <v>183039.2</v>
      </c>
      <c r="I180" s="7">
        <v>201757.74</v>
      </c>
      <c r="J180" s="7">
        <v>18718.539999999979</v>
      </c>
      <c r="K180" s="8">
        <v>0.10226519783740301</v>
      </c>
    </row>
    <row r="181" spans="1:11" x14ac:dyDescent="0.3">
      <c r="A181" s="5" t="s">
        <v>46</v>
      </c>
      <c r="B181" s="6">
        <v>40230</v>
      </c>
      <c r="C181" s="5">
        <v>9</v>
      </c>
      <c r="D181" s="5">
        <v>2</v>
      </c>
      <c r="E181" s="5">
        <v>2010</v>
      </c>
      <c r="F181" s="5" t="s">
        <v>37</v>
      </c>
      <c r="G181" s="5" t="s">
        <v>11</v>
      </c>
      <c r="H181" s="7">
        <v>338276.54</v>
      </c>
      <c r="I181" s="7">
        <v>361020.94</v>
      </c>
      <c r="J181" s="7">
        <v>22744.400000000023</v>
      </c>
      <c r="K181" s="8">
        <v>6.7236113979408749E-2</v>
      </c>
    </row>
    <row r="182" spans="1:11" x14ac:dyDescent="0.3">
      <c r="A182" s="5" t="s">
        <v>46</v>
      </c>
      <c r="B182" s="6">
        <v>40230</v>
      </c>
      <c r="C182" s="5">
        <v>9</v>
      </c>
      <c r="D182" s="5">
        <v>2</v>
      </c>
      <c r="E182" s="5">
        <v>2010</v>
      </c>
      <c r="F182" s="5" t="s">
        <v>38</v>
      </c>
      <c r="G182" s="5" t="s">
        <v>11</v>
      </c>
      <c r="H182" s="7">
        <v>344737.87</v>
      </c>
      <c r="I182" s="7">
        <v>372156.21</v>
      </c>
      <c r="J182" s="7">
        <v>27418.340000000026</v>
      </c>
      <c r="K182" s="8">
        <v>7.9533878886007006E-2</v>
      </c>
    </row>
    <row r="183" spans="1:11" x14ac:dyDescent="0.3">
      <c r="A183" s="5" t="s">
        <v>46</v>
      </c>
      <c r="B183" s="6">
        <v>40231</v>
      </c>
      <c r="C183" s="5">
        <v>9</v>
      </c>
      <c r="D183" s="5">
        <v>2</v>
      </c>
      <c r="E183" s="5">
        <v>2010</v>
      </c>
      <c r="F183" s="5" t="s">
        <v>14</v>
      </c>
      <c r="G183" s="5" t="s">
        <v>6</v>
      </c>
      <c r="H183" s="7">
        <v>16494</v>
      </c>
      <c r="I183" s="7">
        <v>18625</v>
      </c>
      <c r="J183" s="7">
        <v>2131</v>
      </c>
      <c r="K183" s="8">
        <v>0.12919849642294168</v>
      </c>
    </row>
    <row r="184" spans="1:11" x14ac:dyDescent="0.3">
      <c r="A184" s="5" t="s">
        <v>46</v>
      </c>
      <c r="B184" s="6">
        <v>40231</v>
      </c>
      <c r="C184" s="5">
        <v>9</v>
      </c>
      <c r="D184" s="5">
        <v>2</v>
      </c>
      <c r="E184" s="5">
        <v>2010</v>
      </c>
      <c r="F184" s="5" t="s">
        <v>15</v>
      </c>
      <c r="G184" s="5" t="s">
        <v>6</v>
      </c>
      <c r="H184" s="7">
        <v>232017</v>
      </c>
      <c r="I184" s="7">
        <v>274878</v>
      </c>
      <c r="J184" s="7">
        <v>42861</v>
      </c>
      <c r="K184" s="8">
        <v>0.18473215324739137</v>
      </c>
    </row>
    <row r="185" spans="1:11" x14ac:dyDescent="0.3">
      <c r="A185" s="5" t="s">
        <v>46</v>
      </c>
      <c r="B185" s="6">
        <v>40231</v>
      </c>
      <c r="C185" s="5">
        <v>9</v>
      </c>
      <c r="D185" s="5">
        <v>2</v>
      </c>
      <c r="E185" s="5">
        <v>2010</v>
      </c>
      <c r="F185" s="5" t="s">
        <v>16</v>
      </c>
      <c r="G185" s="5" t="s">
        <v>6</v>
      </c>
      <c r="H185" s="7">
        <v>86248</v>
      </c>
      <c r="I185" s="7">
        <v>97176</v>
      </c>
      <c r="J185" s="7">
        <v>10928</v>
      </c>
      <c r="K185" s="8">
        <v>0.12670438734811243</v>
      </c>
    </row>
    <row r="186" spans="1:11" x14ac:dyDescent="0.3">
      <c r="A186" s="5" t="s">
        <v>46</v>
      </c>
      <c r="B186" s="6">
        <v>40231</v>
      </c>
      <c r="C186" s="5">
        <v>9</v>
      </c>
      <c r="D186" s="5">
        <v>2</v>
      </c>
      <c r="E186" s="5">
        <v>2010</v>
      </c>
      <c r="F186" s="5" t="s">
        <v>17</v>
      </c>
      <c r="G186" s="5" t="s">
        <v>6</v>
      </c>
      <c r="H186" s="7">
        <v>5580</v>
      </c>
      <c r="I186" s="7">
        <v>6165</v>
      </c>
      <c r="J186" s="7">
        <v>585</v>
      </c>
      <c r="K186" s="8">
        <v>0.10483870967741936</v>
      </c>
    </row>
    <row r="187" spans="1:11" x14ac:dyDescent="0.3">
      <c r="A187" s="5" t="s">
        <v>46</v>
      </c>
      <c r="B187" s="6">
        <v>40231</v>
      </c>
      <c r="C187" s="5">
        <v>9</v>
      </c>
      <c r="D187" s="5">
        <v>2</v>
      </c>
      <c r="E187" s="5">
        <v>2010</v>
      </c>
      <c r="F187" s="5" t="s">
        <v>18</v>
      </c>
      <c r="G187" s="5" t="s">
        <v>6</v>
      </c>
      <c r="H187" s="7">
        <v>20627</v>
      </c>
      <c r="I187" s="7">
        <v>23539</v>
      </c>
      <c r="J187" s="7">
        <v>2912</v>
      </c>
      <c r="K187" s="8">
        <v>0.14117418916953509</v>
      </c>
    </row>
    <row r="188" spans="1:11" x14ac:dyDescent="0.3">
      <c r="A188" s="5" t="s">
        <v>46</v>
      </c>
      <c r="B188" s="6">
        <v>40231</v>
      </c>
      <c r="C188" s="5">
        <v>9</v>
      </c>
      <c r="D188" s="5">
        <v>2</v>
      </c>
      <c r="E188" s="5">
        <v>2010</v>
      </c>
      <c r="F188" s="5" t="s">
        <v>19</v>
      </c>
      <c r="G188" s="5" t="s">
        <v>5</v>
      </c>
      <c r="H188" s="7">
        <v>138907</v>
      </c>
      <c r="I188" s="7">
        <v>155590</v>
      </c>
      <c r="J188" s="7">
        <v>16683</v>
      </c>
      <c r="K188" s="8">
        <v>0.12010193870719259</v>
      </c>
    </row>
    <row r="189" spans="1:11" x14ac:dyDescent="0.3">
      <c r="A189" s="5" t="s">
        <v>46</v>
      </c>
      <c r="B189" s="6">
        <v>40231</v>
      </c>
      <c r="C189" s="5">
        <v>9</v>
      </c>
      <c r="D189" s="5">
        <v>2</v>
      </c>
      <c r="E189" s="5">
        <v>2010</v>
      </c>
      <c r="F189" s="5" t="s">
        <v>5</v>
      </c>
      <c r="G189" s="5" t="s">
        <v>5</v>
      </c>
      <c r="H189" s="7">
        <v>417460</v>
      </c>
      <c r="I189" s="7">
        <v>433063</v>
      </c>
      <c r="J189" s="7">
        <v>15603</v>
      </c>
      <c r="K189" s="8">
        <v>3.7376036027403824E-2</v>
      </c>
    </row>
    <row r="190" spans="1:11" x14ac:dyDescent="0.3">
      <c r="A190" s="5" t="s">
        <v>46</v>
      </c>
      <c r="B190" s="6">
        <v>40231</v>
      </c>
      <c r="C190" s="5">
        <v>9</v>
      </c>
      <c r="D190" s="5">
        <v>2</v>
      </c>
      <c r="E190" s="5">
        <v>2010</v>
      </c>
      <c r="F190" s="5" t="s">
        <v>20</v>
      </c>
      <c r="G190" s="5" t="s">
        <v>5</v>
      </c>
      <c r="H190" s="7">
        <v>122785</v>
      </c>
      <c r="I190" s="7">
        <v>135188</v>
      </c>
      <c r="J190" s="7">
        <v>12403</v>
      </c>
      <c r="K190" s="8">
        <v>0.10101396750417396</v>
      </c>
    </row>
    <row r="191" spans="1:11" x14ac:dyDescent="0.3">
      <c r="A191" s="5" t="s">
        <v>46</v>
      </c>
      <c r="B191" s="6">
        <v>40231</v>
      </c>
      <c r="C191" s="5">
        <v>9</v>
      </c>
      <c r="D191" s="5">
        <v>2</v>
      </c>
      <c r="E191" s="5">
        <v>2010</v>
      </c>
      <c r="F191" s="5" t="s">
        <v>21</v>
      </c>
      <c r="G191" s="5" t="s">
        <v>5</v>
      </c>
      <c r="H191" s="7">
        <v>154480</v>
      </c>
      <c r="I191" s="7">
        <v>161376</v>
      </c>
      <c r="J191" s="7">
        <v>6896</v>
      </c>
      <c r="K191" s="8">
        <v>4.4640082858622476E-2</v>
      </c>
    </row>
    <row r="192" spans="1:11" x14ac:dyDescent="0.3">
      <c r="A192" s="5" t="s">
        <v>46</v>
      </c>
      <c r="B192" s="6">
        <v>40231</v>
      </c>
      <c r="C192" s="5">
        <v>9</v>
      </c>
      <c r="D192" s="5">
        <v>2</v>
      </c>
      <c r="E192" s="5">
        <v>2010</v>
      </c>
      <c r="F192" s="5" t="s">
        <v>22</v>
      </c>
      <c r="G192" s="5" t="s">
        <v>8</v>
      </c>
      <c r="H192" s="7">
        <v>368422</v>
      </c>
      <c r="I192" s="7">
        <v>397359</v>
      </c>
      <c r="J192" s="7">
        <v>28937</v>
      </c>
      <c r="K192" s="8">
        <v>7.8543083746356088E-2</v>
      </c>
    </row>
    <row r="193" spans="1:11" x14ac:dyDescent="0.3">
      <c r="A193" s="5" t="s">
        <v>46</v>
      </c>
      <c r="B193" s="6">
        <v>40231</v>
      </c>
      <c r="C193" s="5">
        <v>9</v>
      </c>
      <c r="D193" s="5">
        <v>2</v>
      </c>
      <c r="E193" s="5">
        <v>2010</v>
      </c>
      <c r="F193" s="5" t="s">
        <v>23</v>
      </c>
      <c r="G193" s="5" t="s">
        <v>8</v>
      </c>
      <c r="H193" s="7">
        <v>147903</v>
      </c>
      <c r="I193" s="7">
        <v>153714</v>
      </c>
      <c r="J193" s="7">
        <v>5811</v>
      </c>
      <c r="K193" s="8">
        <v>3.928926390945417E-2</v>
      </c>
    </row>
    <row r="194" spans="1:11" x14ac:dyDescent="0.3">
      <c r="A194" s="5" t="s">
        <v>46</v>
      </c>
      <c r="B194" s="6">
        <v>40231</v>
      </c>
      <c r="C194" s="5">
        <v>9</v>
      </c>
      <c r="D194" s="5">
        <v>2</v>
      </c>
      <c r="E194" s="5">
        <v>2010</v>
      </c>
      <c r="F194" s="5" t="s">
        <v>24</v>
      </c>
      <c r="G194" s="5" t="s">
        <v>8</v>
      </c>
      <c r="H194" s="7">
        <v>165894</v>
      </c>
      <c r="I194" s="7">
        <v>175671</v>
      </c>
      <c r="J194" s="7">
        <v>9777</v>
      </c>
      <c r="K194" s="8">
        <v>5.8935223697059565E-2</v>
      </c>
    </row>
    <row r="195" spans="1:11" x14ac:dyDescent="0.3">
      <c r="A195" s="5" t="s">
        <v>46</v>
      </c>
      <c r="B195" s="6">
        <v>40231</v>
      </c>
      <c r="C195" s="5">
        <v>9</v>
      </c>
      <c r="D195" s="5">
        <v>2</v>
      </c>
      <c r="E195" s="5">
        <v>2010</v>
      </c>
      <c r="F195" s="5" t="s">
        <v>25</v>
      </c>
      <c r="G195" s="5" t="s">
        <v>8</v>
      </c>
      <c r="H195" s="7">
        <v>11864</v>
      </c>
      <c r="I195" s="7">
        <v>12713</v>
      </c>
      <c r="J195" s="7">
        <v>849</v>
      </c>
      <c r="K195" s="8">
        <v>7.1561024949426844E-2</v>
      </c>
    </row>
    <row r="196" spans="1:11" x14ac:dyDescent="0.3">
      <c r="A196" s="5" t="s">
        <v>46</v>
      </c>
      <c r="B196" s="6">
        <v>40231</v>
      </c>
      <c r="C196" s="5">
        <v>9</v>
      </c>
      <c r="D196" s="5">
        <v>2</v>
      </c>
      <c r="E196" s="5">
        <v>2010</v>
      </c>
      <c r="F196" s="5" t="s">
        <v>26</v>
      </c>
      <c r="G196" s="5" t="s">
        <v>10</v>
      </c>
      <c r="H196" s="7">
        <v>14942</v>
      </c>
      <c r="I196" s="7">
        <v>16981</v>
      </c>
      <c r="J196" s="7">
        <v>2039</v>
      </c>
      <c r="K196" s="8">
        <v>0.1364609824655334</v>
      </c>
    </row>
    <row r="197" spans="1:11" x14ac:dyDescent="0.3">
      <c r="A197" s="5" t="s">
        <v>46</v>
      </c>
      <c r="B197" s="6">
        <v>40231</v>
      </c>
      <c r="C197" s="5">
        <v>9</v>
      </c>
      <c r="D197" s="5">
        <v>2</v>
      </c>
      <c r="E197" s="5">
        <v>2010</v>
      </c>
      <c r="F197" s="5" t="s">
        <v>27</v>
      </c>
      <c r="G197" s="5" t="s">
        <v>10</v>
      </c>
      <c r="H197" s="7">
        <v>109413</v>
      </c>
      <c r="I197" s="7">
        <v>124380</v>
      </c>
      <c r="J197" s="7">
        <v>14967</v>
      </c>
      <c r="K197" s="8">
        <v>0.1367936168462614</v>
      </c>
    </row>
    <row r="198" spans="1:11" x14ac:dyDescent="0.3">
      <c r="A198" s="5" t="s">
        <v>46</v>
      </c>
      <c r="B198" s="6">
        <v>40231</v>
      </c>
      <c r="C198" s="5">
        <v>9</v>
      </c>
      <c r="D198" s="5">
        <v>2</v>
      </c>
      <c r="E198" s="5">
        <v>2010</v>
      </c>
      <c r="F198" s="5" t="s">
        <v>28</v>
      </c>
      <c r="G198" s="5" t="s">
        <v>10</v>
      </c>
      <c r="H198" s="7">
        <v>74156</v>
      </c>
      <c r="I198" s="7">
        <v>81129</v>
      </c>
      <c r="J198" s="7">
        <v>6973</v>
      </c>
      <c r="K198" s="8">
        <v>9.4031501159717354E-2</v>
      </c>
    </row>
    <row r="199" spans="1:11" x14ac:dyDescent="0.3">
      <c r="A199" s="5" t="s">
        <v>46</v>
      </c>
      <c r="B199" s="6">
        <v>40231</v>
      </c>
      <c r="C199" s="5">
        <v>9</v>
      </c>
      <c r="D199" s="5">
        <v>2</v>
      </c>
      <c r="E199" s="5">
        <v>2010</v>
      </c>
      <c r="F199" s="5" t="s">
        <v>29</v>
      </c>
      <c r="G199" s="5" t="s">
        <v>10</v>
      </c>
      <c r="H199" s="7">
        <v>400178</v>
      </c>
      <c r="I199" s="7">
        <v>434403</v>
      </c>
      <c r="J199" s="7">
        <v>34225</v>
      </c>
      <c r="K199" s="8">
        <v>8.5524441623477554E-2</v>
      </c>
    </row>
    <row r="200" spans="1:11" x14ac:dyDescent="0.3">
      <c r="A200" s="5" t="s">
        <v>46</v>
      </c>
      <c r="B200" s="6">
        <v>40231</v>
      </c>
      <c r="C200" s="5">
        <v>9</v>
      </c>
      <c r="D200" s="5">
        <v>2</v>
      </c>
      <c r="E200" s="5">
        <v>2010</v>
      </c>
      <c r="F200" s="5" t="s">
        <v>30</v>
      </c>
      <c r="G200" s="5" t="s">
        <v>10</v>
      </c>
      <c r="H200" s="7">
        <v>96277</v>
      </c>
      <c r="I200" s="7">
        <v>109509</v>
      </c>
      <c r="J200" s="7">
        <v>13232</v>
      </c>
      <c r="K200" s="8">
        <v>0.13743677098372403</v>
      </c>
    </row>
    <row r="201" spans="1:11" x14ac:dyDescent="0.3">
      <c r="A201" s="5" t="s">
        <v>46</v>
      </c>
      <c r="B201" s="6">
        <v>40231</v>
      </c>
      <c r="C201" s="5">
        <v>9</v>
      </c>
      <c r="D201" s="5">
        <v>2</v>
      </c>
      <c r="E201" s="5">
        <v>2010</v>
      </c>
      <c r="F201" s="5" t="s">
        <v>9</v>
      </c>
      <c r="G201" s="5" t="s">
        <v>9</v>
      </c>
      <c r="H201" s="7">
        <v>518276</v>
      </c>
      <c r="I201" s="7">
        <v>631813</v>
      </c>
      <c r="J201" s="7">
        <v>113537</v>
      </c>
      <c r="K201" s="8">
        <v>0.21906667489908851</v>
      </c>
    </row>
    <row r="202" spans="1:11" x14ac:dyDescent="0.3">
      <c r="A202" s="5" t="s">
        <v>46</v>
      </c>
      <c r="B202" s="6">
        <v>40231</v>
      </c>
      <c r="C202" s="5">
        <v>9</v>
      </c>
      <c r="D202" s="5">
        <v>2</v>
      </c>
      <c r="E202" s="5">
        <v>2010</v>
      </c>
      <c r="F202" s="5" t="s">
        <v>31</v>
      </c>
      <c r="G202" s="5" t="s">
        <v>7</v>
      </c>
      <c r="H202" s="7">
        <v>64024</v>
      </c>
      <c r="I202" s="7">
        <v>74213</v>
      </c>
      <c r="J202" s="7">
        <v>10189</v>
      </c>
      <c r="K202" s="8">
        <v>0.15914344620767212</v>
      </c>
    </row>
    <row r="203" spans="1:11" x14ac:dyDescent="0.3">
      <c r="A203" s="5" t="s">
        <v>46</v>
      </c>
      <c r="B203" s="6">
        <v>40231</v>
      </c>
      <c r="C203" s="5">
        <v>9</v>
      </c>
      <c r="D203" s="5">
        <v>2</v>
      </c>
      <c r="E203" s="5">
        <v>2010</v>
      </c>
      <c r="F203" s="5" t="s">
        <v>33</v>
      </c>
      <c r="G203" s="5" t="s">
        <v>7</v>
      </c>
      <c r="H203" s="7">
        <v>61519</v>
      </c>
      <c r="I203" s="7">
        <v>114492</v>
      </c>
      <c r="J203" s="7">
        <v>52973</v>
      </c>
      <c r="K203" s="8">
        <v>0.86108356767827821</v>
      </c>
    </row>
    <row r="204" spans="1:11" x14ac:dyDescent="0.3">
      <c r="A204" s="5" t="s">
        <v>46</v>
      </c>
      <c r="B204" s="6">
        <v>40231</v>
      </c>
      <c r="C204" s="5">
        <v>9</v>
      </c>
      <c r="D204" s="5">
        <v>2</v>
      </c>
      <c r="E204" s="5">
        <v>2010</v>
      </c>
      <c r="F204" s="5" t="s">
        <v>34</v>
      </c>
      <c r="G204" s="5" t="s">
        <v>7</v>
      </c>
      <c r="H204" s="7">
        <v>5675</v>
      </c>
      <c r="I204" s="7">
        <v>6355</v>
      </c>
      <c r="J204" s="7">
        <v>680</v>
      </c>
      <c r="K204" s="8">
        <v>0.1198237885462555</v>
      </c>
    </row>
    <row r="205" spans="1:11" x14ac:dyDescent="0.3">
      <c r="A205" s="5" t="s">
        <v>46</v>
      </c>
      <c r="B205" s="6">
        <v>40231</v>
      </c>
      <c r="C205" s="5">
        <v>9</v>
      </c>
      <c r="D205" s="5">
        <v>2</v>
      </c>
      <c r="E205" s="5">
        <v>2010</v>
      </c>
      <c r="F205" s="5" t="s">
        <v>35</v>
      </c>
      <c r="G205" s="5" t="s">
        <v>11</v>
      </c>
      <c r="H205" s="7">
        <v>6573</v>
      </c>
      <c r="I205" s="7">
        <v>7849</v>
      </c>
      <c r="J205" s="7">
        <v>1276</v>
      </c>
      <c r="K205" s="8">
        <v>0.19412749125209189</v>
      </c>
    </row>
    <row r="206" spans="1:11" x14ac:dyDescent="0.3">
      <c r="A206" s="5" t="s">
        <v>46</v>
      </c>
      <c r="B206" s="6">
        <v>40231</v>
      </c>
      <c r="C206" s="5">
        <v>9</v>
      </c>
      <c r="D206" s="5">
        <v>2</v>
      </c>
      <c r="E206" s="5">
        <v>2010</v>
      </c>
      <c r="F206" s="5" t="s">
        <v>36</v>
      </c>
      <c r="G206" s="5" t="s">
        <v>11</v>
      </c>
      <c r="H206" s="7">
        <v>121649</v>
      </c>
      <c r="I206" s="7">
        <v>134207</v>
      </c>
      <c r="J206" s="7">
        <v>12558</v>
      </c>
      <c r="K206" s="8">
        <v>0.10323142812517982</v>
      </c>
    </row>
    <row r="207" spans="1:11" x14ac:dyDescent="0.3">
      <c r="A207" s="5" t="s">
        <v>46</v>
      </c>
      <c r="B207" s="6">
        <v>40231</v>
      </c>
      <c r="C207" s="5">
        <v>9</v>
      </c>
      <c r="D207" s="5">
        <v>2</v>
      </c>
      <c r="E207" s="5">
        <v>2010</v>
      </c>
      <c r="F207" s="5" t="s">
        <v>37</v>
      </c>
      <c r="G207" s="5" t="s">
        <v>11</v>
      </c>
      <c r="H207" s="7">
        <v>248061</v>
      </c>
      <c r="I207" s="7">
        <v>267266</v>
      </c>
      <c r="J207" s="7">
        <v>19205</v>
      </c>
      <c r="K207" s="8">
        <v>7.7420473190062122E-2</v>
      </c>
    </row>
    <row r="208" spans="1:11" x14ac:dyDescent="0.3">
      <c r="A208" s="5" t="s">
        <v>46</v>
      </c>
      <c r="B208" s="6">
        <v>40231</v>
      </c>
      <c r="C208" s="5">
        <v>9</v>
      </c>
      <c r="D208" s="5">
        <v>2</v>
      </c>
      <c r="E208" s="5">
        <v>2010</v>
      </c>
      <c r="F208" s="5" t="s">
        <v>38</v>
      </c>
      <c r="G208" s="5" t="s">
        <v>11</v>
      </c>
      <c r="H208" s="7">
        <v>229685</v>
      </c>
      <c r="I208" s="7">
        <v>248126</v>
      </c>
      <c r="J208" s="7">
        <v>18441</v>
      </c>
      <c r="K208" s="8">
        <v>8.0288220824172238E-2</v>
      </c>
    </row>
    <row r="209" spans="1:11" x14ac:dyDescent="0.3">
      <c r="A209" s="5" t="s">
        <v>46</v>
      </c>
      <c r="B209" s="6">
        <v>40232</v>
      </c>
      <c r="C209" s="5">
        <v>9</v>
      </c>
      <c r="D209" s="5">
        <v>2</v>
      </c>
      <c r="E209" s="5">
        <v>2010</v>
      </c>
      <c r="F209" s="5" t="s">
        <v>14</v>
      </c>
      <c r="G209" s="5" t="s">
        <v>6</v>
      </c>
      <c r="H209" s="7">
        <v>11658</v>
      </c>
      <c r="I209" s="7">
        <v>13188.94</v>
      </c>
      <c r="J209" s="7">
        <v>1530.9400000000005</v>
      </c>
      <c r="K209" s="8">
        <v>0.13132098130039463</v>
      </c>
    </row>
    <row r="210" spans="1:11" x14ac:dyDescent="0.3">
      <c r="A210" s="5" t="s">
        <v>46</v>
      </c>
      <c r="B210" s="6">
        <v>40232</v>
      </c>
      <c r="C210" s="5">
        <v>9</v>
      </c>
      <c r="D210" s="5">
        <v>2</v>
      </c>
      <c r="E210" s="5">
        <v>2010</v>
      </c>
      <c r="F210" s="5" t="s">
        <v>15</v>
      </c>
      <c r="G210" s="5" t="s">
        <v>6</v>
      </c>
      <c r="H210" s="7">
        <v>197313.89</v>
      </c>
      <c r="I210" s="7">
        <v>234516.81</v>
      </c>
      <c r="J210" s="7">
        <v>37202.919999999984</v>
      </c>
      <c r="K210" s="8">
        <v>0.18854688841216388</v>
      </c>
    </row>
    <row r="211" spans="1:11" x14ac:dyDescent="0.3">
      <c r="A211" s="5" t="s">
        <v>46</v>
      </c>
      <c r="B211" s="6">
        <v>40232</v>
      </c>
      <c r="C211" s="5">
        <v>9</v>
      </c>
      <c r="D211" s="5">
        <v>2</v>
      </c>
      <c r="E211" s="5">
        <v>2010</v>
      </c>
      <c r="F211" s="5" t="s">
        <v>16</v>
      </c>
      <c r="G211" s="5" t="s">
        <v>6</v>
      </c>
      <c r="H211" s="7">
        <v>103090.2</v>
      </c>
      <c r="I211" s="7">
        <v>111267.53</v>
      </c>
      <c r="J211" s="7">
        <v>8177.3300000000017</v>
      </c>
      <c r="K211" s="8">
        <v>7.9322088811545635E-2</v>
      </c>
    </row>
    <row r="212" spans="1:11" x14ac:dyDescent="0.3">
      <c r="A212" s="5" t="s">
        <v>46</v>
      </c>
      <c r="B212" s="6">
        <v>40232</v>
      </c>
      <c r="C212" s="5">
        <v>9</v>
      </c>
      <c r="D212" s="5">
        <v>2</v>
      </c>
      <c r="E212" s="5">
        <v>2010</v>
      </c>
      <c r="F212" s="5" t="s">
        <v>17</v>
      </c>
      <c r="G212" s="5" t="s">
        <v>6</v>
      </c>
      <c r="H212" s="7">
        <v>1173</v>
      </c>
      <c r="I212" s="7">
        <v>1344.89</v>
      </c>
      <c r="J212" s="7">
        <v>171.8900000000001</v>
      </c>
      <c r="K212" s="8">
        <v>0.1465387894288151</v>
      </c>
    </row>
    <row r="213" spans="1:11" x14ac:dyDescent="0.3">
      <c r="A213" s="5" t="s">
        <v>46</v>
      </c>
      <c r="B213" s="6">
        <v>40232</v>
      </c>
      <c r="C213" s="5">
        <v>9</v>
      </c>
      <c r="D213" s="5">
        <v>2</v>
      </c>
      <c r="E213" s="5">
        <v>2010</v>
      </c>
      <c r="F213" s="5" t="s">
        <v>18</v>
      </c>
      <c r="G213" s="5" t="s">
        <v>6</v>
      </c>
      <c r="H213" s="7">
        <v>25406.76</v>
      </c>
      <c r="I213" s="7">
        <v>28188.9</v>
      </c>
      <c r="J213" s="7">
        <v>2782.1400000000031</v>
      </c>
      <c r="K213" s="8">
        <v>0.10950392730123806</v>
      </c>
    </row>
    <row r="214" spans="1:11" x14ac:dyDescent="0.3">
      <c r="A214" s="5" t="s">
        <v>46</v>
      </c>
      <c r="B214" s="6">
        <v>40232</v>
      </c>
      <c r="C214" s="5">
        <v>9</v>
      </c>
      <c r="D214" s="5">
        <v>2</v>
      </c>
      <c r="E214" s="5">
        <v>2010</v>
      </c>
      <c r="F214" s="5" t="s">
        <v>19</v>
      </c>
      <c r="G214" s="5" t="s">
        <v>5</v>
      </c>
      <c r="H214" s="7">
        <v>111715.45</v>
      </c>
      <c r="I214" s="7">
        <v>123855.79</v>
      </c>
      <c r="J214" s="7">
        <v>12140.339999999997</v>
      </c>
      <c r="K214" s="8">
        <v>0.10867198762570439</v>
      </c>
    </row>
    <row r="215" spans="1:11" x14ac:dyDescent="0.3">
      <c r="A215" s="5" t="s">
        <v>46</v>
      </c>
      <c r="B215" s="6">
        <v>40232</v>
      </c>
      <c r="C215" s="5">
        <v>9</v>
      </c>
      <c r="D215" s="5">
        <v>2</v>
      </c>
      <c r="E215" s="5">
        <v>2010</v>
      </c>
      <c r="F215" s="5" t="s">
        <v>5</v>
      </c>
      <c r="G215" s="5" t="s">
        <v>5</v>
      </c>
      <c r="H215" s="7">
        <v>383812.96</v>
      </c>
      <c r="I215" s="7">
        <v>401706.65</v>
      </c>
      <c r="J215" s="7">
        <v>17893.690000000002</v>
      </c>
      <c r="K215" s="8">
        <v>4.6620859285210176E-2</v>
      </c>
    </row>
    <row r="216" spans="1:11" x14ac:dyDescent="0.3">
      <c r="A216" s="5" t="s">
        <v>46</v>
      </c>
      <c r="B216" s="6">
        <v>40232</v>
      </c>
      <c r="C216" s="5">
        <v>9</v>
      </c>
      <c r="D216" s="5">
        <v>2</v>
      </c>
      <c r="E216" s="5">
        <v>2010</v>
      </c>
      <c r="F216" s="5" t="s">
        <v>20</v>
      </c>
      <c r="G216" s="5" t="s">
        <v>5</v>
      </c>
      <c r="H216" s="7">
        <v>85020.7</v>
      </c>
      <c r="I216" s="7">
        <v>93145.1</v>
      </c>
      <c r="J216" s="7">
        <v>8124.4000000000087</v>
      </c>
      <c r="K216" s="8">
        <v>9.5557905310118707E-2</v>
      </c>
    </row>
    <row r="217" spans="1:11" x14ac:dyDescent="0.3">
      <c r="A217" s="5" t="s">
        <v>46</v>
      </c>
      <c r="B217" s="6">
        <v>40232</v>
      </c>
      <c r="C217" s="5">
        <v>9</v>
      </c>
      <c r="D217" s="5">
        <v>2</v>
      </c>
      <c r="E217" s="5">
        <v>2010</v>
      </c>
      <c r="F217" s="5" t="s">
        <v>21</v>
      </c>
      <c r="G217" s="5" t="s">
        <v>5</v>
      </c>
      <c r="H217" s="7">
        <v>161355.88</v>
      </c>
      <c r="I217" s="7">
        <v>168853.34</v>
      </c>
      <c r="J217" s="7">
        <v>7497.4599999999919</v>
      </c>
      <c r="K217" s="8">
        <v>4.6465365873248572E-2</v>
      </c>
    </row>
    <row r="218" spans="1:11" x14ac:dyDescent="0.3">
      <c r="A218" s="5" t="s">
        <v>46</v>
      </c>
      <c r="B218" s="6">
        <v>40232</v>
      </c>
      <c r="C218" s="5">
        <v>9</v>
      </c>
      <c r="D218" s="5">
        <v>2</v>
      </c>
      <c r="E218" s="5">
        <v>2010</v>
      </c>
      <c r="F218" s="5" t="s">
        <v>22</v>
      </c>
      <c r="G218" s="5" t="s">
        <v>8</v>
      </c>
      <c r="H218" s="7">
        <v>333195.45</v>
      </c>
      <c r="I218" s="7">
        <v>364861.6</v>
      </c>
      <c r="J218" s="7">
        <v>31666.149999999965</v>
      </c>
      <c r="K218" s="8">
        <v>9.5037762370404413E-2</v>
      </c>
    </row>
    <row r="219" spans="1:11" x14ac:dyDescent="0.3">
      <c r="A219" s="5" t="s">
        <v>46</v>
      </c>
      <c r="B219" s="6">
        <v>40232</v>
      </c>
      <c r="C219" s="5">
        <v>9</v>
      </c>
      <c r="D219" s="5">
        <v>2</v>
      </c>
      <c r="E219" s="5">
        <v>2010</v>
      </c>
      <c r="F219" s="5" t="s">
        <v>23</v>
      </c>
      <c r="G219" s="5" t="s">
        <v>8</v>
      </c>
      <c r="H219" s="7">
        <v>112675.31</v>
      </c>
      <c r="I219" s="7">
        <v>117319.73</v>
      </c>
      <c r="J219" s="7">
        <v>4644.4199999999983</v>
      </c>
      <c r="K219" s="8">
        <v>4.1219500527666604E-2</v>
      </c>
    </row>
    <row r="220" spans="1:11" x14ac:dyDescent="0.3">
      <c r="A220" s="5" t="s">
        <v>46</v>
      </c>
      <c r="B220" s="6">
        <v>40232</v>
      </c>
      <c r="C220" s="5">
        <v>9</v>
      </c>
      <c r="D220" s="5">
        <v>2</v>
      </c>
      <c r="E220" s="5">
        <v>2010</v>
      </c>
      <c r="F220" s="5" t="s">
        <v>24</v>
      </c>
      <c r="G220" s="5" t="s">
        <v>8</v>
      </c>
      <c r="H220" s="7">
        <v>130725.97</v>
      </c>
      <c r="I220" s="7">
        <v>140734.01999999999</v>
      </c>
      <c r="J220" s="7">
        <v>10008.049999999988</v>
      </c>
      <c r="K220" s="8">
        <v>7.6557473622111877E-2</v>
      </c>
    </row>
    <row r="221" spans="1:11" x14ac:dyDescent="0.3">
      <c r="A221" s="5" t="s">
        <v>46</v>
      </c>
      <c r="B221" s="6">
        <v>40232</v>
      </c>
      <c r="C221" s="5">
        <v>9</v>
      </c>
      <c r="D221" s="5">
        <v>2</v>
      </c>
      <c r="E221" s="5">
        <v>2010</v>
      </c>
      <c r="F221" s="5" t="s">
        <v>25</v>
      </c>
      <c r="G221" s="5" t="s">
        <v>8</v>
      </c>
      <c r="H221" s="7">
        <v>4462</v>
      </c>
      <c r="I221" s="7">
        <v>4898.95</v>
      </c>
      <c r="J221" s="7">
        <v>436.94999999999982</v>
      </c>
      <c r="K221" s="8">
        <v>9.7926938592559354E-2</v>
      </c>
    </row>
    <row r="222" spans="1:11" x14ac:dyDescent="0.3">
      <c r="A222" s="5" t="s">
        <v>46</v>
      </c>
      <c r="B222" s="6">
        <v>40232</v>
      </c>
      <c r="C222" s="5">
        <v>9</v>
      </c>
      <c r="D222" s="5">
        <v>2</v>
      </c>
      <c r="E222" s="5">
        <v>2010</v>
      </c>
      <c r="F222" s="5" t="s">
        <v>26</v>
      </c>
      <c r="G222" s="5" t="s">
        <v>10</v>
      </c>
      <c r="H222" s="7">
        <v>6792</v>
      </c>
      <c r="I222" s="7">
        <v>7759.98</v>
      </c>
      <c r="J222" s="7">
        <v>967.97999999999956</v>
      </c>
      <c r="K222" s="8">
        <v>0.14251766784452291</v>
      </c>
    </row>
    <row r="223" spans="1:11" x14ac:dyDescent="0.3">
      <c r="A223" s="5" t="s">
        <v>46</v>
      </c>
      <c r="B223" s="6">
        <v>40232</v>
      </c>
      <c r="C223" s="5">
        <v>9</v>
      </c>
      <c r="D223" s="5">
        <v>2</v>
      </c>
      <c r="E223" s="5">
        <v>2010</v>
      </c>
      <c r="F223" s="5" t="s">
        <v>27</v>
      </c>
      <c r="G223" s="5" t="s">
        <v>10</v>
      </c>
      <c r="H223" s="7">
        <v>73294.41</v>
      </c>
      <c r="I223" s="7">
        <v>83520.08</v>
      </c>
      <c r="J223" s="7">
        <v>10225.669999999998</v>
      </c>
      <c r="K223" s="8">
        <v>0.13951500530531588</v>
      </c>
    </row>
    <row r="224" spans="1:11" x14ac:dyDescent="0.3">
      <c r="A224" s="5" t="s">
        <v>46</v>
      </c>
      <c r="B224" s="6">
        <v>40232</v>
      </c>
      <c r="C224" s="5">
        <v>9</v>
      </c>
      <c r="D224" s="5">
        <v>2</v>
      </c>
      <c r="E224" s="5">
        <v>2010</v>
      </c>
      <c r="F224" s="5" t="s">
        <v>28</v>
      </c>
      <c r="G224" s="5" t="s">
        <v>10</v>
      </c>
      <c r="H224" s="7">
        <v>85133.36</v>
      </c>
      <c r="I224" s="7">
        <v>96413.04</v>
      </c>
      <c r="J224" s="7">
        <v>11279.679999999993</v>
      </c>
      <c r="K224" s="8">
        <v>0.13249424197517862</v>
      </c>
    </row>
    <row r="225" spans="1:11" x14ac:dyDescent="0.3">
      <c r="A225" s="5" t="s">
        <v>46</v>
      </c>
      <c r="B225" s="6">
        <v>40232</v>
      </c>
      <c r="C225" s="5">
        <v>9</v>
      </c>
      <c r="D225" s="5">
        <v>2</v>
      </c>
      <c r="E225" s="5">
        <v>2010</v>
      </c>
      <c r="F225" s="5" t="s">
        <v>29</v>
      </c>
      <c r="G225" s="5" t="s">
        <v>10</v>
      </c>
      <c r="H225" s="7">
        <v>356102.03</v>
      </c>
      <c r="I225" s="7">
        <v>389335.55</v>
      </c>
      <c r="J225" s="7">
        <v>33233.51999999996</v>
      </c>
      <c r="K225" s="8">
        <v>9.332583697992386E-2</v>
      </c>
    </row>
    <row r="226" spans="1:11" x14ac:dyDescent="0.3">
      <c r="A226" s="5" t="s">
        <v>46</v>
      </c>
      <c r="B226" s="6">
        <v>40232</v>
      </c>
      <c r="C226" s="5">
        <v>9</v>
      </c>
      <c r="D226" s="5">
        <v>2</v>
      </c>
      <c r="E226" s="5">
        <v>2010</v>
      </c>
      <c r="F226" s="5" t="s">
        <v>30</v>
      </c>
      <c r="G226" s="5" t="s">
        <v>10</v>
      </c>
      <c r="H226" s="7">
        <v>67469.279999999999</v>
      </c>
      <c r="I226" s="7">
        <v>76870.98</v>
      </c>
      <c r="J226" s="7">
        <v>9401.6999999999971</v>
      </c>
      <c r="K226" s="8">
        <v>0.13934786320529874</v>
      </c>
    </row>
    <row r="227" spans="1:11" x14ac:dyDescent="0.3">
      <c r="A227" s="5" t="s">
        <v>46</v>
      </c>
      <c r="B227" s="6">
        <v>40232</v>
      </c>
      <c r="C227" s="5">
        <v>9</v>
      </c>
      <c r="D227" s="5">
        <v>2</v>
      </c>
      <c r="E227" s="5">
        <v>2010</v>
      </c>
      <c r="F227" s="5" t="s">
        <v>9</v>
      </c>
      <c r="G227" s="5" t="s">
        <v>9</v>
      </c>
      <c r="H227" s="7">
        <v>392005.4</v>
      </c>
      <c r="I227" s="7">
        <v>480418.12</v>
      </c>
      <c r="J227" s="7">
        <v>88412.719999999972</v>
      </c>
      <c r="K227" s="8">
        <v>0.22553954613890514</v>
      </c>
    </row>
    <row r="228" spans="1:11" x14ac:dyDescent="0.3">
      <c r="A228" s="5" t="s">
        <v>46</v>
      </c>
      <c r="B228" s="6">
        <v>40232</v>
      </c>
      <c r="C228" s="5">
        <v>9</v>
      </c>
      <c r="D228" s="5">
        <v>2</v>
      </c>
      <c r="E228" s="5">
        <v>2010</v>
      </c>
      <c r="F228" s="5" t="s">
        <v>31</v>
      </c>
      <c r="G228" s="5" t="s">
        <v>7</v>
      </c>
      <c r="H228" s="7">
        <v>43510.25</v>
      </c>
      <c r="I228" s="7">
        <v>51912.41</v>
      </c>
      <c r="J228" s="7">
        <v>8402.1600000000035</v>
      </c>
      <c r="K228" s="8">
        <v>0.19310760108250363</v>
      </c>
    </row>
    <row r="229" spans="1:11" x14ac:dyDescent="0.3">
      <c r="A229" s="5" t="s">
        <v>46</v>
      </c>
      <c r="B229" s="6">
        <v>40232</v>
      </c>
      <c r="C229" s="5">
        <v>9</v>
      </c>
      <c r="D229" s="5">
        <v>2</v>
      </c>
      <c r="E229" s="5">
        <v>2010</v>
      </c>
      <c r="F229" s="5" t="s">
        <v>33</v>
      </c>
      <c r="G229" s="5" t="s">
        <v>7</v>
      </c>
      <c r="H229" s="7">
        <v>54846.46</v>
      </c>
      <c r="I229" s="7">
        <v>105653.35</v>
      </c>
      <c r="J229" s="7">
        <v>50806.890000000007</v>
      </c>
      <c r="K229" s="8">
        <v>0.92634766218275544</v>
      </c>
    </row>
    <row r="230" spans="1:11" x14ac:dyDescent="0.3">
      <c r="A230" s="5" t="s">
        <v>46</v>
      </c>
      <c r="B230" s="6">
        <v>40232</v>
      </c>
      <c r="C230" s="5">
        <v>9</v>
      </c>
      <c r="D230" s="5">
        <v>2</v>
      </c>
      <c r="E230" s="5">
        <v>2010</v>
      </c>
      <c r="F230" s="5" t="s">
        <v>35</v>
      </c>
      <c r="G230" s="5" t="s">
        <v>11</v>
      </c>
      <c r="H230" s="7">
        <v>6238</v>
      </c>
      <c r="I230" s="7">
        <v>7342.84</v>
      </c>
      <c r="J230" s="7">
        <v>1104.8400000000001</v>
      </c>
      <c r="K230" s="8">
        <v>0.17711445976274448</v>
      </c>
    </row>
    <row r="231" spans="1:11" x14ac:dyDescent="0.3">
      <c r="A231" s="5" t="s">
        <v>46</v>
      </c>
      <c r="B231" s="6">
        <v>40232</v>
      </c>
      <c r="C231" s="5">
        <v>9</v>
      </c>
      <c r="D231" s="5">
        <v>2</v>
      </c>
      <c r="E231" s="5">
        <v>2010</v>
      </c>
      <c r="F231" s="5" t="s">
        <v>36</v>
      </c>
      <c r="G231" s="5" t="s">
        <v>11</v>
      </c>
      <c r="H231" s="7">
        <v>102870.5</v>
      </c>
      <c r="I231" s="7">
        <v>112810.93</v>
      </c>
      <c r="J231" s="7">
        <v>9940.429999999993</v>
      </c>
      <c r="K231" s="8">
        <v>9.6630520897633368E-2</v>
      </c>
    </row>
    <row r="232" spans="1:11" x14ac:dyDescent="0.3">
      <c r="A232" s="5" t="s">
        <v>46</v>
      </c>
      <c r="B232" s="6">
        <v>40232</v>
      </c>
      <c r="C232" s="5">
        <v>9</v>
      </c>
      <c r="D232" s="5">
        <v>2</v>
      </c>
      <c r="E232" s="5">
        <v>2010</v>
      </c>
      <c r="F232" s="5" t="s">
        <v>37</v>
      </c>
      <c r="G232" s="5" t="s">
        <v>11</v>
      </c>
      <c r="H232" s="7">
        <v>198667.55</v>
      </c>
      <c r="I232" s="7">
        <v>214794.04</v>
      </c>
      <c r="J232" s="7">
        <v>16126.49000000002</v>
      </c>
      <c r="K232" s="8">
        <v>8.117324646123647E-2</v>
      </c>
    </row>
    <row r="233" spans="1:11" x14ac:dyDescent="0.3">
      <c r="A233" s="5" t="s">
        <v>46</v>
      </c>
      <c r="B233" s="6">
        <v>40232</v>
      </c>
      <c r="C233" s="5">
        <v>9</v>
      </c>
      <c r="D233" s="5">
        <v>2</v>
      </c>
      <c r="E233" s="5">
        <v>2010</v>
      </c>
      <c r="F233" s="5" t="s">
        <v>38</v>
      </c>
      <c r="G233" s="5" t="s">
        <v>11</v>
      </c>
      <c r="H233" s="7">
        <v>152894.94</v>
      </c>
      <c r="I233" s="7">
        <v>165311.79999999999</v>
      </c>
      <c r="J233" s="7">
        <v>12416.859999999986</v>
      </c>
      <c r="K233" s="8">
        <v>8.1211713088739146E-2</v>
      </c>
    </row>
    <row r="234" spans="1:11" x14ac:dyDescent="0.3">
      <c r="A234" s="5" t="s">
        <v>46</v>
      </c>
      <c r="B234" s="6">
        <v>40233</v>
      </c>
      <c r="C234" s="5">
        <v>9</v>
      </c>
      <c r="D234" s="5">
        <v>2</v>
      </c>
      <c r="E234" s="5">
        <v>2010</v>
      </c>
      <c r="F234" s="5" t="s">
        <v>14</v>
      </c>
      <c r="G234" s="5" t="s">
        <v>6</v>
      </c>
      <c r="H234" s="7">
        <v>8513</v>
      </c>
      <c r="I234" s="7">
        <v>9670</v>
      </c>
      <c r="J234" s="7">
        <v>1157</v>
      </c>
      <c r="K234" s="8">
        <v>0.1359097850346529</v>
      </c>
    </row>
    <row r="235" spans="1:11" x14ac:dyDescent="0.3">
      <c r="A235" s="5" t="s">
        <v>46</v>
      </c>
      <c r="B235" s="6">
        <v>40233</v>
      </c>
      <c r="C235" s="5">
        <v>9</v>
      </c>
      <c r="D235" s="5">
        <v>2</v>
      </c>
      <c r="E235" s="5">
        <v>2010</v>
      </c>
      <c r="F235" s="5" t="s">
        <v>15</v>
      </c>
      <c r="G235" s="5" t="s">
        <v>6</v>
      </c>
      <c r="H235" s="7">
        <v>142424</v>
      </c>
      <c r="I235" s="7">
        <v>169126</v>
      </c>
      <c r="J235" s="7">
        <v>26702</v>
      </c>
      <c r="K235" s="8">
        <v>0.18748244677863282</v>
      </c>
    </row>
    <row r="236" spans="1:11" x14ac:dyDescent="0.3">
      <c r="A236" s="5" t="s">
        <v>46</v>
      </c>
      <c r="B236" s="6">
        <v>40233</v>
      </c>
      <c r="C236" s="5">
        <v>9</v>
      </c>
      <c r="D236" s="5">
        <v>2</v>
      </c>
      <c r="E236" s="5">
        <v>2010</v>
      </c>
      <c r="F236" s="5" t="s">
        <v>16</v>
      </c>
      <c r="G236" s="5" t="s">
        <v>6</v>
      </c>
      <c r="H236" s="7">
        <v>60709</v>
      </c>
      <c r="I236" s="7">
        <v>66742</v>
      </c>
      <c r="J236" s="7">
        <v>6033</v>
      </c>
      <c r="K236" s="8">
        <v>9.9375710355960406E-2</v>
      </c>
    </row>
    <row r="237" spans="1:11" x14ac:dyDescent="0.3">
      <c r="A237" s="5" t="s">
        <v>46</v>
      </c>
      <c r="B237" s="6">
        <v>40233</v>
      </c>
      <c r="C237" s="5">
        <v>9</v>
      </c>
      <c r="D237" s="5">
        <v>2</v>
      </c>
      <c r="E237" s="5">
        <v>2010</v>
      </c>
      <c r="F237" s="5" t="s">
        <v>17</v>
      </c>
      <c r="G237" s="5" t="s">
        <v>6</v>
      </c>
      <c r="H237" s="7">
        <v>2382</v>
      </c>
      <c r="I237" s="7">
        <v>2662</v>
      </c>
      <c r="J237" s="7">
        <v>280</v>
      </c>
      <c r="K237" s="8">
        <v>0.11754827875734676</v>
      </c>
    </row>
    <row r="238" spans="1:11" x14ac:dyDescent="0.3">
      <c r="A238" s="5" t="s">
        <v>46</v>
      </c>
      <c r="B238" s="6">
        <v>40233</v>
      </c>
      <c r="C238" s="5">
        <v>9</v>
      </c>
      <c r="D238" s="5">
        <v>2</v>
      </c>
      <c r="E238" s="5">
        <v>2010</v>
      </c>
      <c r="F238" s="5" t="s">
        <v>18</v>
      </c>
      <c r="G238" s="5" t="s">
        <v>6</v>
      </c>
      <c r="H238" s="7">
        <v>19217</v>
      </c>
      <c r="I238" s="7">
        <v>21850</v>
      </c>
      <c r="J238" s="7">
        <v>2633</v>
      </c>
      <c r="K238" s="8">
        <v>0.13701410209710152</v>
      </c>
    </row>
    <row r="239" spans="1:11" x14ac:dyDescent="0.3">
      <c r="A239" s="5" t="s">
        <v>46</v>
      </c>
      <c r="B239" s="6">
        <v>40233</v>
      </c>
      <c r="C239" s="5">
        <v>9</v>
      </c>
      <c r="D239" s="5">
        <v>2</v>
      </c>
      <c r="E239" s="5">
        <v>2010</v>
      </c>
      <c r="F239" s="5" t="s">
        <v>19</v>
      </c>
      <c r="G239" s="5" t="s">
        <v>5</v>
      </c>
      <c r="H239" s="7">
        <v>118317</v>
      </c>
      <c r="I239" s="7">
        <v>133837</v>
      </c>
      <c r="J239" s="7">
        <v>15520</v>
      </c>
      <c r="K239" s="8">
        <v>0.13117303515133075</v>
      </c>
    </row>
    <row r="240" spans="1:11" x14ac:dyDescent="0.3">
      <c r="A240" s="5" t="s">
        <v>46</v>
      </c>
      <c r="B240" s="6">
        <v>40233</v>
      </c>
      <c r="C240" s="5">
        <v>9</v>
      </c>
      <c r="D240" s="5">
        <v>2</v>
      </c>
      <c r="E240" s="5">
        <v>2010</v>
      </c>
      <c r="F240" s="5" t="s">
        <v>5</v>
      </c>
      <c r="G240" s="5" t="s">
        <v>5</v>
      </c>
      <c r="H240" s="7">
        <v>340882</v>
      </c>
      <c r="I240" s="7">
        <v>358948</v>
      </c>
      <c r="J240" s="7">
        <v>18066</v>
      </c>
      <c r="K240" s="8">
        <v>5.2997811559425255E-2</v>
      </c>
    </row>
    <row r="241" spans="1:11" x14ac:dyDescent="0.3">
      <c r="A241" s="5" t="s">
        <v>46</v>
      </c>
      <c r="B241" s="6">
        <v>40233</v>
      </c>
      <c r="C241" s="5">
        <v>9</v>
      </c>
      <c r="D241" s="5">
        <v>2</v>
      </c>
      <c r="E241" s="5">
        <v>2010</v>
      </c>
      <c r="F241" s="5" t="s">
        <v>20</v>
      </c>
      <c r="G241" s="5" t="s">
        <v>5</v>
      </c>
      <c r="H241" s="7">
        <v>92116</v>
      </c>
      <c r="I241" s="7">
        <v>101600</v>
      </c>
      <c r="J241" s="7">
        <v>9484</v>
      </c>
      <c r="K241" s="8">
        <v>0.1029571409961353</v>
      </c>
    </row>
    <row r="242" spans="1:11" x14ac:dyDescent="0.3">
      <c r="A242" s="5" t="s">
        <v>46</v>
      </c>
      <c r="B242" s="6">
        <v>40233</v>
      </c>
      <c r="C242" s="5">
        <v>9</v>
      </c>
      <c r="D242" s="5">
        <v>2</v>
      </c>
      <c r="E242" s="5">
        <v>2010</v>
      </c>
      <c r="F242" s="5" t="s">
        <v>21</v>
      </c>
      <c r="G242" s="5" t="s">
        <v>5</v>
      </c>
      <c r="H242" s="7">
        <v>133832</v>
      </c>
      <c r="I242" s="7">
        <v>140798</v>
      </c>
      <c r="J242" s="7">
        <v>6966</v>
      </c>
      <c r="K242" s="8">
        <v>5.2050331759220518E-2</v>
      </c>
    </row>
    <row r="243" spans="1:11" x14ac:dyDescent="0.3">
      <c r="A243" s="5" t="s">
        <v>46</v>
      </c>
      <c r="B243" s="6">
        <v>40233</v>
      </c>
      <c r="C243" s="5">
        <v>9</v>
      </c>
      <c r="D243" s="5">
        <v>2</v>
      </c>
      <c r="E243" s="5">
        <v>2010</v>
      </c>
      <c r="F243" s="5" t="s">
        <v>22</v>
      </c>
      <c r="G243" s="5" t="s">
        <v>8</v>
      </c>
      <c r="H243" s="7">
        <v>265706</v>
      </c>
      <c r="I243" s="7">
        <v>292370</v>
      </c>
      <c r="J243" s="7">
        <v>26664</v>
      </c>
      <c r="K243" s="8">
        <v>0.10035151633760622</v>
      </c>
    </row>
    <row r="244" spans="1:11" x14ac:dyDescent="0.3">
      <c r="A244" s="5" t="s">
        <v>46</v>
      </c>
      <c r="B244" s="6">
        <v>40233</v>
      </c>
      <c r="C244" s="5">
        <v>9</v>
      </c>
      <c r="D244" s="5">
        <v>2</v>
      </c>
      <c r="E244" s="5">
        <v>2010</v>
      </c>
      <c r="F244" s="5" t="s">
        <v>23</v>
      </c>
      <c r="G244" s="5" t="s">
        <v>8</v>
      </c>
      <c r="H244" s="7">
        <v>105946</v>
      </c>
      <c r="I244" s="7">
        <v>110948</v>
      </c>
      <c r="J244" s="7">
        <v>5002</v>
      </c>
      <c r="K244" s="8">
        <v>4.7212731013912747E-2</v>
      </c>
    </row>
    <row r="245" spans="1:11" x14ac:dyDescent="0.3">
      <c r="A245" s="5" t="s">
        <v>46</v>
      </c>
      <c r="B245" s="6">
        <v>40233</v>
      </c>
      <c r="C245" s="5">
        <v>9</v>
      </c>
      <c r="D245" s="5">
        <v>2</v>
      </c>
      <c r="E245" s="5">
        <v>2010</v>
      </c>
      <c r="F245" s="5" t="s">
        <v>24</v>
      </c>
      <c r="G245" s="5" t="s">
        <v>8</v>
      </c>
      <c r="H245" s="7">
        <v>109692</v>
      </c>
      <c r="I245" s="7">
        <v>118464</v>
      </c>
      <c r="J245" s="7">
        <v>8772</v>
      </c>
      <c r="K245" s="8">
        <v>7.996936877803304E-2</v>
      </c>
    </row>
    <row r="246" spans="1:11" x14ac:dyDescent="0.3">
      <c r="A246" s="5" t="s">
        <v>46</v>
      </c>
      <c r="B246" s="6">
        <v>40233</v>
      </c>
      <c r="C246" s="5">
        <v>9</v>
      </c>
      <c r="D246" s="5">
        <v>2</v>
      </c>
      <c r="E246" s="5">
        <v>2010</v>
      </c>
      <c r="F246" s="5" t="s">
        <v>25</v>
      </c>
      <c r="G246" s="5" t="s">
        <v>8</v>
      </c>
      <c r="H246" s="7">
        <v>9680</v>
      </c>
      <c r="I246" s="7">
        <v>10165</v>
      </c>
      <c r="J246" s="7">
        <v>485</v>
      </c>
      <c r="K246" s="8">
        <v>5.0103305785123967E-2</v>
      </c>
    </row>
    <row r="247" spans="1:11" x14ac:dyDescent="0.3">
      <c r="A247" s="5" t="s">
        <v>46</v>
      </c>
      <c r="B247" s="6">
        <v>40233</v>
      </c>
      <c r="C247" s="5">
        <v>9</v>
      </c>
      <c r="D247" s="5">
        <v>2</v>
      </c>
      <c r="E247" s="5">
        <v>2010</v>
      </c>
      <c r="F247" s="5" t="s">
        <v>26</v>
      </c>
      <c r="G247" s="5" t="s">
        <v>10</v>
      </c>
      <c r="H247" s="7">
        <v>10360</v>
      </c>
      <c r="I247" s="7">
        <v>11520</v>
      </c>
      <c r="J247" s="7">
        <v>1160</v>
      </c>
      <c r="K247" s="8">
        <v>0.11196911196911197</v>
      </c>
    </row>
    <row r="248" spans="1:11" x14ac:dyDescent="0.3">
      <c r="A248" s="5" t="s">
        <v>46</v>
      </c>
      <c r="B248" s="6">
        <v>40233</v>
      </c>
      <c r="C248" s="5">
        <v>9</v>
      </c>
      <c r="D248" s="5">
        <v>2</v>
      </c>
      <c r="E248" s="5">
        <v>2010</v>
      </c>
      <c r="F248" s="5" t="s">
        <v>27</v>
      </c>
      <c r="G248" s="5" t="s">
        <v>10</v>
      </c>
      <c r="H248" s="7">
        <v>119680</v>
      </c>
      <c r="I248" s="7">
        <v>136701</v>
      </c>
      <c r="J248" s="7">
        <v>17021</v>
      </c>
      <c r="K248" s="8">
        <v>0.14222092245989304</v>
      </c>
    </row>
    <row r="249" spans="1:11" x14ac:dyDescent="0.3">
      <c r="A249" s="5" t="s">
        <v>46</v>
      </c>
      <c r="B249" s="6">
        <v>40233</v>
      </c>
      <c r="C249" s="5">
        <v>9</v>
      </c>
      <c r="D249" s="5">
        <v>2</v>
      </c>
      <c r="E249" s="5">
        <v>2010</v>
      </c>
      <c r="F249" s="5" t="s">
        <v>28</v>
      </c>
      <c r="G249" s="5" t="s">
        <v>10</v>
      </c>
      <c r="H249" s="7">
        <v>74103</v>
      </c>
      <c r="I249" s="7">
        <v>82401</v>
      </c>
      <c r="J249" s="7">
        <v>8298</v>
      </c>
      <c r="K249" s="8">
        <v>0.1119792720942472</v>
      </c>
    </row>
    <row r="250" spans="1:11" x14ac:dyDescent="0.3">
      <c r="A250" s="5" t="s">
        <v>46</v>
      </c>
      <c r="B250" s="6">
        <v>40233</v>
      </c>
      <c r="C250" s="5">
        <v>9</v>
      </c>
      <c r="D250" s="5">
        <v>2</v>
      </c>
      <c r="E250" s="5">
        <v>2010</v>
      </c>
      <c r="F250" s="5" t="s">
        <v>29</v>
      </c>
      <c r="G250" s="5" t="s">
        <v>10</v>
      </c>
      <c r="H250" s="7">
        <v>381549</v>
      </c>
      <c r="I250" s="7">
        <v>412757</v>
      </c>
      <c r="J250" s="7">
        <v>31208</v>
      </c>
      <c r="K250" s="8">
        <v>8.1792902091212399E-2</v>
      </c>
    </row>
    <row r="251" spans="1:11" x14ac:dyDescent="0.3">
      <c r="A251" s="5" t="s">
        <v>46</v>
      </c>
      <c r="B251" s="6">
        <v>40233</v>
      </c>
      <c r="C251" s="5">
        <v>9</v>
      </c>
      <c r="D251" s="5">
        <v>2</v>
      </c>
      <c r="E251" s="5">
        <v>2010</v>
      </c>
      <c r="F251" s="5" t="s">
        <v>30</v>
      </c>
      <c r="G251" s="5" t="s">
        <v>10</v>
      </c>
      <c r="H251" s="7">
        <v>81365</v>
      </c>
      <c r="I251" s="7">
        <v>92660</v>
      </c>
      <c r="J251" s="7">
        <v>11295</v>
      </c>
      <c r="K251" s="8">
        <v>0.13881890247649481</v>
      </c>
    </row>
    <row r="252" spans="1:11" x14ac:dyDescent="0.3">
      <c r="A252" s="5" t="s">
        <v>46</v>
      </c>
      <c r="B252" s="6">
        <v>40233</v>
      </c>
      <c r="C252" s="5">
        <v>9</v>
      </c>
      <c r="D252" s="5">
        <v>2</v>
      </c>
      <c r="E252" s="5">
        <v>2010</v>
      </c>
      <c r="F252" s="5" t="s">
        <v>9</v>
      </c>
      <c r="G252" s="5" t="s">
        <v>9</v>
      </c>
      <c r="H252" s="7">
        <v>429706</v>
      </c>
      <c r="I252" s="7">
        <v>522973</v>
      </c>
      <c r="J252" s="7">
        <v>93267</v>
      </c>
      <c r="K252" s="8">
        <v>0.21704840053431881</v>
      </c>
    </row>
    <row r="253" spans="1:11" x14ac:dyDescent="0.3">
      <c r="A253" s="5" t="s">
        <v>46</v>
      </c>
      <c r="B253" s="6">
        <v>40233</v>
      </c>
      <c r="C253" s="5">
        <v>9</v>
      </c>
      <c r="D253" s="5">
        <v>2</v>
      </c>
      <c r="E253" s="5">
        <v>2010</v>
      </c>
      <c r="F253" s="5" t="s">
        <v>31</v>
      </c>
      <c r="G253" s="5" t="s">
        <v>7</v>
      </c>
      <c r="H253" s="7">
        <v>62582</v>
      </c>
      <c r="I253" s="7">
        <v>73634</v>
      </c>
      <c r="J253" s="7">
        <v>11052</v>
      </c>
      <c r="K253" s="8">
        <v>0.17660030040586749</v>
      </c>
    </row>
    <row r="254" spans="1:11" x14ac:dyDescent="0.3">
      <c r="A254" s="5" t="s">
        <v>46</v>
      </c>
      <c r="B254" s="6">
        <v>40233</v>
      </c>
      <c r="C254" s="5">
        <v>9</v>
      </c>
      <c r="D254" s="5">
        <v>2</v>
      </c>
      <c r="E254" s="5">
        <v>2010</v>
      </c>
      <c r="F254" s="5" t="s">
        <v>33</v>
      </c>
      <c r="G254" s="5" t="s">
        <v>7</v>
      </c>
      <c r="H254" s="7">
        <v>45125</v>
      </c>
      <c r="I254" s="7">
        <v>83767</v>
      </c>
      <c r="J254" s="7">
        <v>38642</v>
      </c>
      <c r="K254" s="8">
        <v>0.8563324099722992</v>
      </c>
    </row>
    <row r="255" spans="1:11" x14ac:dyDescent="0.3">
      <c r="A255" s="5" t="s">
        <v>46</v>
      </c>
      <c r="B255" s="6">
        <v>40233</v>
      </c>
      <c r="C255" s="5">
        <v>9</v>
      </c>
      <c r="D255" s="5">
        <v>2</v>
      </c>
      <c r="E255" s="5">
        <v>2010</v>
      </c>
      <c r="F255" s="5" t="s">
        <v>34</v>
      </c>
      <c r="G255" s="5" t="s">
        <v>7</v>
      </c>
      <c r="H255" s="7">
        <v>2132</v>
      </c>
      <c r="I255" s="7">
        <v>2387</v>
      </c>
      <c r="J255" s="7">
        <v>255</v>
      </c>
      <c r="K255" s="8">
        <v>0.11960600375234522</v>
      </c>
    </row>
    <row r="256" spans="1:11" x14ac:dyDescent="0.3">
      <c r="A256" s="5" t="s">
        <v>46</v>
      </c>
      <c r="B256" s="6">
        <v>40233</v>
      </c>
      <c r="C256" s="5">
        <v>9</v>
      </c>
      <c r="D256" s="5">
        <v>2</v>
      </c>
      <c r="E256" s="5">
        <v>2010</v>
      </c>
      <c r="F256" s="5" t="s">
        <v>35</v>
      </c>
      <c r="G256" s="5" t="s">
        <v>11</v>
      </c>
      <c r="H256" s="7">
        <v>4005</v>
      </c>
      <c r="I256" s="7">
        <v>4917</v>
      </c>
      <c r="J256" s="7">
        <v>912</v>
      </c>
      <c r="K256" s="8">
        <v>0.22771535580524344</v>
      </c>
    </row>
    <row r="257" spans="1:11" x14ac:dyDescent="0.3">
      <c r="A257" s="5" t="s">
        <v>46</v>
      </c>
      <c r="B257" s="6">
        <v>40233</v>
      </c>
      <c r="C257" s="5">
        <v>9</v>
      </c>
      <c r="D257" s="5">
        <v>2</v>
      </c>
      <c r="E257" s="5">
        <v>2010</v>
      </c>
      <c r="F257" s="5" t="s">
        <v>36</v>
      </c>
      <c r="G257" s="5" t="s">
        <v>11</v>
      </c>
      <c r="H257" s="7">
        <v>92016</v>
      </c>
      <c r="I257" s="7">
        <v>101712</v>
      </c>
      <c r="J257" s="7">
        <v>9696</v>
      </c>
      <c r="K257" s="8">
        <v>0.10537297861241524</v>
      </c>
    </row>
    <row r="258" spans="1:11" x14ac:dyDescent="0.3">
      <c r="A258" s="5" t="s">
        <v>46</v>
      </c>
      <c r="B258" s="6">
        <v>40233</v>
      </c>
      <c r="C258" s="5">
        <v>9</v>
      </c>
      <c r="D258" s="5">
        <v>2</v>
      </c>
      <c r="E258" s="5">
        <v>2010</v>
      </c>
      <c r="F258" s="5" t="s">
        <v>37</v>
      </c>
      <c r="G258" s="5" t="s">
        <v>11</v>
      </c>
      <c r="H258" s="7">
        <v>226140</v>
      </c>
      <c r="I258" s="7">
        <v>244228</v>
      </c>
      <c r="J258" s="7">
        <v>18088</v>
      </c>
      <c r="K258" s="8">
        <v>7.9985849473777307E-2</v>
      </c>
    </row>
    <row r="259" spans="1:11" x14ac:dyDescent="0.3">
      <c r="A259" s="5" t="s">
        <v>46</v>
      </c>
      <c r="B259" s="6">
        <v>40233</v>
      </c>
      <c r="C259" s="5">
        <v>9</v>
      </c>
      <c r="D259" s="5">
        <v>2</v>
      </c>
      <c r="E259" s="5">
        <v>2010</v>
      </c>
      <c r="F259" s="5" t="s">
        <v>38</v>
      </c>
      <c r="G259" s="5" t="s">
        <v>11</v>
      </c>
      <c r="H259" s="7">
        <v>188658</v>
      </c>
      <c r="I259" s="7">
        <v>203939</v>
      </c>
      <c r="J259" s="7">
        <v>15281</v>
      </c>
      <c r="K259" s="8">
        <v>8.0998420422139533E-2</v>
      </c>
    </row>
    <row r="260" spans="1:11" x14ac:dyDescent="0.3">
      <c r="A260" s="5" t="s">
        <v>46</v>
      </c>
      <c r="B260" s="6">
        <v>40234</v>
      </c>
      <c r="C260" s="5">
        <v>9</v>
      </c>
      <c r="D260" s="5">
        <v>2</v>
      </c>
      <c r="E260" s="5">
        <v>2010</v>
      </c>
      <c r="F260" s="5" t="s">
        <v>14</v>
      </c>
      <c r="G260" s="5" t="s">
        <v>6</v>
      </c>
      <c r="H260" s="7">
        <v>13777</v>
      </c>
      <c r="I260" s="7">
        <v>15667</v>
      </c>
      <c r="J260" s="7">
        <v>1890</v>
      </c>
      <c r="K260" s="8">
        <v>0.13718516367859476</v>
      </c>
    </row>
    <row r="261" spans="1:11" x14ac:dyDescent="0.3">
      <c r="A261" s="5" t="s">
        <v>46</v>
      </c>
      <c r="B261" s="6">
        <v>40234</v>
      </c>
      <c r="C261" s="5">
        <v>9</v>
      </c>
      <c r="D261" s="5">
        <v>2</v>
      </c>
      <c r="E261" s="5">
        <v>2010</v>
      </c>
      <c r="F261" s="5" t="s">
        <v>15</v>
      </c>
      <c r="G261" s="5" t="s">
        <v>6</v>
      </c>
      <c r="H261" s="7">
        <v>165881</v>
      </c>
      <c r="I261" s="7">
        <v>194082</v>
      </c>
      <c r="J261" s="7">
        <v>28201</v>
      </c>
      <c r="K261" s="8">
        <v>0.17000741495409361</v>
      </c>
    </row>
    <row r="262" spans="1:11" x14ac:dyDescent="0.3">
      <c r="A262" s="5" t="s">
        <v>46</v>
      </c>
      <c r="B262" s="6">
        <v>40234</v>
      </c>
      <c r="C262" s="5">
        <v>9</v>
      </c>
      <c r="D262" s="5">
        <v>2</v>
      </c>
      <c r="E262" s="5">
        <v>2010</v>
      </c>
      <c r="F262" s="5" t="s">
        <v>16</v>
      </c>
      <c r="G262" s="5" t="s">
        <v>6</v>
      </c>
      <c r="H262" s="7">
        <v>64035</v>
      </c>
      <c r="I262" s="7">
        <v>72418</v>
      </c>
      <c r="J262" s="7">
        <v>8383</v>
      </c>
      <c r="K262" s="8">
        <v>0.1309127820723042</v>
      </c>
    </row>
    <row r="263" spans="1:11" x14ac:dyDescent="0.3">
      <c r="A263" s="5" t="s">
        <v>46</v>
      </c>
      <c r="B263" s="6">
        <v>40234</v>
      </c>
      <c r="C263" s="5">
        <v>9</v>
      </c>
      <c r="D263" s="5">
        <v>2</v>
      </c>
      <c r="E263" s="5">
        <v>2010</v>
      </c>
      <c r="F263" s="5" t="s">
        <v>17</v>
      </c>
      <c r="G263" s="5" t="s">
        <v>6</v>
      </c>
      <c r="H263" s="7">
        <v>3188</v>
      </c>
      <c r="I263" s="7">
        <v>3725</v>
      </c>
      <c r="J263" s="7">
        <v>537</v>
      </c>
      <c r="K263" s="8">
        <v>0.16844416562107906</v>
      </c>
    </row>
    <row r="264" spans="1:11" x14ac:dyDescent="0.3">
      <c r="A264" s="5" t="s">
        <v>46</v>
      </c>
      <c r="B264" s="6">
        <v>40234</v>
      </c>
      <c r="C264" s="5">
        <v>9</v>
      </c>
      <c r="D264" s="5">
        <v>2</v>
      </c>
      <c r="E264" s="5">
        <v>2010</v>
      </c>
      <c r="F264" s="5" t="s">
        <v>18</v>
      </c>
      <c r="G264" s="5" t="s">
        <v>6</v>
      </c>
      <c r="H264" s="7">
        <v>21213</v>
      </c>
      <c r="I264" s="7">
        <v>23878</v>
      </c>
      <c r="J264" s="7">
        <v>2665</v>
      </c>
      <c r="K264" s="8">
        <v>0.12563050959317398</v>
      </c>
    </row>
    <row r="265" spans="1:11" x14ac:dyDescent="0.3">
      <c r="A265" s="5" t="s">
        <v>46</v>
      </c>
      <c r="B265" s="6">
        <v>40234</v>
      </c>
      <c r="C265" s="5">
        <v>9</v>
      </c>
      <c r="D265" s="5">
        <v>2</v>
      </c>
      <c r="E265" s="5">
        <v>2010</v>
      </c>
      <c r="F265" s="5" t="s">
        <v>19</v>
      </c>
      <c r="G265" s="5" t="s">
        <v>5</v>
      </c>
      <c r="H265" s="7">
        <v>129802</v>
      </c>
      <c r="I265" s="7">
        <v>141807</v>
      </c>
      <c r="J265" s="7">
        <v>12005</v>
      </c>
      <c r="K265" s="8">
        <v>9.248701869000478E-2</v>
      </c>
    </row>
    <row r="266" spans="1:11" x14ac:dyDescent="0.3">
      <c r="A266" s="5" t="s">
        <v>46</v>
      </c>
      <c r="B266" s="6">
        <v>40234</v>
      </c>
      <c r="C266" s="5">
        <v>9</v>
      </c>
      <c r="D266" s="5">
        <v>2</v>
      </c>
      <c r="E266" s="5">
        <v>2010</v>
      </c>
      <c r="F266" s="5" t="s">
        <v>5</v>
      </c>
      <c r="G266" s="5" t="s">
        <v>5</v>
      </c>
      <c r="H266" s="7">
        <v>388949</v>
      </c>
      <c r="I266" s="7">
        <v>405116</v>
      </c>
      <c r="J266" s="7">
        <v>16167</v>
      </c>
      <c r="K266" s="8">
        <v>4.1565860819798996E-2</v>
      </c>
    </row>
    <row r="267" spans="1:11" x14ac:dyDescent="0.3">
      <c r="A267" s="5" t="s">
        <v>46</v>
      </c>
      <c r="B267" s="6">
        <v>40234</v>
      </c>
      <c r="C267" s="5">
        <v>9</v>
      </c>
      <c r="D267" s="5">
        <v>2</v>
      </c>
      <c r="E267" s="5">
        <v>2010</v>
      </c>
      <c r="F267" s="5" t="s">
        <v>20</v>
      </c>
      <c r="G267" s="5" t="s">
        <v>5</v>
      </c>
      <c r="H267" s="7">
        <v>114086</v>
      </c>
      <c r="I267" s="7">
        <v>121339</v>
      </c>
      <c r="J267" s="7">
        <v>7253</v>
      </c>
      <c r="K267" s="8">
        <v>6.3574847045211505E-2</v>
      </c>
    </row>
    <row r="268" spans="1:11" x14ac:dyDescent="0.3">
      <c r="A268" s="5" t="s">
        <v>46</v>
      </c>
      <c r="B268" s="6">
        <v>40234</v>
      </c>
      <c r="C268" s="5">
        <v>9</v>
      </c>
      <c r="D268" s="5">
        <v>2</v>
      </c>
      <c r="E268" s="5">
        <v>2010</v>
      </c>
      <c r="F268" s="5" t="s">
        <v>21</v>
      </c>
      <c r="G268" s="5" t="s">
        <v>5</v>
      </c>
      <c r="H268" s="7">
        <v>143238</v>
      </c>
      <c r="I268" s="7">
        <v>150029</v>
      </c>
      <c r="J268" s="7">
        <v>6791</v>
      </c>
      <c r="K268" s="8">
        <v>4.741060333151817E-2</v>
      </c>
    </row>
    <row r="269" spans="1:11" x14ac:dyDescent="0.3">
      <c r="A269" s="5" t="s">
        <v>46</v>
      </c>
      <c r="B269" s="6">
        <v>40234</v>
      </c>
      <c r="C269" s="5">
        <v>9</v>
      </c>
      <c r="D269" s="5">
        <v>2</v>
      </c>
      <c r="E269" s="5">
        <v>2010</v>
      </c>
      <c r="F269" s="5" t="s">
        <v>22</v>
      </c>
      <c r="G269" s="5" t="s">
        <v>8</v>
      </c>
      <c r="H269" s="7">
        <v>292542</v>
      </c>
      <c r="I269" s="7">
        <v>317607</v>
      </c>
      <c r="J269" s="7">
        <v>25065</v>
      </c>
      <c r="K269" s="8">
        <v>8.5680004922370115E-2</v>
      </c>
    </row>
    <row r="270" spans="1:11" x14ac:dyDescent="0.3">
      <c r="A270" s="5" t="s">
        <v>46</v>
      </c>
      <c r="B270" s="6">
        <v>40234</v>
      </c>
      <c r="C270" s="5">
        <v>9</v>
      </c>
      <c r="D270" s="5">
        <v>2</v>
      </c>
      <c r="E270" s="5">
        <v>2010</v>
      </c>
      <c r="F270" s="5" t="s">
        <v>23</v>
      </c>
      <c r="G270" s="5" t="s">
        <v>8</v>
      </c>
      <c r="H270" s="7">
        <v>106937</v>
      </c>
      <c r="I270" s="7">
        <v>112034</v>
      </c>
      <c r="J270" s="7">
        <v>5097</v>
      </c>
      <c r="K270" s="8">
        <v>4.7663577620468127E-2</v>
      </c>
    </row>
    <row r="271" spans="1:11" x14ac:dyDescent="0.3">
      <c r="A271" s="5" t="s">
        <v>46</v>
      </c>
      <c r="B271" s="6">
        <v>40234</v>
      </c>
      <c r="C271" s="5">
        <v>9</v>
      </c>
      <c r="D271" s="5">
        <v>2</v>
      </c>
      <c r="E271" s="5">
        <v>2010</v>
      </c>
      <c r="F271" s="5" t="s">
        <v>24</v>
      </c>
      <c r="G271" s="5" t="s">
        <v>8</v>
      </c>
      <c r="H271" s="7">
        <v>101394</v>
      </c>
      <c r="I271" s="7">
        <v>110162</v>
      </c>
      <c r="J271" s="7">
        <v>8768</v>
      </c>
      <c r="K271" s="8">
        <v>8.6474544844862611E-2</v>
      </c>
    </row>
    <row r="272" spans="1:11" x14ac:dyDescent="0.3">
      <c r="A272" s="5" t="s">
        <v>46</v>
      </c>
      <c r="B272" s="6">
        <v>40234</v>
      </c>
      <c r="C272" s="5">
        <v>9</v>
      </c>
      <c r="D272" s="5">
        <v>2</v>
      </c>
      <c r="E272" s="5">
        <v>2010</v>
      </c>
      <c r="F272" s="5" t="s">
        <v>25</v>
      </c>
      <c r="G272" s="5" t="s">
        <v>8</v>
      </c>
      <c r="H272" s="7">
        <v>3356</v>
      </c>
      <c r="I272" s="7">
        <v>3714</v>
      </c>
      <c r="J272" s="7">
        <v>358</v>
      </c>
      <c r="K272" s="8">
        <v>0.1066746126340882</v>
      </c>
    </row>
    <row r="273" spans="1:11" x14ac:dyDescent="0.3">
      <c r="A273" s="5" t="s">
        <v>46</v>
      </c>
      <c r="B273" s="6">
        <v>40234</v>
      </c>
      <c r="C273" s="5">
        <v>9</v>
      </c>
      <c r="D273" s="5">
        <v>2</v>
      </c>
      <c r="E273" s="5">
        <v>2010</v>
      </c>
      <c r="F273" s="5" t="s">
        <v>26</v>
      </c>
      <c r="G273" s="5" t="s">
        <v>10</v>
      </c>
      <c r="H273" s="7">
        <v>6405</v>
      </c>
      <c r="I273" s="7">
        <v>7269</v>
      </c>
      <c r="J273" s="7">
        <v>864</v>
      </c>
      <c r="K273" s="8">
        <v>0.13489461358313817</v>
      </c>
    </row>
    <row r="274" spans="1:11" x14ac:dyDescent="0.3">
      <c r="A274" s="5" t="s">
        <v>46</v>
      </c>
      <c r="B274" s="6">
        <v>40234</v>
      </c>
      <c r="C274" s="5">
        <v>9</v>
      </c>
      <c r="D274" s="5">
        <v>2</v>
      </c>
      <c r="E274" s="5">
        <v>2010</v>
      </c>
      <c r="F274" s="5" t="s">
        <v>27</v>
      </c>
      <c r="G274" s="5" t="s">
        <v>10</v>
      </c>
      <c r="H274" s="7">
        <v>106100</v>
      </c>
      <c r="I274" s="7">
        <v>120323</v>
      </c>
      <c r="J274" s="7">
        <v>14223</v>
      </c>
      <c r="K274" s="8">
        <v>0.13405278039585297</v>
      </c>
    </row>
    <row r="275" spans="1:11" x14ac:dyDescent="0.3">
      <c r="A275" s="5" t="s">
        <v>46</v>
      </c>
      <c r="B275" s="6">
        <v>40234</v>
      </c>
      <c r="C275" s="5">
        <v>9</v>
      </c>
      <c r="D275" s="5">
        <v>2</v>
      </c>
      <c r="E275" s="5">
        <v>2010</v>
      </c>
      <c r="F275" s="5" t="s">
        <v>28</v>
      </c>
      <c r="G275" s="5" t="s">
        <v>10</v>
      </c>
      <c r="H275" s="7">
        <v>69502</v>
      </c>
      <c r="I275" s="7">
        <v>80082</v>
      </c>
      <c r="J275" s="7">
        <v>10580</v>
      </c>
      <c r="K275" s="8">
        <v>0.15222583522776323</v>
      </c>
    </row>
    <row r="276" spans="1:11" x14ac:dyDescent="0.3">
      <c r="A276" s="5" t="s">
        <v>46</v>
      </c>
      <c r="B276" s="6">
        <v>40234</v>
      </c>
      <c r="C276" s="5">
        <v>9</v>
      </c>
      <c r="D276" s="5">
        <v>2</v>
      </c>
      <c r="E276" s="5">
        <v>2010</v>
      </c>
      <c r="F276" s="5" t="s">
        <v>29</v>
      </c>
      <c r="G276" s="5" t="s">
        <v>10</v>
      </c>
      <c r="H276" s="7">
        <v>363350</v>
      </c>
      <c r="I276" s="7">
        <v>393658</v>
      </c>
      <c r="J276" s="7">
        <v>30308</v>
      </c>
      <c r="K276" s="8">
        <v>8.3412687491399476E-2</v>
      </c>
    </row>
    <row r="277" spans="1:11" x14ac:dyDescent="0.3">
      <c r="A277" s="5" t="s">
        <v>46</v>
      </c>
      <c r="B277" s="6">
        <v>40234</v>
      </c>
      <c r="C277" s="5">
        <v>9</v>
      </c>
      <c r="D277" s="5">
        <v>2</v>
      </c>
      <c r="E277" s="5">
        <v>2010</v>
      </c>
      <c r="F277" s="5" t="s">
        <v>30</v>
      </c>
      <c r="G277" s="5" t="s">
        <v>10</v>
      </c>
      <c r="H277" s="7">
        <v>63755</v>
      </c>
      <c r="I277" s="7">
        <v>72437</v>
      </c>
      <c r="J277" s="7">
        <v>8682</v>
      </c>
      <c r="K277" s="8">
        <v>0.13617755470159204</v>
      </c>
    </row>
    <row r="278" spans="1:11" x14ac:dyDescent="0.3">
      <c r="A278" s="5" t="s">
        <v>46</v>
      </c>
      <c r="B278" s="6">
        <v>40234</v>
      </c>
      <c r="C278" s="5">
        <v>9</v>
      </c>
      <c r="D278" s="5">
        <v>2</v>
      </c>
      <c r="E278" s="5">
        <v>2010</v>
      </c>
      <c r="F278" s="5" t="s">
        <v>9</v>
      </c>
      <c r="G278" s="5" t="s">
        <v>9</v>
      </c>
      <c r="H278" s="7">
        <v>407125</v>
      </c>
      <c r="I278" s="7">
        <v>506227</v>
      </c>
      <c r="J278" s="7">
        <v>99102</v>
      </c>
      <c r="K278" s="8">
        <v>0.24341909732883021</v>
      </c>
    </row>
    <row r="279" spans="1:11" x14ac:dyDescent="0.3">
      <c r="A279" s="5" t="s">
        <v>46</v>
      </c>
      <c r="B279" s="6">
        <v>40234</v>
      </c>
      <c r="C279" s="5">
        <v>9</v>
      </c>
      <c r="D279" s="5">
        <v>2</v>
      </c>
      <c r="E279" s="5">
        <v>2010</v>
      </c>
      <c r="F279" s="5" t="s">
        <v>31</v>
      </c>
      <c r="G279" s="5" t="s">
        <v>7</v>
      </c>
      <c r="H279" s="7">
        <v>69776</v>
      </c>
      <c r="I279" s="7">
        <v>79295</v>
      </c>
      <c r="J279" s="7">
        <v>9519</v>
      </c>
      <c r="K279" s="8">
        <v>0.13642226553542766</v>
      </c>
    </row>
    <row r="280" spans="1:11" x14ac:dyDescent="0.3">
      <c r="A280" s="5" t="s">
        <v>46</v>
      </c>
      <c r="B280" s="6">
        <v>40234</v>
      </c>
      <c r="C280" s="5">
        <v>9</v>
      </c>
      <c r="D280" s="5">
        <v>2</v>
      </c>
      <c r="E280" s="5">
        <v>2010</v>
      </c>
      <c r="F280" s="5" t="s">
        <v>33</v>
      </c>
      <c r="G280" s="5" t="s">
        <v>7</v>
      </c>
      <c r="H280" s="7">
        <v>51914</v>
      </c>
      <c r="I280" s="7">
        <v>95791</v>
      </c>
      <c r="J280" s="7">
        <v>43877</v>
      </c>
      <c r="K280" s="8">
        <v>0.84518626959972265</v>
      </c>
    </row>
    <row r="281" spans="1:11" x14ac:dyDescent="0.3">
      <c r="A281" s="5" t="s">
        <v>46</v>
      </c>
      <c r="B281" s="6">
        <v>40234</v>
      </c>
      <c r="C281" s="5">
        <v>9</v>
      </c>
      <c r="D281" s="5">
        <v>2</v>
      </c>
      <c r="E281" s="5">
        <v>2010</v>
      </c>
      <c r="F281" s="5" t="s">
        <v>34</v>
      </c>
      <c r="G281" s="5" t="s">
        <v>7</v>
      </c>
      <c r="H281" s="7">
        <v>3376</v>
      </c>
      <c r="I281" s="7">
        <v>3781</v>
      </c>
      <c r="J281" s="7">
        <v>405</v>
      </c>
      <c r="K281" s="8">
        <v>0.11996445497630331</v>
      </c>
    </row>
    <row r="282" spans="1:11" x14ac:dyDescent="0.3">
      <c r="A282" s="5" t="s">
        <v>46</v>
      </c>
      <c r="B282" s="6">
        <v>40234</v>
      </c>
      <c r="C282" s="5">
        <v>9</v>
      </c>
      <c r="D282" s="5">
        <v>2</v>
      </c>
      <c r="E282" s="5">
        <v>2010</v>
      </c>
      <c r="F282" s="5" t="s">
        <v>35</v>
      </c>
      <c r="G282" s="5" t="s">
        <v>11</v>
      </c>
      <c r="H282" s="7">
        <v>4485</v>
      </c>
      <c r="I282" s="7">
        <v>5516</v>
      </c>
      <c r="J282" s="7">
        <v>1031</v>
      </c>
      <c r="K282" s="8">
        <v>0.22987736900780378</v>
      </c>
    </row>
    <row r="283" spans="1:11" x14ac:dyDescent="0.3">
      <c r="A283" s="5" t="s">
        <v>46</v>
      </c>
      <c r="B283" s="6">
        <v>40234</v>
      </c>
      <c r="C283" s="5">
        <v>9</v>
      </c>
      <c r="D283" s="5">
        <v>2</v>
      </c>
      <c r="E283" s="5">
        <v>2010</v>
      </c>
      <c r="F283" s="5" t="s">
        <v>36</v>
      </c>
      <c r="G283" s="5" t="s">
        <v>11</v>
      </c>
      <c r="H283" s="7">
        <v>110035</v>
      </c>
      <c r="I283" s="7">
        <v>120645</v>
      </c>
      <c r="J283" s="7">
        <v>10610</v>
      </c>
      <c r="K283" s="8">
        <v>9.6423865133821063E-2</v>
      </c>
    </row>
    <row r="284" spans="1:11" x14ac:dyDescent="0.3">
      <c r="A284" s="5" t="s">
        <v>46</v>
      </c>
      <c r="B284" s="6">
        <v>40234</v>
      </c>
      <c r="C284" s="5">
        <v>9</v>
      </c>
      <c r="D284" s="5">
        <v>2</v>
      </c>
      <c r="E284" s="5">
        <v>2010</v>
      </c>
      <c r="F284" s="5" t="s">
        <v>37</v>
      </c>
      <c r="G284" s="5" t="s">
        <v>11</v>
      </c>
      <c r="H284" s="7">
        <v>232506</v>
      </c>
      <c r="I284" s="7">
        <v>251392</v>
      </c>
      <c r="J284" s="7">
        <v>18886</v>
      </c>
      <c r="K284" s="8">
        <v>8.1228011320137974E-2</v>
      </c>
    </row>
    <row r="285" spans="1:11" x14ac:dyDescent="0.3">
      <c r="A285" s="5" t="s">
        <v>46</v>
      </c>
      <c r="B285" s="6">
        <v>40234</v>
      </c>
      <c r="C285" s="5">
        <v>9</v>
      </c>
      <c r="D285" s="5">
        <v>2</v>
      </c>
      <c r="E285" s="5">
        <v>2010</v>
      </c>
      <c r="F285" s="5" t="s">
        <v>38</v>
      </c>
      <c r="G285" s="5" t="s">
        <v>11</v>
      </c>
      <c r="H285" s="7">
        <v>225013</v>
      </c>
      <c r="I285" s="7">
        <v>240200</v>
      </c>
      <c r="J285" s="7">
        <v>15187</v>
      </c>
      <c r="K285" s="8">
        <v>6.7493878131485732E-2</v>
      </c>
    </row>
    <row r="286" spans="1:11" x14ac:dyDescent="0.3">
      <c r="A286" s="5" t="s">
        <v>46</v>
      </c>
      <c r="B286" s="6">
        <v>40235</v>
      </c>
      <c r="C286" s="5">
        <v>9</v>
      </c>
      <c r="D286" s="5">
        <v>2</v>
      </c>
      <c r="E286" s="5">
        <v>2010</v>
      </c>
      <c r="F286" s="5" t="s">
        <v>14</v>
      </c>
      <c r="G286" s="5" t="s">
        <v>6</v>
      </c>
      <c r="H286" s="7">
        <v>18760</v>
      </c>
      <c r="I286" s="7">
        <v>21191</v>
      </c>
      <c r="J286" s="7">
        <v>2431</v>
      </c>
      <c r="K286" s="8">
        <v>0.12958422174840084</v>
      </c>
    </row>
    <row r="287" spans="1:11" x14ac:dyDescent="0.3">
      <c r="A287" s="5" t="s">
        <v>46</v>
      </c>
      <c r="B287" s="6">
        <v>40235</v>
      </c>
      <c r="C287" s="5">
        <v>9</v>
      </c>
      <c r="D287" s="5">
        <v>2</v>
      </c>
      <c r="E287" s="5">
        <v>2010</v>
      </c>
      <c r="F287" s="5" t="s">
        <v>15</v>
      </c>
      <c r="G287" s="5" t="s">
        <v>6</v>
      </c>
      <c r="H287" s="7">
        <v>236557</v>
      </c>
      <c r="I287" s="7">
        <v>270543</v>
      </c>
      <c r="J287" s="7">
        <v>33986</v>
      </c>
      <c r="K287" s="8">
        <v>0.14366939046403193</v>
      </c>
    </row>
    <row r="288" spans="1:11" x14ac:dyDescent="0.3">
      <c r="A288" s="5" t="s">
        <v>46</v>
      </c>
      <c r="B288" s="6">
        <v>40235</v>
      </c>
      <c r="C288" s="5">
        <v>9</v>
      </c>
      <c r="D288" s="5">
        <v>2</v>
      </c>
      <c r="E288" s="5">
        <v>2010</v>
      </c>
      <c r="F288" s="5" t="s">
        <v>16</v>
      </c>
      <c r="G288" s="5" t="s">
        <v>6</v>
      </c>
      <c r="H288" s="7">
        <v>73441</v>
      </c>
      <c r="I288" s="7">
        <v>82601</v>
      </c>
      <c r="J288" s="7">
        <v>9160</v>
      </c>
      <c r="K288" s="8">
        <v>0.12472597050693754</v>
      </c>
    </row>
    <row r="289" spans="1:11" x14ac:dyDescent="0.3">
      <c r="A289" s="5" t="s">
        <v>46</v>
      </c>
      <c r="B289" s="6">
        <v>40235</v>
      </c>
      <c r="C289" s="5">
        <v>9</v>
      </c>
      <c r="D289" s="5">
        <v>2</v>
      </c>
      <c r="E289" s="5">
        <v>2010</v>
      </c>
      <c r="F289" s="5" t="s">
        <v>17</v>
      </c>
      <c r="G289" s="5" t="s">
        <v>6</v>
      </c>
      <c r="H289" s="7">
        <v>1896</v>
      </c>
      <c r="I289" s="7">
        <v>2089</v>
      </c>
      <c r="J289" s="7">
        <v>193</v>
      </c>
      <c r="K289" s="8">
        <v>0.10179324894514769</v>
      </c>
    </row>
    <row r="290" spans="1:11" x14ac:dyDescent="0.3">
      <c r="A290" s="5" t="s">
        <v>46</v>
      </c>
      <c r="B290" s="6">
        <v>40235</v>
      </c>
      <c r="C290" s="5">
        <v>9</v>
      </c>
      <c r="D290" s="5">
        <v>2</v>
      </c>
      <c r="E290" s="5">
        <v>2010</v>
      </c>
      <c r="F290" s="5" t="s">
        <v>18</v>
      </c>
      <c r="G290" s="5" t="s">
        <v>6</v>
      </c>
      <c r="H290" s="7">
        <v>16388</v>
      </c>
      <c r="I290" s="7">
        <v>18512</v>
      </c>
      <c r="J290" s="7">
        <v>2124</v>
      </c>
      <c r="K290" s="8">
        <v>0.12960702953380523</v>
      </c>
    </row>
    <row r="291" spans="1:11" x14ac:dyDescent="0.3">
      <c r="A291" s="5" t="s">
        <v>46</v>
      </c>
      <c r="B291" s="6">
        <v>40235</v>
      </c>
      <c r="C291" s="5">
        <v>9</v>
      </c>
      <c r="D291" s="5">
        <v>2</v>
      </c>
      <c r="E291" s="5">
        <v>2010</v>
      </c>
      <c r="F291" s="5" t="s">
        <v>19</v>
      </c>
      <c r="G291" s="5" t="s">
        <v>5</v>
      </c>
      <c r="H291" s="7">
        <v>174681</v>
      </c>
      <c r="I291" s="7">
        <v>192388</v>
      </c>
      <c r="J291" s="7">
        <v>17707</v>
      </c>
      <c r="K291" s="8">
        <v>0.10136763586194263</v>
      </c>
    </row>
    <row r="292" spans="1:11" x14ac:dyDescent="0.3">
      <c r="A292" s="5" t="s">
        <v>46</v>
      </c>
      <c r="B292" s="6">
        <v>40235</v>
      </c>
      <c r="C292" s="5">
        <v>9</v>
      </c>
      <c r="D292" s="5">
        <v>2</v>
      </c>
      <c r="E292" s="5">
        <v>2010</v>
      </c>
      <c r="F292" s="5" t="s">
        <v>5</v>
      </c>
      <c r="G292" s="5" t="s">
        <v>5</v>
      </c>
      <c r="H292" s="7">
        <v>530962</v>
      </c>
      <c r="I292" s="7">
        <v>557069</v>
      </c>
      <c r="J292" s="7">
        <v>26107</v>
      </c>
      <c r="K292" s="8">
        <v>4.9169243750023545E-2</v>
      </c>
    </row>
    <row r="293" spans="1:11" x14ac:dyDescent="0.3">
      <c r="A293" s="5" t="s">
        <v>46</v>
      </c>
      <c r="B293" s="6">
        <v>40235</v>
      </c>
      <c r="C293" s="5">
        <v>9</v>
      </c>
      <c r="D293" s="5">
        <v>2</v>
      </c>
      <c r="E293" s="5">
        <v>2010</v>
      </c>
      <c r="F293" s="5" t="s">
        <v>20</v>
      </c>
      <c r="G293" s="5" t="s">
        <v>5</v>
      </c>
      <c r="H293" s="7">
        <v>105365</v>
      </c>
      <c r="I293" s="7">
        <v>115550</v>
      </c>
      <c r="J293" s="7">
        <v>10185</v>
      </c>
      <c r="K293" s="8">
        <v>9.6663977601670378E-2</v>
      </c>
    </row>
    <row r="294" spans="1:11" x14ac:dyDescent="0.3">
      <c r="A294" s="5" t="s">
        <v>46</v>
      </c>
      <c r="B294" s="6">
        <v>40235</v>
      </c>
      <c r="C294" s="5">
        <v>9</v>
      </c>
      <c r="D294" s="5">
        <v>2</v>
      </c>
      <c r="E294" s="5">
        <v>2010</v>
      </c>
      <c r="F294" s="5" t="s">
        <v>21</v>
      </c>
      <c r="G294" s="5" t="s">
        <v>5</v>
      </c>
      <c r="H294" s="7">
        <v>165857</v>
      </c>
      <c r="I294" s="7">
        <v>174315</v>
      </c>
      <c r="J294" s="7">
        <v>8458</v>
      </c>
      <c r="K294" s="8">
        <v>5.0995737291763384E-2</v>
      </c>
    </row>
    <row r="295" spans="1:11" x14ac:dyDescent="0.3">
      <c r="A295" s="5" t="s">
        <v>46</v>
      </c>
      <c r="B295" s="6">
        <v>40235</v>
      </c>
      <c r="C295" s="5">
        <v>9</v>
      </c>
      <c r="D295" s="5">
        <v>2</v>
      </c>
      <c r="E295" s="5">
        <v>2010</v>
      </c>
      <c r="F295" s="5" t="s">
        <v>22</v>
      </c>
      <c r="G295" s="5" t="s">
        <v>8</v>
      </c>
      <c r="H295" s="7">
        <v>517063</v>
      </c>
      <c r="I295" s="7">
        <v>557297</v>
      </c>
      <c r="J295" s="7">
        <v>40234</v>
      </c>
      <c r="K295" s="8">
        <v>7.7812568294385792E-2</v>
      </c>
    </row>
    <row r="296" spans="1:11" x14ac:dyDescent="0.3">
      <c r="A296" s="5" t="s">
        <v>46</v>
      </c>
      <c r="B296" s="6">
        <v>40235</v>
      </c>
      <c r="C296" s="5">
        <v>9</v>
      </c>
      <c r="D296" s="5">
        <v>2</v>
      </c>
      <c r="E296" s="5">
        <v>2010</v>
      </c>
      <c r="F296" s="5" t="s">
        <v>23</v>
      </c>
      <c r="G296" s="5" t="s">
        <v>8</v>
      </c>
      <c r="H296" s="7">
        <v>147206</v>
      </c>
      <c r="I296" s="7">
        <v>153687</v>
      </c>
      <c r="J296" s="7">
        <v>6481</v>
      </c>
      <c r="K296" s="8">
        <v>4.4026738040568995E-2</v>
      </c>
    </row>
    <row r="297" spans="1:11" x14ac:dyDescent="0.3">
      <c r="A297" s="5" t="s">
        <v>46</v>
      </c>
      <c r="B297" s="6">
        <v>40235</v>
      </c>
      <c r="C297" s="5">
        <v>9</v>
      </c>
      <c r="D297" s="5">
        <v>2</v>
      </c>
      <c r="E297" s="5">
        <v>2010</v>
      </c>
      <c r="F297" s="5" t="s">
        <v>24</v>
      </c>
      <c r="G297" s="5" t="s">
        <v>8</v>
      </c>
      <c r="H297" s="7">
        <v>144921</v>
      </c>
      <c r="I297" s="7">
        <v>156027</v>
      </c>
      <c r="J297" s="7">
        <v>11106</v>
      </c>
      <c r="K297" s="8">
        <v>7.663485623201606E-2</v>
      </c>
    </row>
    <row r="298" spans="1:11" x14ac:dyDescent="0.3">
      <c r="A298" s="5" t="s">
        <v>46</v>
      </c>
      <c r="B298" s="6">
        <v>40235</v>
      </c>
      <c r="C298" s="5">
        <v>9</v>
      </c>
      <c r="D298" s="5">
        <v>2</v>
      </c>
      <c r="E298" s="5">
        <v>2010</v>
      </c>
      <c r="F298" s="5" t="s">
        <v>25</v>
      </c>
      <c r="G298" s="5" t="s">
        <v>8</v>
      </c>
      <c r="H298" s="7">
        <v>6412</v>
      </c>
      <c r="I298" s="7">
        <v>6929</v>
      </c>
      <c r="J298" s="7">
        <v>517</v>
      </c>
      <c r="K298" s="8">
        <v>8.0630068621334997E-2</v>
      </c>
    </row>
    <row r="299" spans="1:11" x14ac:dyDescent="0.3">
      <c r="A299" s="5" t="s">
        <v>46</v>
      </c>
      <c r="B299" s="6">
        <v>40235</v>
      </c>
      <c r="C299" s="5">
        <v>9</v>
      </c>
      <c r="D299" s="5">
        <v>2</v>
      </c>
      <c r="E299" s="5">
        <v>2010</v>
      </c>
      <c r="F299" s="5" t="s">
        <v>26</v>
      </c>
      <c r="G299" s="5" t="s">
        <v>10</v>
      </c>
      <c r="H299" s="7">
        <v>12686</v>
      </c>
      <c r="I299" s="7">
        <v>14202</v>
      </c>
      <c r="J299" s="7">
        <v>1516</v>
      </c>
      <c r="K299" s="8">
        <v>0.11950181302222923</v>
      </c>
    </row>
    <row r="300" spans="1:11" x14ac:dyDescent="0.3">
      <c r="A300" s="5" t="s">
        <v>46</v>
      </c>
      <c r="B300" s="6">
        <v>40235</v>
      </c>
      <c r="C300" s="5">
        <v>9</v>
      </c>
      <c r="D300" s="5">
        <v>2</v>
      </c>
      <c r="E300" s="5">
        <v>2010</v>
      </c>
      <c r="F300" s="5" t="s">
        <v>27</v>
      </c>
      <c r="G300" s="5" t="s">
        <v>10</v>
      </c>
      <c r="H300" s="7">
        <v>129315</v>
      </c>
      <c r="I300" s="7">
        <v>146541</v>
      </c>
      <c r="J300" s="7">
        <v>17226</v>
      </c>
      <c r="K300" s="8">
        <v>0.13320960445423966</v>
      </c>
    </row>
    <row r="301" spans="1:11" x14ac:dyDescent="0.3">
      <c r="A301" s="5" t="s">
        <v>46</v>
      </c>
      <c r="B301" s="6">
        <v>40235</v>
      </c>
      <c r="C301" s="5">
        <v>9</v>
      </c>
      <c r="D301" s="5">
        <v>2</v>
      </c>
      <c r="E301" s="5">
        <v>2010</v>
      </c>
      <c r="F301" s="5" t="s">
        <v>28</v>
      </c>
      <c r="G301" s="5" t="s">
        <v>10</v>
      </c>
      <c r="H301" s="7">
        <v>103553</v>
      </c>
      <c r="I301" s="7">
        <v>118907</v>
      </c>
      <c r="J301" s="7">
        <v>15354</v>
      </c>
      <c r="K301" s="8">
        <v>0.14827189941382674</v>
      </c>
    </row>
    <row r="302" spans="1:11" x14ac:dyDescent="0.3">
      <c r="A302" s="5" t="s">
        <v>46</v>
      </c>
      <c r="B302" s="6">
        <v>40235</v>
      </c>
      <c r="C302" s="5">
        <v>9</v>
      </c>
      <c r="D302" s="5">
        <v>2</v>
      </c>
      <c r="E302" s="5">
        <v>2010</v>
      </c>
      <c r="F302" s="5" t="s">
        <v>29</v>
      </c>
      <c r="G302" s="5" t="s">
        <v>10</v>
      </c>
      <c r="H302" s="7">
        <v>464056</v>
      </c>
      <c r="I302" s="7">
        <v>505181</v>
      </c>
      <c r="J302" s="7">
        <v>41125</v>
      </c>
      <c r="K302" s="8">
        <v>8.8620769907080177E-2</v>
      </c>
    </row>
    <row r="303" spans="1:11" x14ac:dyDescent="0.3">
      <c r="A303" s="5" t="s">
        <v>46</v>
      </c>
      <c r="B303" s="6">
        <v>40235</v>
      </c>
      <c r="C303" s="5">
        <v>9</v>
      </c>
      <c r="D303" s="5">
        <v>2</v>
      </c>
      <c r="E303" s="5">
        <v>2010</v>
      </c>
      <c r="F303" s="5" t="s">
        <v>30</v>
      </c>
      <c r="G303" s="5" t="s">
        <v>10</v>
      </c>
      <c r="H303" s="7">
        <v>104295</v>
      </c>
      <c r="I303" s="7">
        <v>118413</v>
      </c>
      <c r="J303" s="7">
        <v>14118</v>
      </c>
      <c r="K303" s="8">
        <v>0.13536602905220768</v>
      </c>
    </row>
    <row r="304" spans="1:11" x14ac:dyDescent="0.3">
      <c r="A304" s="5" t="s">
        <v>46</v>
      </c>
      <c r="B304" s="6">
        <v>40235</v>
      </c>
      <c r="C304" s="5">
        <v>9</v>
      </c>
      <c r="D304" s="5">
        <v>2</v>
      </c>
      <c r="E304" s="5">
        <v>2010</v>
      </c>
      <c r="F304" s="5" t="s">
        <v>9</v>
      </c>
      <c r="G304" s="5" t="s">
        <v>9</v>
      </c>
      <c r="H304" s="7">
        <v>484937</v>
      </c>
      <c r="I304" s="7">
        <v>589314</v>
      </c>
      <c r="J304" s="7">
        <v>104377</v>
      </c>
      <c r="K304" s="8">
        <v>0.21523826806368662</v>
      </c>
    </row>
    <row r="305" spans="1:11" x14ac:dyDescent="0.3">
      <c r="A305" s="5" t="s">
        <v>46</v>
      </c>
      <c r="B305" s="6">
        <v>40235</v>
      </c>
      <c r="C305" s="5">
        <v>9</v>
      </c>
      <c r="D305" s="5">
        <v>2</v>
      </c>
      <c r="E305" s="5">
        <v>2010</v>
      </c>
      <c r="F305" s="5" t="s">
        <v>31</v>
      </c>
      <c r="G305" s="5" t="s">
        <v>7</v>
      </c>
      <c r="H305" s="7">
        <v>78854</v>
      </c>
      <c r="I305" s="7">
        <v>90318</v>
      </c>
      <c r="J305" s="7">
        <v>11464</v>
      </c>
      <c r="K305" s="8">
        <v>0.14538260582849316</v>
      </c>
    </row>
    <row r="306" spans="1:11" x14ac:dyDescent="0.3">
      <c r="A306" s="5" t="s">
        <v>46</v>
      </c>
      <c r="B306" s="6">
        <v>40235</v>
      </c>
      <c r="C306" s="5">
        <v>9</v>
      </c>
      <c r="D306" s="5">
        <v>2</v>
      </c>
      <c r="E306" s="5">
        <v>2010</v>
      </c>
      <c r="F306" s="5" t="s">
        <v>33</v>
      </c>
      <c r="G306" s="5" t="s">
        <v>7</v>
      </c>
      <c r="H306" s="7">
        <v>63125</v>
      </c>
      <c r="I306" s="7">
        <v>114545</v>
      </c>
      <c r="J306" s="7">
        <v>51420</v>
      </c>
      <c r="K306" s="8">
        <v>0.81457425742574252</v>
      </c>
    </row>
    <row r="307" spans="1:11" x14ac:dyDescent="0.3">
      <c r="A307" s="5" t="s">
        <v>46</v>
      </c>
      <c r="B307" s="6">
        <v>40235</v>
      </c>
      <c r="C307" s="5">
        <v>9</v>
      </c>
      <c r="D307" s="5">
        <v>2</v>
      </c>
      <c r="E307" s="5">
        <v>2010</v>
      </c>
      <c r="F307" s="5" t="s">
        <v>34</v>
      </c>
      <c r="G307" s="5" t="s">
        <v>7</v>
      </c>
      <c r="H307" s="7">
        <v>3701</v>
      </c>
      <c r="I307" s="7">
        <v>4145</v>
      </c>
      <c r="J307" s="7">
        <v>444</v>
      </c>
      <c r="K307" s="8">
        <v>0.11996757633072143</v>
      </c>
    </row>
    <row r="308" spans="1:11" x14ac:dyDescent="0.3">
      <c r="A308" s="5" t="s">
        <v>46</v>
      </c>
      <c r="B308" s="6">
        <v>40235</v>
      </c>
      <c r="C308" s="5">
        <v>9</v>
      </c>
      <c r="D308" s="5">
        <v>2</v>
      </c>
      <c r="E308" s="5">
        <v>2010</v>
      </c>
      <c r="F308" s="5" t="s">
        <v>35</v>
      </c>
      <c r="G308" s="5" t="s">
        <v>11</v>
      </c>
      <c r="H308" s="7">
        <v>11037</v>
      </c>
      <c r="I308" s="7">
        <v>13028</v>
      </c>
      <c r="J308" s="7">
        <v>1991</v>
      </c>
      <c r="K308" s="8">
        <v>0.18039322279604966</v>
      </c>
    </row>
    <row r="309" spans="1:11" x14ac:dyDescent="0.3">
      <c r="A309" s="5" t="s">
        <v>46</v>
      </c>
      <c r="B309" s="6">
        <v>40235</v>
      </c>
      <c r="C309" s="5">
        <v>9</v>
      </c>
      <c r="D309" s="5">
        <v>2</v>
      </c>
      <c r="E309" s="5">
        <v>2010</v>
      </c>
      <c r="F309" s="5" t="s">
        <v>36</v>
      </c>
      <c r="G309" s="5" t="s">
        <v>11</v>
      </c>
      <c r="H309" s="7">
        <v>112349</v>
      </c>
      <c r="I309" s="7">
        <v>124623</v>
      </c>
      <c r="J309" s="7">
        <v>12274</v>
      </c>
      <c r="K309" s="8">
        <v>0.10924885846781013</v>
      </c>
    </row>
    <row r="310" spans="1:11" x14ac:dyDescent="0.3">
      <c r="A310" s="5" t="s">
        <v>46</v>
      </c>
      <c r="B310" s="6">
        <v>40235</v>
      </c>
      <c r="C310" s="5">
        <v>9</v>
      </c>
      <c r="D310" s="5">
        <v>2</v>
      </c>
      <c r="E310" s="5">
        <v>2010</v>
      </c>
      <c r="F310" s="5" t="s">
        <v>37</v>
      </c>
      <c r="G310" s="5" t="s">
        <v>11</v>
      </c>
      <c r="H310" s="7">
        <v>267236</v>
      </c>
      <c r="I310" s="7">
        <v>291288</v>
      </c>
      <c r="J310" s="7">
        <v>24052</v>
      </c>
      <c r="K310" s="8">
        <v>9.0002843928213269E-2</v>
      </c>
    </row>
    <row r="311" spans="1:11" x14ac:dyDescent="0.3">
      <c r="A311" s="5" t="s">
        <v>46</v>
      </c>
      <c r="B311" s="6">
        <v>40235</v>
      </c>
      <c r="C311" s="5">
        <v>9</v>
      </c>
      <c r="D311" s="5">
        <v>2</v>
      </c>
      <c r="E311" s="5">
        <v>2010</v>
      </c>
      <c r="F311" s="5" t="s">
        <v>38</v>
      </c>
      <c r="G311" s="5" t="s">
        <v>11</v>
      </c>
      <c r="H311" s="7">
        <v>277371</v>
      </c>
      <c r="I311" s="7">
        <v>297206</v>
      </c>
      <c r="J311" s="7">
        <v>19835</v>
      </c>
      <c r="K311" s="8">
        <v>7.1510720298805577E-2</v>
      </c>
    </row>
    <row r="312" spans="1:11" x14ac:dyDescent="0.3">
      <c r="A312" s="5" t="s">
        <v>46</v>
      </c>
      <c r="B312" s="6">
        <v>40236</v>
      </c>
      <c r="C312" s="5">
        <v>9</v>
      </c>
      <c r="D312" s="5">
        <v>2</v>
      </c>
      <c r="E312" s="5">
        <v>2010</v>
      </c>
      <c r="F312" s="5" t="s">
        <v>14</v>
      </c>
      <c r="G312" s="5" t="s">
        <v>6</v>
      </c>
      <c r="H312" s="7">
        <v>25085</v>
      </c>
      <c r="I312" s="7">
        <v>28344</v>
      </c>
      <c r="J312" s="7">
        <v>3259</v>
      </c>
      <c r="K312" s="8">
        <v>0.129918277855292</v>
      </c>
    </row>
    <row r="313" spans="1:11" x14ac:dyDescent="0.3">
      <c r="A313" s="5" t="s">
        <v>46</v>
      </c>
      <c r="B313" s="6">
        <v>40236</v>
      </c>
      <c r="C313" s="5">
        <v>9</v>
      </c>
      <c r="D313" s="5">
        <v>2</v>
      </c>
      <c r="E313" s="5">
        <v>2010</v>
      </c>
      <c r="F313" s="5" t="s">
        <v>15</v>
      </c>
      <c r="G313" s="5" t="s">
        <v>6</v>
      </c>
      <c r="H313" s="7">
        <v>342678</v>
      </c>
      <c r="I313" s="7">
        <v>396341</v>
      </c>
      <c r="J313" s="7">
        <v>53663</v>
      </c>
      <c r="K313" s="8">
        <v>0.15659890626185516</v>
      </c>
    </row>
    <row r="314" spans="1:11" x14ac:dyDescent="0.3">
      <c r="A314" s="5" t="s">
        <v>46</v>
      </c>
      <c r="B314" s="6">
        <v>40236</v>
      </c>
      <c r="C314" s="5">
        <v>9</v>
      </c>
      <c r="D314" s="5">
        <v>2</v>
      </c>
      <c r="E314" s="5">
        <v>2010</v>
      </c>
      <c r="F314" s="5" t="s">
        <v>16</v>
      </c>
      <c r="G314" s="5" t="s">
        <v>6</v>
      </c>
      <c r="H314" s="7">
        <v>105622</v>
      </c>
      <c r="I314" s="7">
        <v>119298</v>
      </c>
      <c r="J314" s="7">
        <v>13676</v>
      </c>
      <c r="K314" s="8">
        <v>0.12948060063244399</v>
      </c>
    </row>
    <row r="315" spans="1:11" x14ac:dyDescent="0.3">
      <c r="A315" s="5" t="s">
        <v>46</v>
      </c>
      <c r="B315" s="6">
        <v>40236</v>
      </c>
      <c r="C315" s="5">
        <v>9</v>
      </c>
      <c r="D315" s="5">
        <v>2</v>
      </c>
      <c r="E315" s="5">
        <v>2010</v>
      </c>
      <c r="F315" s="5" t="s">
        <v>17</v>
      </c>
      <c r="G315" s="5" t="s">
        <v>6</v>
      </c>
      <c r="H315" s="7">
        <v>3155</v>
      </c>
      <c r="I315" s="7">
        <v>3677</v>
      </c>
      <c r="J315" s="7">
        <v>522</v>
      </c>
      <c r="K315" s="8">
        <v>0.16545166402535658</v>
      </c>
    </row>
    <row r="316" spans="1:11" x14ac:dyDescent="0.3">
      <c r="A316" s="5" t="s">
        <v>46</v>
      </c>
      <c r="B316" s="6">
        <v>40236</v>
      </c>
      <c r="C316" s="5">
        <v>9</v>
      </c>
      <c r="D316" s="5">
        <v>2</v>
      </c>
      <c r="E316" s="5">
        <v>2010</v>
      </c>
      <c r="F316" s="5" t="s">
        <v>18</v>
      </c>
      <c r="G316" s="5" t="s">
        <v>6</v>
      </c>
      <c r="H316" s="7">
        <v>39559</v>
      </c>
      <c r="I316" s="7">
        <v>43907</v>
      </c>
      <c r="J316" s="7">
        <v>4348</v>
      </c>
      <c r="K316" s="8">
        <v>0.10991177734523118</v>
      </c>
    </row>
    <row r="317" spans="1:11" x14ac:dyDescent="0.3">
      <c r="A317" s="5" t="s">
        <v>46</v>
      </c>
      <c r="B317" s="6">
        <v>40236</v>
      </c>
      <c r="C317" s="5">
        <v>9</v>
      </c>
      <c r="D317" s="5">
        <v>2</v>
      </c>
      <c r="E317" s="5">
        <v>2010</v>
      </c>
      <c r="F317" s="5" t="s">
        <v>19</v>
      </c>
      <c r="G317" s="5" t="s">
        <v>5</v>
      </c>
      <c r="H317" s="7">
        <v>222525</v>
      </c>
      <c r="I317" s="7">
        <v>247333</v>
      </c>
      <c r="J317" s="7">
        <v>24808</v>
      </c>
      <c r="K317" s="8">
        <v>0.11148410290978542</v>
      </c>
    </row>
    <row r="318" spans="1:11" x14ac:dyDescent="0.3">
      <c r="A318" s="5" t="s">
        <v>46</v>
      </c>
      <c r="B318" s="6">
        <v>40236</v>
      </c>
      <c r="C318" s="5">
        <v>9</v>
      </c>
      <c r="D318" s="5">
        <v>2</v>
      </c>
      <c r="E318" s="5">
        <v>2010</v>
      </c>
      <c r="F318" s="5" t="s">
        <v>5</v>
      </c>
      <c r="G318" s="5" t="s">
        <v>5</v>
      </c>
      <c r="H318" s="7">
        <v>767307</v>
      </c>
      <c r="I318" s="7">
        <v>811559</v>
      </c>
      <c r="J318" s="7">
        <v>44252</v>
      </c>
      <c r="K318" s="8">
        <v>5.7671831483356729E-2</v>
      </c>
    </row>
    <row r="319" spans="1:11" x14ac:dyDescent="0.3">
      <c r="A319" s="5" t="s">
        <v>46</v>
      </c>
      <c r="B319" s="6">
        <v>40236</v>
      </c>
      <c r="C319" s="5">
        <v>9</v>
      </c>
      <c r="D319" s="5">
        <v>2</v>
      </c>
      <c r="E319" s="5">
        <v>2010</v>
      </c>
      <c r="F319" s="5" t="s">
        <v>20</v>
      </c>
      <c r="G319" s="5" t="s">
        <v>5</v>
      </c>
      <c r="H319" s="7">
        <v>164344</v>
      </c>
      <c r="I319" s="7">
        <v>180826</v>
      </c>
      <c r="J319" s="7">
        <v>16482</v>
      </c>
      <c r="K319" s="8">
        <v>0.10028963637248697</v>
      </c>
    </row>
    <row r="320" spans="1:11" x14ac:dyDescent="0.3">
      <c r="A320" s="5" t="s">
        <v>46</v>
      </c>
      <c r="B320" s="6">
        <v>40236</v>
      </c>
      <c r="C320" s="5">
        <v>9</v>
      </c>
      <c r="D320" s="5">
        <v>2</v>
      </c>
      <c r="E320" s="5">
        <v>2010</v>
      </c>
      <c r="F320" s="5" t="s">
        <v>21</v>
      </c>
      <c r="G320" s="5" t="s">
        <v>5</v>
      </c>
      <c r="H320" s="7">
        <v>321561</v>
      </c>
      <c r="I320" s="7">
        <v>335234</v>
      </c>
      <c r="J320" s="7">
        <v>13673</v>
      </c>
      <c r="K320" s="8">
        <v>4.2520703692300994E-2</v>
      </c>
    </row>
    <row r="321" spans="1:11" x14ac:dyDescent="0.3">
      <c r="A321" s="5" t="s">
        <v>46</v>
      </c>
      <c r="B321" s="6">
        <v>40236</v>
      </c>
      <c r="C321" s="5">
        <v>9</v>
      </c>
      <c r="D321" s="5">
        <v>2</v>
      </c>
      <c r="E321" s="5">
        <v>2010</v>
      </c>
      <c r="F321" s="5" t="s">
        <v>22</v>
      </c>
      <c r="G321" s="5" t="s">
        <v>8</v>
      </c>
      <c r="H321" s="7">
        <v>578937</v>
      </c>
      <c r="I321" s="7">
        <v>626876</v>
      </c>
      <c r="J321" s="7">
        <v>47939</v>
      </c>
      <c r="K321" s="8">
        <v>8.2805210238765178E-2</v>
      </c>
    </row>
    <row r="322" spans="1:11" x14ac:dyDescent="0.3">
      <c r="A322" s="5" t="s">
        <v>46</v>
      </c>
      <c r="B322" s="6">
        <v>40236</v>
      </c>
      <c r="C322" s="5">
        <v>9</v>
      </c>
      <c r="D322" s="5">
        <v>2</v>
      </c>
      <c r="E322" s="5">
        <v>2010</v>
      </c>
      <c r="F322" s="5" t="s">
        <v>23</v>
      </c>
      <c r="G322" s="5" t="s">
        <v>8</v>
      </c>
      <c r="H322" s="7">
        <v>220817</v>
      </c>
      <c r="I322" s="7">
        <v>228944</v>
      </c>
      <c r="J322" s="7">
        <v>8127</v>
      </c>
      <c r="K322" s="8">
        <v>3.6804231558258647E-2</v>
      </c>
    </row>
    <row r="323" spans="1:11" x14ac:dyDescent="0.3">
      <c r="A323" s="5" t="s">
        <v>46</v>
      </c>
      <c r="B323" s="6">
        <v>40236</v>
      </c>
      <c r="C323" s="5">
        <v>9</v>
      </c>
      <c r="D323" s="5">
        <v>2</v>
      </c>
      <c r="E323" s="5">
        <v>2010</v>
      </c>
      <c r="F323" s="5" t="s">
        <v>24</v>
      </c>
      <c r="G323" s="5" t="s">
        <v>8</v>
      </c>
      <c r="H323" s="7">
        <v>219167</v>
      </c>
      <c r="I323" s="7">
        <v>238044</v>
      </c>
      <c r="J323" s="7">
        <v>18877</v>
      </c>
      <c r="K323" s="8">
        <v>8.6130667481874548E-2</v>
      </c>
    </row>
    <row r="324" spans="1:11" x14ac:dyDescent="0.3">
      <c r="A324" s="5" t="s">
        <v>46</v>
      </c>
      <c r="B324" s="6">
        <v>40236</v>
      </c>
      <c r="C324" s="5">
        <v>9</v>
      </c>
      <c r="D324" s="5">
        <v>2</v>
      </c>
      <c r="E324" s="5">
        <v>2010</v>
      </c>
      <c r="F324" s="5" t="s">
        <v>25</v>
      </c>
      <c r="G324" s="5" t="s">
        <v>8</v>
      </c>
      <c r="H324" s="7">
        <v>8462</v>
      </c>
      <c r="I324" s="7">
        <v>9250</v>
      </c>
      <c r="J324" s="7">
        <v>788</v>
      </c>
      <c r="K324" s="8">
        <v>9.3122193334909009E-2</v>
      </c>
    </row>
    <row r="325" spans="1:11" x14ac:dyDescent="0.3">
      <c r="A325" s="5" t="s">
        <v>46</v>
      </c>
      <c r="B325" s="6">
        <v>40236</v>
      </c>
      <c r="C325" s="5">
        <v>9</v>
      </c>
      <c r="D325" s="5">
        <v>2</v>
      </c>
      <c r="E325" s="5">
        <v>2010</v>
      </c>
      <c r="F325" s="5" t="s">
        <v>26</v>
      </c>
      <c r="G325" s="5" t="s">
        <v>10</v>
      </c>
      <c r="H325" s="7">
        <v>20940</v>
      </c>
      <c r="I325" s="7">
        <v>23314</v>
      </c>
      <c r="J325" s="7">
        <v>2374</v>
      </c>
      <c r="K325" s="8">
        <v>0.11337153772683858</v>
      </c>
    </row>
    <row r="326" spans="1:11" x14ac:dyDescent="0.3">
      <c r="A326" s="5" t="s">
        <v>46</v>
      </c>
      <c r="B326" s="6">
        <v>40236</v>
      </c>
      <c r="C326" s="5">
        <v>9</v>
      </c>
      <c r="D326" s="5">
        <v>2</v>
      </c>
      <c r="E326" s="5">
        <v>2010</v>
      </c>
      <c r="F326" s="5" t="s">
        <v>27</v>
      </c>
      <c r="G326" s="5" t="s">
        <v>10</v>
      </c>
      <c r="H326" s="7">
        <v>195344</v>
      </c>
      <c r="I326" s="7">
        <v>221870</v>
      </c>
      <c r="J326" s="7">
        <v>26526</v>
      </c>
      <c r="K326" s="8">
        <v>0.13579121959210419</v>
      </c>
    </row>
    <row r="327" spans="1:11" x14ac:dyDescent="0.3">
      <c r="A327" s="5" t="s">
        <v>46</v>
      </c>
      <c r="B327" s="6">
        <v>40236</v>
      </c>
      <c r="C327" s="5">
        <v>9</v>
      </c>
      <c r="D327" s="5">
        <v>2</v>
      </c>
      <c r="E327" s="5">
        <v>2010</v>
      </c>
      <c r="F327" s="5" t="s">
        <v>28</v>
      </c>
      <c r="G327" s="5" t="s">
        <v>10</v>
      </c>
      <c r="H327" s="7">
        <v>179900</v>
      </c>
      <c r="I327" s="7">
        <v>204780</v>
      </c>
      <c r="J327" s="7">
        <v>24880</v>
      </c>
      <c r="K327" s="8">
        <v>0.13829905503057255</v>
      </c>
    </row>
    <row r="328" spans="1:11" x14ac:dyDescent="0.3">
      <c r="A328" s="5" t="s">
        <v>46</v>
      </c>
      <c r="B328" s="6">
        <v>40236</v>
      </c>
      <c r="C328" s="5">
        <v>9</v>
      </c>
      <c r="D328" s="5">
        <v>2</v>
      </c>
      <c r="E328" s="5">
        <v>2010</v>
      </c>
      <c r="F328" s="5" t="s">
        <v>29</v>
      </c>
      <c r="G328" s="5" t="s">
        <v>10</v>
      </c>
      <c r="H328" s="7">
        <v>647501</v>
      </c>
      <c r="I328" s="7">
        <v>705101</v>
      </c>
      <c r="J328" s="7">
        <v>57600</v>
      </c>
      <c r="K328" s="8">
        <v>8.8957391571596031E-2</v>
      </c>
    </row>
    <row r="329" spans="1:11" x14ac:dyDescent="0.3">
      <c r="A329" s="5" t="s">
        <v>46</v>
      </c>
      <c r="B329" s="6">
        <v>40236</v>
      </c>
      <c r="C329" s="5">
        <v>9</v>
      </c>
      <c r="D329" s="5">
        <v>2</v>
      </c>
      <c r="E329" s="5">
        <v>2010</v>
      </c>
      <c r="F329" s="5" t="s">
        <v>30</v>
      </c>
      <c r="G329" s="5" t="s">
        <v>10</v>
      </c>
      <c r="H329" s="7">
        <v>162205</v>
      </c>
      <c r="I329" s="7">
        <v>184971</v>
      </c>
      <c r="J329" s="7">
        <v>22766</v>
      </c>
      <c r="K329" s="8">
        <v>0.14035325668136001</v>
      </c>
    </row>
    <row r="330" spans="1:11" x14ac:dyDescent="0.3">
      <c r="A330" s="5" t="s">
        <v>46</v>
      </c>
      <c r="B330" s="6">
        <v>40236</v>
      </c>
      <c r="C330" s="5">
        <v>9</v>
      </c>
      <c r="D330" s="5">
        <v>2</v>
      </c>
      <c r="E330" s="5">
        <v>2010</v>
      </c>
      <c r="F330" s="5" t="s">
        <v>9</v>
      </c>
      <c r="G330" s="5" t="s">
        <v>9</v>
      </c>
      <c r="H330" s="7">
        <v>643868</v>
      </c>
      <c r="I330" s="7">
        <v>799291</v>
      </c>
      <c r="J330" s="7">
        <v>155423</v>
      </c>
      <c r="K330" s="8">
        <v>0.2413895394708232</v>
      </c>
    </row>
    <row r="331" spans="1:11" x14ac:dyDescent="0.3">
      <c r="A331" s="5" t="s">
        <v>46</v>
      </c>
      <c r="B331" s="6">
        <v>40236</v>
      </c>
      <c r="C331" s="5">
        <v>9</v>
      </c>
      <c r="D331" s="5">
        <v>2</v>
      </c>
      <c r="E331" s="5">
        <v>2010</v>
      </c>
      <c r="F331" s="5" t="s">
        <v>31</v>
      </c>
      <c r="G331" s="5" t="s">
        <v>7</v>
      </c>
      <c r="H331" s="7">
        <v>99178</v>
      </c>
      <c r="I331" s="7">
        <v>117284</v>
      </c>
      <c r="J331" s="7">
        <v>18106</v>
      </c>
      <c r="K331" s="8">
        <v>0.18256064853092419</v>
      </c>
    </row>
    <row r="332" spans="1:11" x14ac:dyDescent="0.3">
      <c r="A332" s="5" t="s">
        <v>46</v>
      </c>
      <c r="B332" s="6">
        <v>40236</v>
      </c>
      <c r="C332" s="5">
        <v>9</v>
      </c>
      <c r="D332" s="5">
        <v>2</v>
      </c>
      <c r="E332" s="5">
        <v>2010</v>
      </c>
      <c r="F332" s="5" t="s">
        <v>33</v>
      </c>
      <c r="G332" s="5" t="s">
        <v>7</v>
      </c>
      <c r="H332" s="7">
        <v>74042</v>
      </c>
      <c r="I332" s="7">
        <v>138665</v>
      </c>
      <c r="J332" s="7">
        <v>64623</v>
      </c>
      <c r="K332" s="8">
        <v>0.87278841738472757</v>
      </c>
    </row>
    <row r="333" spans="1:11" x14ac:dyDescent="0.3">
      <c r="A333" s="5" t="s">
        <v>46</v>
      </c>
      <c r="B333" s="6">
        <v>40236</v>
      </c>
      <c r="C333" s="5">
        <v>9</v>
      </c>
      <c r="D333" s="5">
        <v>2</v>
      </c>
      <c r="E333" s="5">
        <v>2010</v>
      </c>
      <c r="F333" s="5" t="s">
        <v>34</v>
      </c>
      <c r="G333" s="5" t="s">
        <v>7</v>
      </c>
      <c r="H333" s="7">
        <v>7484</v>
      </c>
      <c r="I333" s="7">
        <v>8381</v>
      </c>
      <c r="J333" s="7">
        <v>897</v>
      </c>
      <c r="K333" s="8">
        <v>0.11985569214323891</v>
      </c>
    </row>
    <row r="334" spans="1:11" x14ac:dyDescent="0.3">
      <c r="A334" s="5" t="s">
        <v>46</v>
      </c>
      <c r="B334" s="6">
        <v>40236</v>
      </c>
      <c r="C334" s="5">
        <v>9</v>
      </c>
      <c r="D334" s="5">
        <v>2</v>
      </c>
      <c r="E334" s="5">
        <v>2010</v>
      </c>
      <c r="F334" s="5" t="s">
        <v>35</v>
      </c>
      <c r="G334" s="5" t="s">
        <v>11</v>
      </c>
      <c r="H334" s="7">
        <v>10368</v>
      </c>
      <c r="I334" s="7">
        <v>12568</v>
      </c>
      <c r="J334" s="7">
        <v>2200</v>
      </c>
      <c r="K334" s="8">
        <v>0.21219135802469136</v>
      </c>
    </row>
    <row r="335" spans="1:11" x14ac:dyDescent="0.3">
      <c r="A335" s="5" t="s">
        <v>46</v>
      </c>
      <c r="B335" s="6">
        <v>40236</v>
      </c>
      <c r="C335" s="5">
        <v>9</v>
      </c>
      <c r="D335" s="5">
        <v>2</v>
      </c>
      <c r="E335" s="5">
        <v>2010</v>
      </c>
      <c r="F335" s="5" t="s">
        <v>36</v>
      </c>
      <c r="G335" s="5" t="s">
        <v>11</v>
      </c>
      <c r="H335" s="7">
        <v>235074</v>
      </c>
      <c r="I335" s="7">
        <v>258478</v>
      </c>
      <c r="J335" s="7">
        <v>23404</v>
      </c>
      <c r="K335" s="8">
        <v>9.9560138509575707E-2</v>
      </c>
    </row>
    <row r="336" spans="1:11" x14ac:dyDescent="0.3">
      <c r="A336" s="5" t="s">
        <v>46</v>
      </c>
      <c r="B336" s="6">
        <v>40236</v>
      </c>
      <c r="C336" s="5">
        <v>9</v>
      </c>
      <c r="D336" s="5">
        <v>2</v>
      </c>
      <c r="E336" s="5">
        <v>2010</v>
      </c>
      <c r="F336" s="5" t="s">
        <v>37</v>
      </c>
      <c r="G336" s="5" t="s">
        <v>11</v>
      </c>
      <c r="H336" s="7">
        <v>392616</v>
      </c>
      <c r="I336" s="7">
        <v>424061</v>
      </c>
      <c r="J336" s="7">
        <v>31445</v>
      </c>
      <c r="K336" s="8">
        <v>8.0090979481223387E-2</v>
      </c>
    </row>
    <row r="337" spans="1:11" x14ac:dyDescent="0.3">
      <c r="A337" s="5" t="s">
        <v>46</v>
      </c>
      <c r="B337" s="6">
        <v>40236</v>
      </c>
      <c r="C337" s="5">
        <v>9</v>
      </c>
      <c r="D337" s="5">
        <v>2</v>
      </c>
      <c r="E337" s="5">
        <v>2010</v>
      </c>
      <c r="F337" s="5" t="s">
        <v>38</v>
      </c>
      <c r="G337" s="5" t="s">
        <v>11</v>
      </c>
      <c r="H337" s="7">
        <v>439790</v>
      </c>
      <c r="I337" s="7">
        <v>469790</v>
      </c>
      <c r="J337" s="7">
        <v>30000</v>
      </c>
      <c r="K337" s="8">
        <v>6.8214375042633987E-2</v>
      </c>
    </row>
    <row r="338" spans="1:11" x14ac:dyDescent="0.3">
      <c r="A338" s="5" t="s">
        <v>46</v>
      </c>
      <c r="B338" s="6">
        <v>40237</v>
      </c>
      <c r="C338" s="5">
        <v>10</v>
      </c>
      <c r="D338" s="5">
        <v>2</v>
      </c>
      <c r="E338" s="5">
        <v>2010</v>
      </c>
      <c r="F338" s="5" t="s">
        <v>14</v>
      </c>
      <c r="G338" s="5" t="s">
        <v>6</v>
      </c>
      <c r="H338" s="7">
        <v>14390</v>
      </c>
      <c r="I338" s="7">
        <v>16327</v>
      </c>
      <c r="J338" s="7">
        <v>1937</v>
      </c>
      <c r="K338" s="8">
        <v>0.1346073662265462</v>
      </c>
    </row>
    <row r="339" spans="1:11" x14ac:dyDescent="0.3">
      <c r="A339" s="5" t="s">
        <v>46</v>
      </c>
      <c r="B339" s="6">
        <v>40237</v>
      </c>
      <c r="C339" s="5">
        <v>10</v>
      </c>
      <c r="D339" s="5">
        <v>2</v>
      </c>
      <c r="E339" s="5">
        <v>2010</v>
      </c>
      <c r="F339" s="5" t="s">
        <v>15</v>
      </c>
      <c r="G339" s="5" t="s">
        <v>6</v>
      </c>
      <c r="H339" s="7">
        <v>257554</v>
      </c>
      <c r="I339" s="7">
        <v>309480</v>
      </c>
      <c r="J339" s="7">
        <v>51926</v>
      </c>
      <c r="K339" s="8">
        <v>0.20161208911529233</v>
      </c>
    </row>
    <row r="340" spans="1:11" x14ac:dyDescent="0.3">
      <c r="A340" s="5" t="s">
        <v>46</v>
      </c>
      <c r="B340" s="6">
        <v>40237</v>
      </c>
      <c r="C340" s="5">
        <v>10</v>
      </c>
      <c r="D340" s="5">
        <v>2</v>
      </c>
      <c r="E340" s="5">
        <v>2010</v>
      </c>
      <c r="F340" s="5" t="s">
        <v>16</v>
      </c>
      <c r="G340" s="5" t="s">
        <v>6</v>
      </c>
      <c r="H340" s="7">
        <v>74215</v>
      </c>
      <c r="I340" s="7">
        <v>81948</v>
      </c>
      <c r="J340" s="7">
        <v>7733</v>
      </c>
      <c r="K340" s="8">
        <v>0.10419726470390082</v>
      </c>
    </row>
    <row r="341" spans="1:11" x14ac:dyDescent="0.3">
      <c r="A341" s="5" t="s">
        <v>46</v>
      </c>
      <c r="B341" s="6">
        <v>40237</v>
      </c>
      <c r="C341" s="5">
        <v>10</v>
      </c>
      <c r="D341" s="5">
        <v>2</v>
      </c>
      <c r="E341" s="5">
        <v>2010</v>
      </c>
      <c r="F341" s="5" t="s">
        <v>17</v>
      </c>
      <c r="G341" s="5" t="s">
        <v>6</v>
      </c>
      <c r="H341" s="7">
        <v>3256</v>
      </c>
      <c r="I341" s="7">
        <v>3760</v>
      </c>
      <c r="J341" s="7">
        <v>504</v>
      </c>
      <c r="K341" s="8">
        <v>0.15479115479115479</v>
      </c>
    </row>
    <row r="342" spans="1:11" x14ac:dyDescent="0.3">
      <c r="A342" s="5" t="s">
        <v>46</v>
      </c>
      <c r="B342" s="6">
        <v>40237</v>
      </c>
      <c r="C342" s="5">
        <v>10</v>
      </c>
      <c r="D342" s="5">
        <v>2</v>
      </c>
      <c r="E342" s="5">
        <v>2010</v>
      </c>
      <c r="F342" s="5" t="s">
        <v>18</v>
      </c>
      <c r="G342" s="5" t="s">
        <v>6</v>
      </c>
      <c r="H342" s="7">
        <v>39742</v>
      </c>
      <c r="I342" s="7">
        <v>43181</v>
      </c>
      <c r="J342" s="7">
        <v>3439</v>
      </c>
      <c r="K342" s="8">
        <v>8.6533138744904634E-2</v>
      </c>
    </row>
    <row r="343" spans="1:11" x14ac:dyDescent="0.3">
      <c r="A343" s="5" t="s">
        <v>46</v>
      </c>
      <c r="B343" s="6">
        <v>40237</v>
      </c>
      <c r="C343" s="5">
        <v>10</v>
      </c>
      <c r="D343" s="5">
        <v>2</v>
      </c>
      <c r="E343" s="5">
        <v>2010</v>
      </c>
      <c r="F343" s="5" t="s">
        <v>19</v>
      </c>
      <c r="G343" s="5" t="s">
        <v>5</v>
      </c>
      <c r="H343" s="7">
        <v>199238</v>
      </c>
      <c r="I343" s="7">
        <v>220132</v>
      </c>
      <c r="J343" s="7">
        <v>20894</v>
      </c>
      <c r="K343" s="8">
        <v>0.10486955299691826</v>
      </c>
    </row>
    <row r="344" spans="1:11" x14ac:dyDescent="0.3">
      <c r="A344" s="5" t="s">
        <v>46</v>
      </c>
      <c r="B344" s="6">
        <v>40237</v>
      </c>
      <c r="C344" s="5">
        <v>10</v>
      </c>
      <c r="D344" s="5">
        <v>2</v>
      </c>
      <c r="E344" s="5">
        <v>2010</v>
      </c>
      <c r="F344" s="5" t="s">
        <v>5</v>
      </c>
      <c r="G344" s="5" t="s">
        <v>5</v>
      </c>
      <c r="H344" s="7">
        <v>747587</v>
      </c>
      <c r="I344" s="7">
        <v>789706</v>
      </c>
      <c r="J344" s="7">
        <v>42119</v>
      </c>
      <c r="K344" s="8">
        <v>5.6339931004685741E-2</v>
      </c>
    </row>
    <row r="345" spans="1:11" x14ac:dyDescent="0.3">
      <c r="A345" s="5" t="s">
        <v>46</v>
      </c>
      <c r="B345" s="6">
        <v>40237</v>
      </c>
      <c r="C345" s="5">
        <v>10</v>
      </c>
      <c r="D345" s="5">
        <v>2</v>
      </c>
      <c r="E345" s="5">
        <v>2010</v>
      </c>
      <c r="F345" s="5" t="s">
        <v>20</v>
      </c>
      <c r="G345" s="5" t="s">
        <v>5</v>
      </c>
      <c r="H345" s="7">
        <v>127734</v>
      </c>
      <c r="I345" s="7">
        <v>138984</v>
      </c>
      <c r="J345" s="7">
        <v>11250</v>
      </c>
      <c r="K345" s="8">
        <v>8.8073653060265863E-2</v>
      </c>
    </row>
    <row r="346" spans="1:11" x14ac:dyDescent="0.3">
      <c r="A346" s="5" t="s">
        <v>46</v>
      </c>
      <c r="B346" s="6">
        <v>40237</v>
      </c>
      <c r="C346" s="5">
        <v>10</v>
      </c>
      <c r="D346" s="5">
        <v>2</v>
      </c>
      <c r="E346" s="5">
        <v>2010</v>
      </c>
      <c r="F346" s="5" t="s">
        <v>21</v>
      </c>
      <c r="G346" s="5" t="s">
        <v>5</v>
      </c>
      <c r="H346" s="7">
        <v>270378</v>
      </c>
      <c r="I346" s="7">
        <v>283322</v>
      </c>
      <c r="J346" s="7">
        <v>12944</v>
      </c>
      <c r="K346" s="8">
        <v>4.7873717536190075E-2</v>
      </c>
    </row>
    <row r="347" spans="1:11" x14ac:dyDescent="0.3">
      <c r="A347" s="5" t="s">
        <v>46</v>
      </c>
      <c r="B347" s="6">
        <v>40237</v>
      </c>
      <c r="C347" s="5">
        <v>10</v>
      </c>
      <c r="D347" s="5">
        <v>2</v>
      </c>
      <c r="E347" s="5">
        <v>2010</v>
      </c>
      <c r="F347" s="5" t="s">
        <v>22</v>
      </c>
      <c r="G347" s="5" t="s">
        <v>8</v>
      </c>
      <c r="H347" s="7">
        <v>387452</v>
      </c>
      <c r="I347" s="7">
        <v>421666</v>
      </c>
      <c r="J347" s="7">
        <v>34214</v>
      </c>
      <c r="K347" s="8">
        <v>8.8305131990543351E-2</v>
      </c>
    </row>
    <row r="348" spans="1:11" x14ac:dyDescent="0.3">
      <c r="A348" s="5" t="s">
        <v>46</v>
      </c>
      <c r="B348" s="6">
        <v>40237</v>
      </c>
      <c r="C348" s="5">
        <v>10</v>
      </c>
      <c r="D348" s="5">
        <v>2</v>
      </c>
      <c r="E348" s="5">
        <v>2010</v>
      </c>
      <c r="F348" s="5" t="s">
        <v>23</v>
      </c>
      <c r="G348" s="5" t="s">
        <v>8</v>
      </c>
      <c r="H348" s="7">
        <v>169204</v>
      </c>
      <c r="I348" s="7">
        <v>176519</v>
      </c>
      <c r="J348" s="7">
        <v>7315</v>
      </c>
      <c r="K348" s="8">
        <v>4.323183849081582E-2</v>
      </c>
    </row>
    <row r="349" spans="1:11" x14ac:dyDescent="0.3">
      <c r="A349" s="5" t="s">
        <v>46</v>
      </c>
      <c r="B349" s="6">
        <v>40237</v>
      </c>
      <c r="C349" s="5">
        <v>10</v>
      </c>
      <c r="D349" s="5">
        <v>2</v>
      </c>
      <c r="E349" s="5">
        <v>2010</v>
      </c>
      <c r="F349" s="5" t="s">
        <v>24</v>
      </c>
      <c r="G349" s="5" t="s">
        <v>8</v>
      </c>
      <c r="H349" s="7">
        <v>176476</v>
      </c>
      <c r="I349" s="7">
        <v>192672</v>
      </c>
      <c r="J349" s="7">
        <v>16196</v>
      </c>
      <c r="K349" s="8">
        <v>9.1774518914753286E-2</v>
      </c>
    </row>
    <row r="350" spans="1:11" x14ac:dyDescent="0.3">
      <c r="A350" s="5" t="s">
        <v>46</v>
      </c>
      <c r="B350" s="6">
        <v>40237</v>
      </c>
      <c r="C350" s="5">
        <v>10</v>
      </c>
      <c r="D350" s="5">
        <v>2</v>
      </c>
      <c r="E350" s="5">
        <v>2010</v>
      </c>
      <c r="F350" s="5" t="s">
        <v>25</v>
      </c>
      <c r="G350" s="5" t="s">
        <v>8</v>
      </c>
      <c r="H350" s="7">
        <v>14446</v>
      </c>
      <c r="I350" s="7">
        <v>15179</v>
      </c>
      <c r="J350" s="7">
        <v>733</v>
      </c>
      <c r="K350" s="8">
        <v>5.074068946421155E-2</v>
      </c>
    </row>
    <row r="351" spans="1:11" x14ac:dyDescent="0.3">
      <c r="A351" s="5" t="s">
        <v>46</v>
      </c>
      <c r="B351" s="6">
        <v>40237</v>
      </c>
      <c r="C351" s="5">
        <v>10</v>
      </c>
      <c r="D351" s="5">
        <v>2</v>
      </c>
      <c r="E351" s="5">
        <v>2010</v>
      </c>
      <c r="F351" s="5" t="s">
        <v>26</v>
      </c>
      <c r="G351" s="5" t="s">
        <v>10</v>
      </c>
      <c r="H351" s="7">
        <v>7788</v>
      </c>
      <c r="I351" s="7">
        <v>8719</v>
      </c>
      <c r="J351" s="7">
        <v>931</v>
      </c>
      <c r="K351" s="8">
        <v>0.11954288649203904</v>
      </c>
    </row>
    <row r="352" spans="1:11" x14ac:dyDescent="0.3">
      <c r="A352" s="5" t="s">
        <v>46</v>
      </c>
      <c r="B352" s="6">
        <v>40237</v>
      </c>
      <c r="C352" s="5">
        <v>10</v>
      </c>
      <c r="D352" s="5">
        <v>2</v>
      </c>
      <c r="E352" s="5">
        <v>2010</v>
      </c>
      <c r="F352" s="5" t="s">
        <v>27</v>
      </c>
      <c r="G352" s="5" t="s">
        <v>10</v>
      </c>
      <c r="H352" s="7">
        <v>108211</v>
      </c>
      <c r="I352" s="7">
        <v>123134</v>
      </c>
      <c r="J352" s="7">
        <v>14923</v>
      </c>
      <c r="K352" s="8">
        <v>0.13790649749101294</v>
      </c>
    </row>
    <row r="353" spans="1:11" x14ac:dyDescent="0.3">
      <c r="A353" s="5" t="s">
        <v>46</v>
      </c>
      <c r="B353" s="6">
        <v>40237</v>
      </c>
      <c r="C353" s="5">
        <v>10</v>
      </c>
      <c r="D353" s="5">
        <v>2</v>
      </c>
      <c r="E353" s="5">
        <v>2010</v>
      </c>
      <c r="F353" s="5" t="s">
        <v>28</v>
      </c>
      <c r="G353" s="5" t="s">
        <v>10</v>
      </c>
      <c r="H353" s="7">
        <v>123629</v>
      </c>
      <c r="I353" s="7">
        <v>142009</v>
      </c>
      <c r="J353" s="7">
        <v>18380</v>
      </c>
      <c r="K353" s="8">
        <v>0.14867061935306441</v>
      </c>
    </row>
    <row r="354" spans="1:11" x14ac:dyDescent="0.3">
      <c r="A354" s="5" t="s">
        <v>46</v>
      </c>
      <c r="B354" s="6">
        <v>40237</v>
      </c>
      <c r="C354" s="5">
        <v>10</v>
      </c>
      <c r="D354" s="5">
        <v>2</v>
      </c>
      <c r="E354" s="5">
        <v>2010</v>
      </c>
      <c r="F354" s="5" t="s">
        <v>29</v>
      </c>
      <c r="G354" s="5" t="s">
        <v>10</v>
      </c>
      <c r="H354" s="7">
        <v>469356</v>
      </c>
      <c r="I354" s="7">
        <v>513865</v>
      </c>
      <c r="J354" s="7">
        <v>44509</v>
      </c>
      <c r="K354" s="8">
        <v>9.4829937190533412E-2</v>
      </c>
    </row>
    <row r="355" spans="1:11" x14ac:dyDescent="0.3">
      <c r="A355" s="5" t="s">
        <v>46</v>
      </c>
      <c r="B355" s="6">
        <v>40237</v>
      </c>
      <c r="C355" s="5">
        <v>10</v>
      </c>
      <c r="D355" s="5">
        <v>2</v>
      </c>
      <c r="E355" s="5">
        <v>2010</v>
      </c>
      <c r="F355" s="5" t="s">
        <v>30</v>
      </c>
      <c r="G355" s="5" t="s">
        <v>10</v>
      </c>
      <c r="H355" s="7">
        <v>118145</v>
      </c>
      <c r="I355" s="7">
        <v>133744</v>
      </c>
      <c r="J355" s="7">
        <v>15599</v>
      </c>
      <c r="K355" s="8">
        <v>0.13203267171695798</v>
      </c>
    </row>
    <row r="356" spans="1:11" x14ac:dyDescent="0.3">
      <c r="A356" s="5" t="s">
        <v>46</v>
      </c>
      <c r="B356" s="6">
        <v>40237</v>
      </c>
      <c r="C356" s="5">
        <v>10</v>
      </c>
      <c r="D356" s="5">
        <v>2</v>
      </c>
      <c r="E356" s="5">
        <v>2010</v>
      </c>
      <c r="F356" s="5" t="s">
        <v>9</v>
      </c>
      <c r="G356" s="5" t="s">
        <v>9</v>
      </c>
      <c r="H356" s="7">
        <v>475014</v>
      </c>
      <c r="I356" s="7">
        <v>596770</v>
      </c>
      <c r="J356" s="7">
        <v>121756</v>
      </c>
      <c r="K356" s="8">
        <v>0.25632086633236073</v>
      </c>
    </row>
    <row r="357" spans="1:11" x14ac:dyDescent="0.3">
      <c r="A357" s="5" t="s">
        <v>46</v>
      </c>
      <c r="B357" s="6">
        <v>40237</v>
      </c>
      <c r="C357" s="5">
        <v>10</v>
      </c>
      <c r="D357" s="5">
        <v>2</v>
      </c>
      <c r="E357" s="5">
        <v>2010</v>
      </c>
      <c r="F357" s="5" t="s">
        <v>31</v>
      </c>
      <c r="G357" s="5" t="s">
        <v>7</v>
      </c>
      <c r="H357" s="7">
        <v>103734</v>
      </c>
      <c r="I357" s="7">
        <v>123340</v>
      </c>
      <c r="J357" s="7">
        <v>19606</v>
      </c>
      <c r="K357" s="8">
        <v>0.1890026413711994</v>
      </c>
    </row>
    <row r="358" spans="1:11" x14ac:dyDescent="0.3">
      <c r="A358" s="5" t="s">
        <v>46</v>
      </c>
      <c r="B358" s="6">
        <v>40237</v>
      </c>
      <c r="C358" s="5">
        <v>10</v>
      </c>
      <c r="D358" s="5">
        <v>2</v>
      </c>
      <c r="E358" s="5">
        <v>2010</v>
      </c>
      <c r="F358" s="5" t="s">
        <v>33</v>
      </c>
      <c r="G358" s="5" t="s">
        <v>7</v>
      </c>
      <c r="H358" s="7">
        <v>67767</v>
      </c>
      <c r="I358" s="7">
        <v>125342</v>
      </c>
      <c r="J358" s="7">
        <v>57575</v>
      </c>
      <c r="K358" s="8">
        <v>0.84960231381055673</v>
      </c>
    </row>
    <row r="359" spans="1:11" x14ac:dyDescent="0.3">
      <c r="A359" s="5" t="s">
        <v>46</v>
      </c>
      <c r="B359" s="6">
        <v>40237</v>
      </c>
      <c r="C359" s="5">
        <v>10</v>
      </c>
      <c r="D359" s="5">
        <v>2</v>
      </c>
      <c r="E359" s="5">
        <v>2010</v>
      </c>
      <c r="F359" s="5" t="s">
        <v>34</v>
      </c>
      <c r="G359" s="5" t="s">
        <v>7</v>
      </c>
      <c r="H359" s="7">
        <v>924</v>
      </c>
      <c r="I359" s="7">
        <v>1035</v>
      </c>
      <c r="J359" s="7">
        <v>111</v>
      </c>
      <c r="K359" s="8">
        <v>0.12012987012987013</v>
      </c>
    </row>
    <row r="360" spans="1:11" x14ac:dyDescent="0.3">
      <c r="A360" s="5" t="s">
        <v>46</v>
      </c>
      <c r="B360" s="6">
        <v>40237</v>
      </c>
      <c r="C360" s="5">
        <v>10</v>
      </c>
      <c r="D360" s="5">
        <v>2</v>
      </c>
      <c r="E360" s="5">
        <v>2010</v>
      </c>
      <c r="F360" s="5" t="s">
        <v>35</v>
      </c>
      <c r="G360" s="5" t="s">
        <v>11</v>
      </c>
      <c r="H360" s="7">
        <v>11647</v>
      </c>
      <c r="I360" s="7">
        <v>13989</v>
      </c>
      <c r="J360" s="7">
        <v>2342</v>
      </c>
      <c r="K360" s="8">
        <v>0.20108182364557398</v>
      </c>
    </row>
    <row r="361" spans="1:11" x14ac:dyDescent="0.3">
      <c r="A361" s="5" t="s">
        <v>46</v>
      </c>
      <c r="B361" s="6">
        <v>40237</v>
      </c>
      <c r="C361" s="5">
        <v>10</v>
      </c>
      <c r="D361" s="5">
        <v>2</v>
      </c>
      <c r="E361" s="5">
        <v>2010</v>
      </c>
      <c r="F361" s="5" t="s">
        <v>36</v>
      </c>
      <c r="G361" s="5" t="s">
        <v>11</v>
      </c>
      <c r="H361" s="7">
        <v>205886</v>
      </c>
      <c r="I361" s="7">
        <v>226002</v>
      </c>
      <c r="J361" s="7">
        <v>20116</v>
      </c>
      <c r="K361" s="8">
        <v>9.7704554947883784E-2</v>
      </c>
    </row>
    <row r="362" spans="1:11" x14ac:dyDescent="0.3">
      <c r="A362" s="5" t="s">
        <v>46</v>
      </c>
      <c r="B362" s="6">
        <v>40237</v>
      </c>
      <c r="C362" s="5">
        <v>10</v>
      </c>
      <c r="D362" s="5">
        <v>2</v>
      </c>
      <c r="E362" s="5">
        <v>2010</v>
      </c>
      <c r="F362" s="5" t="s">
        <v>37</v>
      </c>
      <c r="G362" s="5" t="s">
        <v>11</v>
      </c>
      <c r="H362" s="7">
        <v>329106</v>
      </c>
      <c r="I362" s="7">
        <v>355802</v>
      </c>
      <c r="J362" s="7">
        <v>26696</v>
      </c>
      <c r="K362" s="8">
        <v>8.1116722271851627E-2</v>
      </c>
    </row>
    <row r="363" spans="1:11" x14ac:dyDescent="0.3">
      <c r="A363" s="5" t="s">
        <v>46</v>
      </c>
      <c r="B363" s="6">
        <v>40237</v>
      </c>
      <c r="C363" s="5">
        <v>10</v>
      </c>
      <c r="D363" s="5">
        <v>2</v>
      </c>
      <c r="E363" s="5">
        <v>2010</v>
      </c>
      <c r="F363" s="5" t="s">
        <v>38</v>
      </c>
      <c r="G363" s="5" t="s">
        <v>11</v>
      </c>
      <c r="H363" s="7">
        <v>392820</v>
      </c>
      <c r="I363" s="7">
        <v>420148</v>
      </c>
      <c r="J363" s="7">
        <v>27328</v>
      </c>
      <c r="K363" s="8">
        <v>6.9568759228145205E-2</v>
      </c>
    </row>
    <row r="364" spans="1:11" x14ac:dyDescent="0.3">
      <c r="A364" s="5" t="s">
        <v>46</v>
      </c>
      <c r="B364" s="6">
        <v>40238</v>
      </c>
      <c r="C364" s="5">
        <v>10</v>
      </c>
      <c r="D364" s="5">
        <v>3</v>
      </c>
      <c r="E364" s="5">
        <v>2010</v>
      </c>
      <c r="F364" s="5" t="s">
        <v>14</v>
      </c>
      <c r="G364" s="5" t="s">
        <v>6</v>
      </c>
      <c r="H364" s="7">
        <v>13738</v>
      </c>
      <c r="I364" s="7">
        <v>15551</v>
      </c>
      <c r="J364" s="7">
        <v>1813</v>
      </c>
      <c r="K364" s="8">
        <v>0.13196971902751492</v>
      </c>
    </row>
    <row r="365" spans="1:11" x14ac:dyDescent="0.3">
      <c r="A365" s="5" t="s">
        <v>46</v>
      </c>
      <c r="B365" s="6">
        <v>40238</v>
      </c>
      <c r="C365" s="5">
        <v>10</v>
      </c>
      <c r="D365" s="5">
        <v>3</v>
      </c>
      <c r="E365" s="5">
        <v>2010</v>
      </c>
      <c r="F365" s="5" t="s">
        <v>15</v>
      </c>
      <c r="G365" s="5" t="s">
        <v>6</v>
      </c>
      <c r="H365" s="7">
        <v>168745</v>
      </c>
      <c r="I365" s="7">
        <v>202934</v>
      </c>
      <c r="J365" s="7">
        <v>34189</v>
      </c>
      <c r="K365" s="8">
        <v>0.20260748466621234</v>
      </c>
    </row>
    <row r="366" spans="1:11" x14ac:dyDescent="0.3">
      <c r="A366" s="5" t="s">
        <v>46</v>
      </c>
      <c r="B366" s="6">
        <v>40238</v>
      </c>
      <c r="C366" s="5">
        <v>10</v>
      </c>
      <c r="D366" s="5">
        <v>3</v>
      </c>
      <c r="E366" s="5">
        <v>2010</v>
      </c>
      <c r="F366" s="5" t="s">
        <v>16</v>
      </c>
      <c r="G366" s="5" t="s">
        <v>6</v>
      </c>
      <c r="H366" s="7">
        <v>51224</v>
      </c>
      <c r="I366" s="7">
        <v>56881</v>
      </c>
      <c r="J366" s="7">
        <v>5657</v>
      </c>
      <c r="K366" s="8">
        <v>0.11043651413399969</v>
      </c>
    </row>
    <row r="367" spans="1:11" x14ac:dyDescent="0.3">
      <c r="A367" s="5" t="s">
        <v>46</v>
      </c>
      <c r="B367" s="6">
        <v>40238</v>
      </c>
      <c r="C367" s="5">
        <v>10</v>
      </c>
      <c r="D367" s="5">
        <v>3</v>
      </c>
      <c r="E367" s="5">
        <v>2010</v>
      </c>
      <c r="F367" s="5" t="s">
        <v>17</v>
      </c>
      <c r="G367" s="5" t="s">
        <v>6</v>
      </c>
      <c r="H367" s="7">
        <v>2256</v>
      </c>
      <c r="I367" s="7">
        <v>2456</v>
      </c>
      <c r="J367" s="7">
        <v>200</v>
      </c>
      <c r="K367" s="8">
        <v>8.8652482269503549E-2</v>
      </c>
    </row>
    <row r="368" spans="1:11" x14ac:dyDescent="0.3">
      <c r="A368" s="5" t="s">
        <v>46</v>
      </c>
      <c r="B368" s="6">
        <v>40238</v>
      </c>
      <c r="C368" s="5">
        <v>10</v>
      </c>
      <c r="D368" s="5">
        <v>3</v>
      </c>
      <c r="E368" s="5">
        <v>2010</v>
      </c>
      <c r="F368" s="5" t="s">
        <v>18</v>
      </c>
      <c r="G368" s="5" t="s">
        <v>6</v>
      </c>
      <c r="H368" s="7">
        <v>24298</v>
      </c>
      <c r="I368" s="7">
        <v>27310</v>
      </c>
      <c r="J368" s="7">
        <v>3012</v>
      </c>
      <c r="K368" s="8">
        <v>0.12396081982056137</v>
      </c>
    </row>
    <row r="369" spans="1:11" x14ac:dyDescent="0.3">
      <c r="A369" s="5" t="s">
        <v>46</v>
      </c>
      <c r="B369" s="6">
        <v>40238</v>
      </c>
      <c r="C369" s="5">
        <v>10</v>
      </c>
      <c r="D369" s="5">
        <v>3</v>
      </c>
      <c r="E369" s="5">
        <v>2010</v>
      </c>
      <c r="F369" s="5" t="s">
        <v>19</v>
      </c>
      <c r="G369" s="5" t="s">
        <v>5</v>
      </c>
      <c r="H369" s="7">
        <v>125234</v>
      </c>
      <c r="I369" s="7">
        <v>140078</v>
      </c>
      <c r="J369" s="7">
        <v>14844</v>
      </c>
      <c r="K369" s="8">
        <v>0.11853011163102672</v>
      </c>
    </row>
    <row r="370" spans="1:11" x14ac:dyDescent="0.3">
      <c r="A370" s="5" t="s">
        <v>46</v>
      </c>
      <c r="B370" s="6">
        <v>40238</v>
      </c>
      <c r="C370" s="5">
        <v>10</v>
      </c>
      <c r="D370" s="5">
        <v>3</v>
      </c>
      <c r="E370" s="5">
        <v>2010</v>
      </c>
      <c r="F370" s="5" t="s">
        <v>5</v>
      </c>
      <c r="G370" s="5" t="s">
        <v>5</v>
      </c>
      <c r="H370" s="7">
        <v>452404</v>
      </c>
      <c r="I370" s="7">
        <v>481397</v>
      </c>
      <c r="J370" s="7">
        <v>28993</v>
      </c>
      <c r="K370" s="8">
        <v>6.408652443391305E-2</v>
      </c>
    </row>
    <row r="371" spans="1:11" x14ac:dyDescent="0.3">
      <c r="A371" s="5" t="s">
        <v>46</v>
      </c>
      <c r="B371" s="6">
        <v>40238</v>
      </c>
      <c r="C371" s="5">
        <v>10</v>
      </c>
      <c r="D371" s="5">
        <v>3</v>
      </c>
      <c r="E371" s="5">
        <v>2010</v>
      </c>
      <c r="F371" s="5" t="s">
        <v>20</v>
      </c>
      <c r="G371" s="5" t="s">
        <v>5</v>
      </c>
      <c r="H371" s="7">
        <v>104023</v>
      </c>
      <c r="I371" s="7">
        <v>114014</v>
      </c>
      <c r="J371" s="7">
        <v>9991</v>
      </c>
      <c r="K371" s="8">
        <v>9.6046066735241242E-2</v>
      </c>
    </row>
    <row r="372" spans="1:11" x14ac:dyDescent="0.3">
      <c r="A372" s="5" t="s">
        <v>46</v>
      </c>
      <c r="B372" s="6">
        <v>40238</v>
      </c>
      <c r="C372" s="5">
        <v>10</v>
      </c>
      <c r="D372" s="5">
        <v>3</v>
      </c>
      <c r="E372" s="5">
        <v>2010</v>
      </c>
      <c r="F372" s="5" t="s">
        <v>21</v>
      </c>
      <c r="G372" s="5" t="s">
        <v>5</v>
      </c>
      <c r="H372" s="7">
        <v>192053</v>
      </c>
      <c r="I372" s="7">
        <v>201952</v>
      </c>
      <c r="J372" s="7">
        <v>9899</v>
      </c>
      <c r="K372" s="8">
        <v>5.1543063633476174E-2</v>
      </c>
    </row>
    <row r="373" spans="1:11" x14ac:dyDescent="0.3">
      <c r="A373" s="5" t="s">
        <v>46</v>
      </c>
      <c r="B373" s="6">
        <v>40238</v>
      </c>
      <c r="C373" s="5">
        <v>10</v>
      </c>
      <c r="D373" s="5">
        <v>3</v>
      </c>
      <c r="E373" s="5">
        <v>2010</v>
      </c>
      <c r="F373" s="5" t="s">
        <v>22</v>
      </c>
      <c r="G373" s="5" t="s">
        <v>8</v>
      </c>
      <c r="H373" s="7">
        <v>279283</v>
      </c>
      <c r="I373" s="7">
        <v>304110</v>
      </c>
      <c r="J373" s="7">
        <v>24827</v>
      </c>
      <c r="K373" s="8">
        <v>8.8895493101979001E-2</v>
      </c>
    </row>
    <row r="374" spans="1:11" x14ac:dyDescent="0.3">
      <c r="A374" s="5" t="s">
        <v>46</v>
      </c>
      <c r="B374" s="6">
        <v>40238</v>
      </c>
      <c r="C374" s="5">
        <v>10</v>
      </c>
      <c r="D374" s="5">
        <v>3</v>
      </c>
      <c r="E374" s="5">
        <v>2010</v>
      </c>
      <c r="F374" s="5" t="s">
        <v>23</v>
      </c>
      <c r="G374" s="5" t="s">
        <v>8</v>
      </c>
      <c r="H374" s="7">
        <v>96439</v>
      </c>
      <c r="I374" s="7">
        <v>100546</v>
      </c>
      <c r="J374" s="7">
        <v>4107</v>
      </c>
      <c r="K374" s="8">
        <v>4.2586505459409577E-2</v>
      </c>
    </row>
    <row r="375" spans="1:11" x14ac:dyDescent="0.3">
      <c r="A375" s="5" t="s">
        <v>46</v>
      </c>
      <c r="B375" s="6">
        <v>40238</v>
      </c>
      <c r="C375" s="5">
        <v>10</v>
      </c>
      <c r="D375" s="5">
        <v>3</v>
      </c>
      <c r="E375" s="5">
        <v>2010</v>
      </c>
      <c r="F375" s="5" t="s">
        <v>24</v>
      </c>
      <c r="G375" s="5" t="s">
        <v>8</v>
      </c>
      <c r="H375" s="7">
        <v>110601</v>
      </c>
      <c r="I375" s="7">
        <v>120103</v>
      </c>
      <c r="J375" s="7">
        <v>9502</v>
      </c>
      <c r="K375" s="8">
        <v>8.5912423938300744E-2</v>
      </c>
    </row>
    <row r="376" spans="1:11" x14ac:dyDescent="0.3">
      <c r="A376" s="5" t="s">
        <v>46</v>
      </c>
      <c r="B376" s="6">
        <v>40238</v>
      </c>
      <c r="C376" s="5">
        <v>10</v>
      </c>
      <c r="D376" s="5">
        <v>3</v>
      </c>
      <c r="E376" s="5">
        <v>2010</v>
      </c>
      <c r="F376" s="5" t="s">
        <v>25</v>
      </c>
      <c r="G376" s="5" t="s">
        <v>8</v>
      </c>
      <c r="H376" s="7">
        <v>11014</v>
      </c>
      <c r="I376" s="7">
        <v>11860</v>
      </c>
      <c r="J376" s="7">
        <v>846</v>
      </c>
      <c r="K376" s="8">
        <v>7.6811331033230429E-2</v>
      </c>
    </row>
    <row r="377" spans="1:11" x14ac:dyDescent="0.3">
      <c r="A377" s="5" t="s">
        <v>46</v>
      </c>
      <c r="B377" s="6">
        <v>40238</v>
      </c>
      <c r="C377" s="5">
        <v>10</v>
      </c>
      <c r="D377" s="5">
        <v>3</v>
      </c>
      <c r="E377" s="5">
        <v>2010</v>
      </c>
      <c r="F377" s="5" t="s">
        <v>26</v>
      </c>
      <c r="G377" s="5" t="s">
        <v>10</v>
      </c>
      <c r="H377" s="7">
        <v>5450</v>
      </c>
      <c r="I377" s="7">
        <v>6133</v>
      </c>
      <c r="J377" s="7">
        <v>683</v>
      </c>
      <c r="K377" s="8">
        <v>0.12532110091743121</v>
      </c>
    </row>
    <row r="378" spans="1:11" x14ac:dyDescent="0.3">
      <c r="A378" s="5" t="s">
        <v>46</v>
      </c>
      <c r="B378" s="6">
        <v>40238</v>
      </c>
      <c r="C378" s="5">
        <v>10</v>
      </c>
      <c r="D378" s="5">
        <v>3</v>
      </c>
      <c r="E378" s="5">
        <v>2010</v>
      </c>
      <c r="F378" s="5" t="s">
        <v>27</v>
      </c>
      <c r="G378" s="5" t="s">
        <v>10</v>
      </c>
      <c r="H378" s="7">
        <v>84291</v>
      </c>
      <c r="I378" s="7">
        <v>95839</v>
      </c>
      <c r="J378" s="7">
        <v>11548</v>
      </c>
      <c r="K378" s="8">
        <v>0.1370015778671507</v>
      </c>
    </row>
    <row r="379" spans="1:11" x14ac:dyDescent="0.3">
      <c r="A379" s="5" t="s">
        <v>46</v>
      </c>
      <c r="B379" s="6">
        <v>40238</v>
      </c>
      <c r="C379" s="5">
        <v>10</v>
      </c>
      <c r="D379" s="5">
        <v>3</v>
      </c>
      <c r="E379" s="5">
        <v>2010</v>
      </c>
      <c r="F379" s="5" t="s">
        <v>28</v>
      </c>
      <c r="G379" s="5" t="s">
        <v>10</v>
      </c>
      <c r="H379" s="7">
        <v>82983</v>
      </c>
      <c r="I379" s="7">
        <v>95878</v>
      </c>
      <c r="J379" s="7">
        <v>12895</v>
      </c>
      <c r="K379" s="8">
        <v>0.15539327332104166</v>
      </c>
    </row>
    <row r="380" spans="1:11" x14ac:dyDescent="0.3">
      <c r="A380" s="5" t="s">
        <v>46</v>
      </c>
      <c r="B380" s="6">
        <v>40238</v>
      </c>
      <c r="C380" s="5">
        <v>10</v>
      </c>
      <c r="D380" s="5">
        <v>3</v>
      </c>
      <c r="E380" s="5">
        <v>2010</v>
      </c>
      <c r="F380" s="5" t="s">
        <v>29</v>
      </c>
      <c r="G380" s="5" t="s">
        <v>10</v>
      </c>
      <c r="H380" s="7">
        <v>302149</v>
      </c>
      <c r="I380" s="7">
        <v>331621</v>
      </c>
      <c r="J380" s="7">
        <v>29472</v>
      </c>
      <c r="K380" s="8">
        <v>9.7541279302595735E-2</v>
      </c>
    </row>
    <row r="381" spans="1:11" x14ac:dyDescent="0.3">
      <c r="A381" s="5" t="s">
        <v>46</v>
      </c>
      <c r="B381" s="6">
        <v>40238</v>
      </c>
      <c r="C381" s="5">
        <v>10</v>
      </c>
      <c r="D381" s="5">
        <v>3</v>
      </c>
      <c r="E381" s="5">
        <v>2010</v>
      </c>
      <c r="F381" s="5" t="s">
        <v>30</v>
      </c>
      <c r="G381" s="5" t="s">
        <v>10</v>
      </c>
      <c r="H381" s="7">
        <v>78354</v>
      </c>
      <c r="I381" s="7">
        <v>88662</v>
      </c>
      <c r="J381" s="7">
        <v>10308</v>
      </c>
      <c r="K381" s="8">
        <v>0.13155678076422392</v>
      </c>
    </row>
    <row r="382" spans="1:11" x14ac:dyDescent="0.3">
      <c r="A382" s="5" t="s">
        <v>46</v>
      </c>
      <c r="B382" s="6">
        <v>40238</v>
      </c>
      <c r="C382" s="5">
        <v>10</v>
      </c>
      <c r="D382" s="5">
        <v>3</v>
      </c>
      <c r="E382" s="5">
        <v>2010</v>
      </c>
      <c r="F382" s="5" t="s">
        <v>9</v>
      </c>
      <c r="G382" s="5" t="s">
        <v>9</v>
      </c>
      <c r="H382" s="7">
        <v>466293</v>
      </c>
      <c r="I382" s="7">
        <v>553192</v>
      </c>
      <c r="J382" s="7">
        <v>86899</v>
      </c>
      <c r="K382" s="8">
        <v>0.18636136506445519</v>
      </c>
    </row>
    <row r="383" spans="1:11" x14ac:dyDescent="0.3">
      <c r="A383" s="5" t="s">
        <v>46</v>
      </c>
      <c r="B383" s="6">
        <v>40238</v>
      </c>
      <c r="C383" s="5">
        <v>10</v>
      </c>
      <c r="D383" s="5">
        <v>3</v>
      </c>
      <c r="E383" s="5">
        <v>2010</v>
      </c>
      <c r="F383" s="5" t="s">
        <v>31</v>
      </c>
      <c r="G383" s="5" t="s">
        <v>7</v>
      </c>
      <c r="H383" s="7">
        <v>51918</v>
      </c>
      <c r="I383" s="7">
        <v>63159</v>
      </c>
      <c r="J383" s="7">
        <v>11241</v>
      </c>
      <c r="K383" s="8">
        <v>0.21651450364035596</v>
      </c>
    </row>
    <row r="384" spans="1:11" x14ac:dyDescent="0.3">
      <c r="A384" s="5" t="s">
        <v>46</v>
      </c>
      <c r="B384" s="6">
        <v>40238</v>
      </c>
      <c r="C384" s="5">
        <v>10</v>
      </c>
      <c r="D384" s="5">
        <v>3</v>
      </c>
      <c r="E384" s="5">
        <v>2010</v>
      </c>
      <c r="F384" s="5" t="s">
        <v>33</v>
      </c>
      <c r="G384" s="5" t="s">
        <v>7</v>
      </c>
      <c r="H384" s="7">
        <v>54624</v>
      </c>
      <c r="I384" s="7">
        <v>97030</v>
      </c>
      <c r="J384" s="7">
        <v>42406</v>
      </c>
      <c r="K384" s="8">
        <v>0.77632542472173405</v>
      </c>
    </row>
    <row r="385" spans="1:11" x14ac:dyDescent="0.3">
      <c r="A385" s="5" t="s">
        <v>46</v>
      </c>
      <c r="B385" s="6">
        <v>40238</v>
      </c>
      <c r="C385" s="5">
        <v>10</v>
      </c>
      <c r="D385" s="5">
        <v>3</v>
      </c>
      <c r="E385" s="5">
        <v>2010</v>
      </c>
      <c r="F385" s="5" t="s">
        <v>34</v>
      </c>
      <c r="G385" s="5" t="s">
        <v>7</v>
      </c>
      <c r="H385" s="7">
        <v>5173</v>
      </c>
      <c r="I385" s="7">
        <v>5793</v>
      </c>
      <c r="J385" s="7">
        <v>620</v>
      </c>
      <c r="K385" s="8">
        <v>0.11985308331722405</v>
      </c>
    </row>
    <row r="386" spans="1:11" x14ac:dyDescent="0.3">
      <c r="A386" s="5" t="s">
        <v>46</v>
      </c>
      <c r="B386" s="6">
        <v>40238</v>
      </c>
      <c r="C386" s="5">
        <v>10</v>
      </c>
      <c r="D386" s="5">
        <v>3</v>
      </c>
      <c r="E386" s="5">
        <v>2010</v>
      </c>
      <c r="F386" s="5" t="s">
        <v>35</v>
      </c>
      <c r="G386" s="5" t="s">
        <v>11</v>
      </c>
      <c r="H386" s="7">
        <v>5784</v>
      </c>
      <c r="I386" s="7">
        <v>7262</v>
      </c>
      <c r="J386" s="7">
        <v>1478</v>
      </c>
      <c r="K386" s="8">
        <v>0.25553250345781464</v>
      </c>
    </row>
    <row r="387" spans="1:11" x14ac:dyDescent="0.3">
      <c r="A387" s="5" t="s">
        <v>46</v>
      </c>
      <c r="B387" s="6">
        <v>40238</v>
      </c>
      <c r="C387" s="5">
        <v>10</v>
      </c>
      <c r="D387" s="5">
        <v>3</v>
      </c>
      <c r="E387" s="5">
        <v>2010</v>
      </c>
      <c r="F387" s="5" t="s">
        <v>36</v>
      </c>
      <c r="G387" s="5" t="s">
        <v>11</v>
      </c>
      <c r="H387" s="7">
        <v>119882</v>
      </c>
      <c r="I387" s="7">
        <v>131947</v>
      </c>
      <c r="J387" s="7">
        <v>12065</v>
      </c>
      <c r="K387" s="8">
        <v>0.1006406299527869</v>
      </c>
    </row>
    <row r="388" spans="1:11" x14ac:dyDescent="0.3">
      <c r="A388" s="5" t="s">
        <v>46</v>
      </c>
      <c r="B388" s="6">
        <v>40238</v>
      </c>
      <c r="C388" s="5">
        <v>10</v>
      </c>
      <c r="D388" s="5">
        <v>3</v>
      </c>
      <c r="E388" s="5">
        <v>2010</v>
      </c>
      <c r="F388" s="5" t="s">
        <v>37</v>
      </c>
      <c r="G388" s="5" t="s">
        <v>11</v>
      </c>
      <c r="H388" s="7">
        <v>215211</v>
      </c>
      <c r="I388" s="7">
        <v>234454</v>
      </c>
      <c r="J388" s="7">
        <v>19243</v>
      </c>
      <c r="K388" s="8">
        <v>8.9414574533829588E-2</v>
      </c>
    </row>
    <row r="389" spans="1:11" x14ac:dyDescent="0.3">
      <c r="A389" s="5" t="s">
        <v>46</v>
      </c>
      <c r="B389" s="6">
        <v>40238</v>
      </c>
      <c r="C389" s="5">
        <v>10</v>
      </c>
      <c r="D389" s="5">
        <v>3</v>
      </c>
      <c r="E389" s="5">
        <v>2010</v>
      </c>
      <c r="F389" s="5" t="s">
        <v>38</v>
      </c>
      <c r="G389" s="5" t="s">
        <v>11</v>
      </c>
      <c r="H389" s="7">
        <v>246500</v>
      </c>
      <c r="I389" s="7">
        <v>264270</v>
      </c>
      <c r="J389" s="7">
        <v>17770</v>
      </c>
      <c r="K389" s="8">
        <v>7.2089249492900603E-2</v>
      </c>
    </row>
    <row r="390" spans="1:11" x14ac:dyDescent="0.3">
      <c r="A390" s="5" t="s">
        <v>46</v>
      </c>
      <c r="B390" s="6">
        <v>40239</v>
      </c>
      <c r="C390" s="5">
        <v>10</v>
      </c>
      <c r="D390" s="5">
        <v>3</v>
      </c>
      <c r="E390" s="5">
        <v>2010</v>
      </c>
      <c r="F390" s="5" t="s">
        <v>14</v>
      </c>
      <c r="G390" s="5" t="s">
        <v>6</v>
      </c>
      <c r="H390" s="7">
        <v>11733</v>
      </c>
      <c r="I390" s="7">
        <v>13432</v>
      </c>
      <c r="J390" s="7">
        <v>1699</v>
      </c>
      <c r="K390" s="8">
        <v>0.14480525014915197</v>
      </c>
    </row>
    <row r="391" spans="1:11" x14ac:dyDescent="0.3">
      <c r="A391" s="5" t="s">
        <v>46</v>
      </c>
      <c r="B391" s="6">
        <v>40239</v>
      </c>
      <c r="C391" s="5">
        <v>10</v>
      </c>
      <c r="D391" s="5">
        <v>3</v>
      </c>
      <c r="E391" s="5">
        <v>2010</v>
      </c>
      <c r="F391" s="5" t="s">
        <v>15</v>
      </c>
      <c r="G391" s="5" t="s">
        <v>6</v>
      </c>
      <c r="H391" s="7">
        <v>174073</v>
      </c>
      <c r="I391" s="7">
        <v>200981</v>
      </c>
      <c r="J391" s="7">
        <v>26908</v>
      </c>
      <c r="K391" s="8">
        <v>0.15457882612467183</v>
      </c>
    </row>
    <row r="392" spans="1:11" x14ac:dyDescent="0.3">
      <c r="A392" s="5" t="s">
        <v>46</v>
      </c>
      <c r="B392" s="6">
        <v>40239</v>
      </c>
      <c r="C392" s="5">
        <v>10</v>
      </c>
      <c r="D392" s="5">
        <v>3</v>
      </c>
      <c r="E392" s="5">
        <v>2010</v>
      </c>
      <c r="F392" s="5" t="s">
        <v>16</v>
      </c>
      <c r="G392" s="5" t="s">
        <v>6</v>
      </c>
      <c r="H392" s="7">
        <v>59837</v>
      </c>
      <c r="I392" s="7">
        <v>65527</v>
      </c>
      <c r="J392" s="7">
        <v>5690</v>
      </c>
      <c r="K392" s="8">
        <v>9.5091665691796043E-2</v>
      </c>
    </row>
    <row r="393" spans="1:11" x14ac:dyDescent="0.3">
      <c r="A393" s="5" t="s">
        <v>46</v>
      </c>
      <c r="B393" s="6">
        <v>40239</v>
      </c>
      <c r="C393" s="5">
        <v>10</v>
      </c>
      <c r="D393" s="5">
        <v>3</v>
      </c>
      <c r="E393" s="5">
        <v>2010</v>
      </c>
      <c r="F393" s="5" t="s">
        <v>17</v>
      </c>
      <c r="G393" s="5" t="s">
        <v>6</v>
      </c>
      <c r="H393" s="7">
        <v>1407</v>
      </c>
      <c r="I393" s="7">
        <v>1573</v>
      </c>
      <c r="J393" s="7">
        <v>166</v>
      </c>
      <c r="K393" s="8">
        <v>0.11798152096659559</v>
      </c>
    </row>
    <row r="394" spans="1:11" x14ac:dyDescent="0.3">
      <c r="A394" s="5" t="s">
        <v>46</v>
      </c>
      <c r="B394" s="6">
        <v>40239</v>
      </c>
      <c r="C394" s="5">
        <v>10</v>
      </c>
      <c r="D394" s="5">
        <v>3</v>
      </c>
      <c r="E394" s="5">
        <v>2010</v>
      </c>
      <c r="F394" s="5" t="s">
        <v>18</v>
      </c>
      <c r="G394" s="5" t="s">
        <v>6</v>
      </c>
      <c r="H394" s="7">
        <v>26274</v>
      </c>
      <c r="I394" s="7">
        <v>30244</v>
      </c>
      <c r="J394" s="7">
        <v>3970</v>
      </c>
      <c r="K394" s="8">
        <v>0.15109994671538404</v>
      </c>
    </row>
    <row r="395" spans="1:11" x14ac:dyDescent="0.3">
      <c r="A395" s="5" t="s">
        <v>46</v>
      </c>
      <c r="B395" s="6">
        <v>40239</v>
      </c>
      <c r="C395" s="5">
        <v>10</v>
      </c>
      <c r="D395" s="5">
        <v>3</v>
      </c>
      <c r="E395" s="5">
        <v>2010</v>
      </c>
      <c r="F395" s="5" t="s">
        <v>19</v>
      </c>
      <c r="G395" s="5" t="s">
        <v>5</v>
      </c>
      <c r="H395" s="7">
        <v>161539</v>
      </c>
      <c r="I395" s="7">
        <v>179455</v>
      </c>
      <c r="J395" s="7">
        <v>17916</v>
      </c>
      <c r="K395" s="8">
        <v>0.11090820173456564</v>
      </c>
    </row>
    <row r="396" spans="1:11" x14ac:dyDescent="0.3">
      <c r="A396" s="5" t="s">
        <v>46</v>
      </c>
      <c r="B396" s="6">
        <v>40239</v>
      </c>
      <c r="C396" s="5">
        <v>10</v>
      </c>
      <c r="D396" s="5">
        <v>3</v>
      </c>
      <c r="E396" s="5">
        <v>2010</v>
      </c>
      <c r="F396" s="5" t="s">
        <v>5</v>
      </c>
      <c r="G396" s="5" t="s">
        <v>5</v>
      </c>
      <c r="H396" s="7">
        <v>487258</v>
      </c>
      <c r="I396" s="7">
        <v>513238</v>
      </c>
      <c r="J396" s="7">
        <v>25980</v>
      </c>
      <c r="K396" s="8">
        <v>5.331877567941419E-2</v>
      </c>
    </row>
    <row r="397" spans="1:11" x14ac:dyDescent="0.3">
      <c r="A397" s="5" t="s">
        <v>46</v>
      </c>
      <c r="B397" s="6">
        <v>40239</v>
      </c>
      <c r="C397" s="5">
        <v>10</v>
      </c>
      <c r="D397" s="5">
        <v>3</v>
      </c>
      <c r="E397" s="5">
        <v>2010</v>
      </c>
      <c r="F397" s="5" t="s">
        <v>20</v>
      </c>
      <c r="G397" s="5" t="s">
        <v>5</v>
      </c>
      <c r="H397" s="7">
        <v>115798</v>
      </c>
      <c r="I397" s="7">
        <v>128341</v>
      </c>
      <c r="J397" s="7">
        <v>12543</v>
      </c>
      <c r="K397" s="8">
        <v>0.10831793295220989</v>
      </c>
    </row>
    <row r="398" spans="1:11" x14ac:dyDescent="0.3">
      <c r="A398" s="5" t="s">
        <v>46</v>
      </c>
      <c r="B398" s="6">
        <v>40239</v>
      </c>
      <c r="C398" s="5">
        <v>10</v>
      </c>
      <c r="D398" s="5">
        <v>3</v>
      </c>
      <c r="E398" s="5">
        <v>2010</v>
      </c>
      <c r="F398" s="5" t="s">
        <v>21</v>
      </c>
      <c r="G398" s="5" t="s">
        <v>5</v>
      </c>
      <c r="H398" s="7">
        <v>204483</v>
      </c>
      <c r="I398" s="7">
        <v>213824</v>
      </c>
      <c r="J398" s="7">
        <v>9341</v>
      </c>
      <c r="K398" s="8">
        <v>4.5681059061144447E-2</v>
      </c>
    </row>
    <row r="399" spans="1:11" x14ac:dyDescent="0.3">
      <c r="A399" s="5" t="s">
        <v>46</v>
      </c>
      <c r="B399" s="6">
        <v>40239</v>
      </c>
      <c r="C399" s="5">
        <v>10</v>
      </c>
      <c r="D399" s="5">
        <v>3</v>
      </c>
      <c r="E399" s="5">
        <v>2010</v>
      </c>
      <c r="F399" s="5" t="s">
        <v>22</v>
      </c>
      <c r="G399" s="5" t="s">
        <v>8</v>
      </c>
      <c r="H399" s="7">
        <v>352523</v>
      </c>
      <c r="I399" s="7">
        <v>386008</v>
      </c>
      <c r="J399" s="7">
        <v>33485</v>
      </c>
      <c r="K399" s="8">
        <v>9.4986710087001422E-2</v>
      </c>
    </row>
    <row r="400" spans="1:11" x14ac:dyDescent="0.3">
      <c r="A400" s="5" t="s">
        <v>46</v>
      </c>
      <c r="B400" s="6">
        <v>40239</v>
      </c>
      <c r="C400" s="5">
        <v>10</v>
      </c>
      <c r="D400" s="5">
        <v>3</v>
      </c>
      <c r="E400" s="5">
        <v>2010</v>
      </c>
      <c r="F400" s="5" t="s">
        <v>23</v>
      </c>
      <c r="G400" s="5" t="s">
        <v>8</v>
      </c>
      <c r="H400" s="7">
        <v>116111</v>
      </c>
      <c r="I400" s="7">
        <v>121797</v>
      </c>
      <c r="J400" s="7">
        <v>5686</v>
      </c>
      <c r="K400" s="8">
        <v>4.8970381789839035E-2</v>
      </c>
    </row>
    <row r="401" spans="1:11" x14ac:dyDescent="0.3">
      <c r="A401" s="5" t="s">
        <v>46</v>
      </c>
      <c r="B401" s="6">
        <v>40239</v>
      </c>
      <c r="C401" s="5">
        <v>10</v>
      </c>
      <c r="D401" s="5">
        <v>3</v>
      </c>
      <c r="E401" s="5">
        <v>2010</v>
      </c>
      <c r="F401" s="5" t="s">
        <v>24</v>
      </c>
      <c r="G401" s="5" t="s">
        <v>8</v>
      </c>
      <c r="H401" s="7">
        <v>130957</v>
      </c>
      <c r="I401" s="7">
        <v>141885</v>
      </c>
      <c r="J401" s="7">
        <v>10928</v>
      </c>
      <c r="K401" s="8">
        <v>8.3447238406499841E-2</v>
      </c>
    </row>
    <row r="402" spans="1:11" x14ac:dyDescent="0.3">
      <c r="A402" s="5" t="s">
        <v>46</v>
      </c>
      <c r="B402" s="6">
        <v>40239</v>
      </c>
      <c r="C402" s="5">
        <v>10</v>
      </c>
      <c r="D402" s="5">
        <v>3</v>
      </c>
      <c r="E402" s="5">
        <v>2010</v>
      </c>
      <c r="F402" s="5" t="s">
        <v>25</v>
      </c>
      <c r="G402" s="5" t="s">
        <v>8</v>
      </c>
      <c r="H402" s="7">
        <v>9346</v>
      </c>
      <c r="I402" s="7">
        <v>10120</v>
      </c>
      <c r="J402" s="7">
        <v>774</v>
      </c>
      <c r="K402" s="8">
        <v>8.2816178044083033E-2</v>
      </c>
    </row>
    <row r="403" spans="1:11" x14ac:dyDescent="0.3">
      <c r="A403" s="5" t="s">
        <v>46</v>
      </c>
      <c r="B403" s="6">
        <v>40239</v>
      </c>
      <c r="C403" s="5">
        <v>10</v>
      </c>
      <c r="D403" s="5">
        <v>3</v>
      </c>
      <c r="E403" s="5">
        <v>2010</v>
      </c>
      <c r="F403" s="5" t="s">
        <v>26</v>
      </c>
      <c r="G403" s="5" t="s">
        <v>10</v>
      </c>
      <c r="H403" s="7">
        <v>9776</v>
      </c>
      <c r="I403" s="7">
        <v>10985</v>
      </c>
      <c r="J403" s="7">
        <v>1209</v>
      </c>
      <c r="K403" s="8">
        <v>0.12367021276595745</v>
      </c>
    </row>
    <row r="404" spans="1:11" x14ac:dyDescent="0.3">
      <c r="A404" s="5" t="s">
        <v>46</v>
      </c>
      <c r="B404" s="6">
        <v>40239</v>
      </c>
      <c r="C404" s="5">
        <v>10</v>
      </c>
      <c r="D404" s="5">
        <v>3</v>
      </c>
      <c r="E404" s="5">
        <v>2010</v>
      </c>
      <c r="F404" s="5" t="s">
        <v>27</v>
      </c>
      <c r="G404" s="5" t="s">
        <v>10</v>
      </c>
      <c r="H404" s="7">
        <v>75301</v>
      </c>
      <c r="I404" s="7">
        <v>85672</v>
      </c>
      <c r="J404" s="7">
        <v>10371</v>
      </c>
      <c r="K404" s="8">
        <v>0.13772725461813257</v>
      </c>
    </row>
    <row r="405" spans="1:11" x14ac:dyDescent="0.3">
      <c r="A405" s="5" t="s">
        <v>46</v>
      </c>
      <c r="B405" s="6">
        <v>40239</v>
      </c>
      <c r="C405" s="5">
        <v>10</v>
      </c>
      <c r="D405" s="5">
        <v>3</v>
      </c>
      <c r="E405" s="5">
        <v>2010</v>
      </c>
      <c r="F405" s="5" t="s">
        <v>28</v>
      </c>
      <c r="G405" s="5" t="s">
        <v>10</v>
      </c>
      <c r="H405" s="7">
        <v>92818</v>
      </c>
      <c r="I405" s="7">
        <v>106988</v>
      </c>
      <c r="J405" s="7">
        <v>14170</v>
      </c>
      <c r="K405" s="8">
        <v>0.15266435389687344</v>
      </c>
    </row>
    <row r="406" spans="1:11" x14ac:dyDescent="0.3">
      <c r="A406" s="5" t="s">
        <v>46</v>
      </c>
      <c r="B406" s="6">
        <v>40239</v>
      </c>
      <c r="C406" s="5">
        <v>10</v>
      </c>
      <c r="D406" s="5">
        <v>3</v>
      </c>
      <c r="E406" s="5">
        <v>2010</v>
      </c>
      <c r="F406" s="5" t="s">
        <v>29</v>
      </c>
      <c r="G406" s="5" t="s">
        <v>10</v>
      </c>
      <c r="H406" s="7">
        <v>457530</v>
      </c>
      <c r="I406" s="7">
        <v>496601</v>
      </c>
      <c r="J406" s="7">
        <v>39071</v>
      </c>
      <c r="K406" s="8">
        <v>8.5395493191703281E-2</v>
      </c>
    </row>
    <row r="407" spans="1:11" x14ac:dyDescent="0.3">
      <c r="A407" s="5" t="s">
        <v>46</v>
      </c>
      <c r="B407" s="6">
        <v>40239</v>
      </c>
      <c r="C407" s="5">
        <v>10</v>
      </c>
      <c r="D407" s="5">
        <v>3</v>
      </c>
      <c r="E407" s="5">
        <v>2010</v>
      </c>
      <c r="F407" s="5" t="s">
        <v>30</v>
      </c>
      <c r="G407" s="5" t="s">
        <v>10</v>
      </c>
      <c r="H407" s="7">
        <v>96976</v>
      </c>
      <c r="I407" s="7">
        <v>109219</v>
      </c>
      <c r="J407" s="7">
        <v>12243</v>
      </c>
      <c r="K407" s="8">
        <v>0.12624773139745918</v>
      </c>
    </row>
    <row r="408" spans="1:11" x14ac:dyDescent="0.3">
      <c r="A408" s="5" t="s">
        <v>46</v>
      </c>
      <c r="B408" s="6">
        <v>40239</v>
      </c>
      <c r="C408" s="5">
        <v>10</v>
      </c>
      <c r="D408" s="5">
        <v>3</v>
      </c>
      <c r="E408" s="5">
        <v>2010</v>
      </c>
      <c r="F408" s="5" t="s">
        <v>9</v>
      </c>
      <c r="G408" s="5" t="s">
        <v>9</v>
      </c>
      <c r="H408" s="7">
        <v>473571</v>
      </c>
      <c r="I408" s="7">
        <v>562022</v>
      </c>
      <c r="J408" s="7">
        <v>88451</v>
      </c>
      <c r="K408" s="8">
        <v>0.18677452800108116</v>
      </c>
    </row>
    <row r="409" spans="1:11" x14ac:dyDescent="0.3">
      <c r="A409" s="5" t="s">
        <v>46</v>
      </c>
      <c r="B409" s="6">
        <v>40239</v>
      </c>
      <c r="C409" s="5">
        <v>10</v>
      </c>
      <c r="D409" s="5">
        <v>3</v>
      </c>
      <c r="E409" s="5">
        <v>2010</v>
      </c>
      <c r="F409" s="5" t="s">
        <v>31</v>
      </c>
      <c r="G409" s="5" t="s">
        <v>7</v>
      </c>
      <c r="H409" s="7">
        <v>59367</v>
      </c>
      <c r="I409" s="7">
        <v>71009</v>
      </c>
      <c r="J409" s="7">
        <v>11642</v>
      </c>
      <c r="K409" s="8">
        <v>0.19610221166641401</v>
      </c>
    </row>
    <row r="410" spans="1:11" x14ac:dyDescent="0.3">
      <c r="A410" s="5" t="s">
        <v>46</v>
      </c>
      <c r="B410" s="6">
        <v>40239</v>
      </c>
      <c r="C410" s="5">
        <v>10</v>
      </c>
      <c r="D410" s="5">
        <v>3</v>
      </c>
      <c r="E410" s="5">
        <v>2010</v>
      </c>
      <c r="F410" s="5" t="s">
        <v>33</v>
      </c>
      <c r="G410" s="5" t="s">
        <v>7</v>
      </c>
      <c r="H410" s="7">
        <v>51691</v>
      </c>
      <c r="I410" s="7">
        <v>97968</v>
      </c>
      <c r="J410" s="7">
        <v>46277</v>
      </c>
      <c r="K410" s="8">
        <v>0.89526223133620941</v>
      </c>
    </row>
    <row r="411" spans="1:11" x14ac:dyDescent="0.3">
      <c r="A411" s="5" t="s">
        <v>46</v>
      </c>
      <c r="B411" s="6">
        <v>40239</v>
      </c>
      <c r="C411" s="5">
        <v>10</v>
      </c>
      <c r="D411" s="5">
        <v>3</v>
      </c>
      <c r="E411" s="5">
        <v>2010</v>
      </c>
      <c r="F411" s="5" t="s">
        <v>34</v>
      </c>
      <c r="G411" s="5" t="s">
        <v>7</v>
      </c>
      <c r="H411" s="7">
        <v>1067</v>
      </c>
      <c r="I411" s="7">
        <v>1195</v>
      </c>
      <c r="J411" s="7">
        <v>128</v>
      </c>
      <c r="K411" s="8">
        <v>0.11996251171508904</v>
      </c>
    </row>
    <row r="412" spans="1:11" x14ac:dyDescent="0.3">
      <c r="A412" s="5" t="s">
        <v>46</v>
      </c>
      <c r="B412" s="6">
        <v>40239</v>
      </c>
      <c r="C412" s="5">
        <v>10</v>
      </c>
      <c r="D412" s="5">
        <v>3</v>
      </c>
      <c r="E412" s="5">
        <v>2010</v>
      </c>
      <c r="F412" s="5" t="s">
        <v>35</v>
      </c>
      <c r="G412" s="5" t="s">
        <v>11</v>
      </c>
      <c r="H412" s="7">
        <v>7729</v>
      </c>
      <c r="I412" s="7">
        <v>9191</v>
      </c>
      <c r="J412" s="7">
        <v>1462</v>
      </c>
      <c r="K412" s="8">
        <v>0.18915771768663475</v>
      </c>
    </row>
    <row r="413" spans="1:11" x14ac:dyDescent="0.3">
      <c r="A413" s="5" t="s">
        <v>46</v>
      </c>
      <c r="B413" s="6">
        <v>40239</v>
      </c>
      <c r="C413" s="5">
        <v>10</v>
      </c>
      <c r="D413" s="5">
        <v>3</v>
      </c>
      <c r="E413" s="5">
        <v>2010</v>
      </c>
      <c r="F413" s="5" t="s">
        <v>36</v>
      </c>
      <c r="G413" s="5" t="s">
        <v>11</v>
      </c>
      <c r="H413" s="7">
        <v>168595</v>
      </c>
      <c r="I413" s="7">
        <v>185001</v>
      </c>
      <c r="J413" s="7">
        <v>16406</v>
      </c>
      <c r="K413" s="8">
        <v>9.7310121889735757E-2</v>
      </c>
    </row>
    <row r="414" spans="1:11" x14ac:dyDescent="0.3">
      <c r="A414" s="5" t="s">
        <v>46</v>
      </c>
      <c r="B414" s="6">
        <v>40239</v>
      </c>
      <c r="C414" s="5">
        <v>10</v>
      </c>
      <c r="D414" s="5">
        <v>3</v>
      </c>
      <c r="E414" s="5">
        <v>2010</v>
      </c>
      <c r="F414" s="5" t="s">
        <v>37</v>
      </c>
      <c r="G414" s="5" t="s">
        <v>11</v>
      </c>
      <c r="H414" s="7">
        <v>227209</v>
      </c>
      <c r="I414" s="7">
        <v>245684</v>
      </c>
      <c r="J414" s="7">
        <v>18475</v>
      </c>
      <c r="K414" s="8">
        <v>8.131280010915061E-2</v>
      </c>
    </row>
    <row r="415" spans="1:11" x14ac:dyDescent="0.3">
      <c r="A415" s="5" t="s">
        <v>46</v>
      </c>
      <c r="B415" s="6">
        <v>40239</v>
      </c>
      <c r="C415" s="5">
        <v>10</v>
      </c>
      <c r="D415" s="5">
        <v>3</v>
      </c>
      <c r="E415" s="5">
        <v>2010</v>
      </c>
      <c r="F415" s="5" t="s">
        <v>38</v>
      </c>
      <c r="G415" s="5" t="s">
        <v>11</v>
      </c>
      <c r="H415" s="7">
        <v>318007</v>
      </c>
      <c r="I415" s="7">
        <v>332164</v>
      </c>
      <c r="J415" s="7">
        <v>14157</v>
      </c>
      <c r="K415" s="8">
        <v>4.4517887971019507E-2</v>
      </c>
    </row>
    <row r="416" spans="1:11" x14ac:dyDescent="0.3">
      <c r="A416" s="5" t="s">
        <v>46</v>
      </c>
      <c r="B416" s="6">
        <v>40240</v>
      </c>
      <c r="C416" s="5">
        <v>10</v>
      </c>
      <c r="D416" s="5">
        <v>3</v>
      </c>
      <c r="E416" s="5">
        <v>2010</v>
      </c>
      <c r="F416" s="5" t="s">
        <v>14</v>
      </c>
      <c r="G416" s="5" t="s">
        <v>6</v>
      </c>
      <c r="H416" s="7">
        <v>6992</v>
      </c>
      <c r="I416" s="7">
        <v>8111</v>
      </c>
      <c r="J416" s="7">
        <v>1119</v>
      </c>
      <c r="K416" s="8">
        <v>0.16004004576659039</v>
      </c>
    </row>
    <row r="417" spans="1:11" x14ac:dyDescent="0.3">
      <c r="A417" s="5" t="s">
        <v>46</v>
      </c>
      <c r="B417" s="6">
        <v>40240</v>
      </c>
      <c r="C417" s="5">
        <v>10</v>
      </c>
      <c r="D417" s="5">
        <v>3</v>
      </c>
      <c r="E417" s="5">
        <v>2010</v>
      </c>
      <c r="F417" s="5" t="s">
        <v>15</v>
      </c>
      <c r="G417" s="5" t="s">
        <v>6</v>
      </c>
      <c r="H417" s="7">
        <v>138889</v>
      </c>
      <c r="I417" s="7">
        <v>166224</v>
      </c>
      <c r="J417" s="7">
        <v>27335</v>
      </c>
      <c r="K417" s="8">
        <v>0.19681184255052597</v>
      </c>
    </row>
    <row r="418" spans="1:11" x14ac:dyDescent="0.3">
      <c r="A418" s="5" t="s">
        <v>46</v>
      </c>
      <c r="B418" s="6">
        <v>40240</v>
      </c>
      <c r="C418" s="5">
        <v>10</v>
      </c>
      <c r="D418" s="5">
        <v>3</v>
      </c>
      <c r="E418" s="5">
        <v>2010</v>
      </c>
      <c r="F418" s="5" t="s">
        <v>16</v>
      </c>
      <c r="G418" s="5" t="s">
        <v>6</v>
      </c>
      <c r="H418" s="7">
        <v>88175</v>
      </c>
      <c r="I418" s="7">
        <v>94926</v>
      </c>
      <c r="J418" s="7">
        <v>6751</v>
      </c>
      <c r="K418" s="8">
        <v>7.6563651828749649E-2</v>
      </c>
    </row>
    <row r="419" spans="1:11" x14ac:dyDescent="0.3">
      <c r="A419" s="5" t="s">
        <v>46</v>
      </c>
      <c r="B419" s="6">
        <v>40240</v>
      </c>
      <c r="C419" s="5">
        <v>10</v>
      </c>
      <c r="D419" s="5">
        <v>3</v>
      </c>
      <c r="E419" s="5">
        <v>2010</v>
      </c>
      <c r="F419" s="5" t="s">
        <v>17</v>
      </c>
      <c r="G419" s="5" t="s">
        <v>6</v>
      </c>
      <c r="H419" s="7">
        <v>618</v>
      </c>
      <c r="I419" s="7">
        <v>710</v>
      </c>
      <c r="J419" s="7">
        <v>92</v>
      </c>
      <c r="K419" s="8">
        <v>0.14886731391585761</v>
      </c>
    </row>
    <row r="420" spans="1:11" x14ac:dyDescent="0.3">
      <c r="A420" s="5" t="s">
        <v>46</v>
      </c>
      <c r="B420" s="6">
        <v>40240</v>
      </c>
      <c r="C420" s="5">
        <v>10</v>
      </c>
      <c r="D420" s="5">
        <v>3</v>
      </c>
      <c r="E420" s="5">
        <v>2010</v>
      </c>
      <c r="F420" s="5" t="s">
        <v>18</v>
      </c>
      <c r="G420" s="5" t="s">
        <v>6</v>
      </c>
      <c r="H420" s="7">
        <v>21092</v>
      </c>
      <c r="I420" s="7">
        <v>23751</v>
      </c>
      <c r="J420" s="7">
        <v>2659</v>
      </c>
      <c r="K420" s="8">
        <v>0.12606675516783614</v>
      </c>
    </row>
    <row r="421" spans="1:11" x14ac:dyDescent="0.3">
      <c r="A421" s="5" t="s">
        <v>46</v>
      </c>
      <c r="B421" s="6">
        <v>40240</v>
      </c>
      <c r="C421" s="5">
        <v>10</v>
      </c>
      <c r="D421" s="5">
        <v>3</v>
      </c>
      <c r="E421" s="5">
        <v>2010</v>
      </c>
      <c r="F421" s="5" t="s">
        <v>19</v>
      </c>
      <c r="G421" s="5" t="s">
        <v>5</v>
      </c>
      <c r="H421" s="7">
        <v>154605</v>
      </c>
      <c r="I421" s="7">
        <v>172811</v>
      </c>
      <c r="J421" s="7">
        <v>18206</v>
      </c>
      <c r="K421" s="8">
        <v>0.11775815788622619</v>
      </c>
    </row>
    <row r="422" spans="1:11" x14ac:dyDescent="0.3">
      <c r="A422" s="5" t="s">
        <v>46</v>
      </c>
      <c r="B422" s="6">
        <v>40240</v>
      </c>
      <c r="C422" s="5">
        <v>10</v>
      </c>
      <c r="D422" s="5">
        <v>3</v>
      </c>
      <c r="E422" s="5">
        <v>2010</v>
      </c>
      <c r="F422" s="5" t="s">
        <v>5</v>
      </c>
      <c r="G422" s="5" t="s">
        <v>5</v>
      </c>
      <c r="H422" s="7">
        <v>455894</v>
      </c>
      <c r="I422" s="7">
        <v>482867</v>
      </c>
      <c r="J422" s="7">
        <v>26973</v>
      </c>
      <c r="K422" s="8">
        <v>5.9165069073074006E-2</v>
      </c>
    </row>
    <row r="423" spans="1:11" x14ac:dyDescent="0.3">
      <c r="A423" s="5" t="s">
        <v>46</v>
      </c>
      <c r="B423" s="6">
        <v>40240</v>
      </c>
      <c r="C423" s="5">
        <v>10</v>
      </c>
      <c r="D423" s="5">
        <v>3</v>
      </c>
      <c r="E423" s="5">
        <v>2010</v>
      </c>
      <c r="F423" s="5" t="s">
        <v>20</v>
      </c>
      <c r="G423" s="5" t="s">
        <v>5</v>
      </c>
      <c r="H423" s="7">
        <v>87079</v>
      </c>
      <c r="I423" s="7">
        <v>96470</v>
      </c>
      <c r="J423" s="7">
        <v>9391</v>
      </c>
      <c r="K423" s="8">
        <v>0.107844600879661</v>
      </c>
    </row>
    <row r="424" spans="1:11" x14ac:dyDescent="0.3">
      <c r="A424" s="5" t="s">
        <v>46</v>
      </c>
      <c r="B424" s="6">
        <v>40240</v>
      </c>
      <c r="C424" s="5">
        <v>10</v>
      </c>
      <c r="D424" s="5">
        <v>3</v>
      </c>
      <c r="E424" s="5">
        <v>2010</v>
      </c>
      <c r="F424" s="5" t="s">
        <v>21</v>
      </c>
      <c r="G424" s="5" t="s">
        <v>5</v>
      </c>
      <c r="H424" s="7">
        <v>189774</v>
      </c>
      <c r="I424" s="7">
        <v>203653</v>
      </c>
      <c r="J424" s="7">
        <v>13879</v>
      </c>
      <c r="K424" s="8">
        <v>7.313435981746709E-2</v>
      </c>
    </row>
    <row r="425" spans="1:11" x14ac:dyDescent="0.3">
      <c r="A425" s="5" t="s">
        <v>46</v>
      </c>
      <c r="B425" s="6">
        <v>40240</v>
      </c>
      <c r="C425" s="5">
        <v>10</v>
      </c>
      <c r="D425" s="5">
        <v>3</v>
      </c>
      <c r="E425" s="5">
        <v>2010</v>
      </c>
      <c r="F425" s="5" t="s">
        <v>22</v>
      </c>
      <c r="G425" s="5" t="s">
        <v>8</v>
      </c>
      <c r="H425" s="7">
        <v>355079</v>
      </c>
      <c r="I425" s="7">
        <v>389593</v>
      </c>
      <c r="J425" s="7">
        <v>34514</v>
      </c>
      <c r="K425" s="8">
        <v>9.7200904587429846E-2</v>
      </c>
    </row>
    <row r="426" spans="1:11" x14ac:dyDescent="0.3">
      <c r="A426" s="5" t="s">
        <v>46</v>
      </c>
      <c r="B426" s="6">
        <v>40240</v>
      </c>
      <c r="C426" s="5">
        <v>10</v>
      </c>
      <c r="D426" s="5">
        <v>3</v>
      </c>
      <c r="E426" s="5">
        <v>2010</v>
      </c>
      <c r="F426" s="5" t="s">
        <v>23</v>
      </c>
      <c r="G426" s="5" t="s">
        <v>8</v>
      </c>
      <c r="H426" s="7">
        <v>103354</v>
      </c>
      <c r="I426" s="7">
        <v>108457</v>
      </c>
      <c r="J426" s="7">
        <v>5103</v>
      </c>
      <c r="K426" s="8">
        <v>4.9373996168508232E-2</v>
      </c>
    </row>
    <row r="427" spans="1:11" x14ac:dyDescent="0.3">
      <c r="A427" s="5" t="s">
        <v>46</v>
      </c>
      <c r="B427" s="6">
        <v>40240</v>
      </c>
      <c r="C427" s="5">
        <v>10</v>
      </c>
      <c r="D427" s="5">
        <v>3</v>
      </c>
      <c r="E427" s="5">
        <v>2010</v>
      </c>
      <c r="F427" s="5" t="s">
        <v>24</v>
      </c>
      <c r="G427" s="5" t="s">
        <v>8</v>
      </c>
      <c r="H427" s="7">
        <v>118887</v>
      </c>
      <c r="I427" s="7">
        <v>129993</v>
      </c>
      <c r="J427" s="7">
        <v>11106</v>
      </c>
      <c r="K427" s="8">
        <v>9.3416437457417553E-2</v>
      </c>
    </row>
    <row r="428" spans="1:11" x14ac:dyDescent="0.3">
      <c r="A428" s="5" t="s">
        <v>46</v>
      </c>
      <c r="B428" s="6">
        <v>40240</v>
      </c>
      <c r="C428" s="5">
        <v>10</v>
      </c>
      <c r="D428" s="5">
        <v>3</v>
      </c>
      <c r="E428" s="5">
        <v>2010</v>
      </c>
      <c r="F428" s="5" t="s">
        <v>25</v>
      </c>
      <c r="G428" s="5" t="s">
        <v>8</v>
      </c>
      <c r="H428" s="7">
        <v>17282</v>
      </c>
      <c r="I428" s="7">
        <v>17884</v>
      </c>
      <c r="J428" s="7">
        <v>602</v>
      </c>
      <c r="K428" s="8">
        <v>3.4833931257956252E-2</v>
      </c>
    </row>
    <row r="429" spans="1:11" x14ac:dyDescent="0.3">
      <c r="A429" s="5" t="s">
        <v>46</v>
      </c>
      <c r="B429" s="6">
        <v>40240</v>
      </c>
      <c r="C429" s="5">
        <v>10</v>
      </c>
      <c r="D429" s="5">
        <v>3</v>
      </c>
      <c r="E429" s="5">
        <v>2010</v>
      </c>
      <c r="F429" s="5" t="s">
        <v>26</v>
      </c>
      <c r="G429" s="5" t="s">
        <v>10</v>
      </c>
      <c r="H429" s="7">
        <v>5641</v>
      </c>
      <c r="I429" s="7">
        <v>6280</v>
      </c>
      <c r="J429" s="7">
        <v>639</v>
      </c>
      <c r="K429" s="8">
        <v>0.11327778762630739</v>
      </c>
    </row>
    <row r="430" spans="1:11" x14ac:dyDescent="0.3">
      <c r="A430" s="5" t="s">
        <v>46</v>
      </c>
      <c r="B430" s="6">
        <v>40240</v>
      </c>
      <c r="C430" s="5">
        <v>10</v>
      </c>
      <c r="D430" s="5">
        <v>3</v>
      </c>
      <c r="E430" s="5">
        <v>2010</v>
      </c>
      <c r="F430" s="5" t="s">
        <v>27</v>
      </c>
      <c r="G430" s="5" t="s">
        <v>10</v>
      </c>
      <c r="H430" s="7">
        <v>59156</v>
      </c>
      <c r="I430" s="7">
        <v>67371</v>
      </c>
      <c r="J430" s="7">
        <v>8215</v>
      </c>
      <c r="K430" s="8">
        <v>0.13887010615998377</v>
      </c>
    </row>
    <row r="431" spans="1:11" x14ac:dyDescent="0.3">
      <c r="A431" s="5" t="s">
        <v>46</v>
      </c>
      <c r="B431" s="6">
        <v>40240</v>
      </c>
      <c r="C431" s="5">
        <v>10</v>
      </c>
      <c r="D431" s="5">
        <v>3</v>
      </c>
      <c r="E431" s="5">
        <v>2010</v>
      </c>
      <c r="F431" s="5" t="s">
        <v>28</v>
      </c>
      <c r="G431" s="5" t="s">
        <v>10</v>
      </c>
      <c r="H431" s="7">
        <v>60242</v>
      </c>
      <c r="I431" s="7">
        <v>69573</v>
      </c>
      <c r="J431" s="7">
        <v>9331</v>
      </c>
      <c r="K431" s="8">
        <v>0.15489193585870323</v>
      </c>
    </row>
    <row r="432" spans="1:11" x14ac:dyDescent="0.3">
      <c r="A432" s="5" t="s">
        <v>46</v>
      </c>
      <c r="B432" s="6">
        <v>40240</v>
      </c>
      <c r="C432" s="5">
        <v>10</v>
      </c>
      <c r="D432" s="5">
        <v>3</v>
      </c>
      <c r="E432" s="5">
        <v>2010</v>
      </c>
      <c r="F432" s="5" t="s">
        <v>29</v>
      </c>
      <c r="G432" s="5" t="s">
        <v>10</v>
      </c>
      <c r="H432" s="7">
        <v>397056</v>
      </c>
      <c r="I432" s="7">
        <v>435028</v>
      </c>
      <c r="J432" s="7">
        <v>37972</v>
      </c>
      <c r="K432" s="8">
        <v>9.5633865248226951E-2</v>
      </c>
    </row>
    <row r="433" spans="1:11" x14ac:dyDescent="0.3">
      <c r="A433" s="5" t="s">
        <v>46</v>
      </c>
      <c r="B433" s="6">
        <v>40240</v>
      </c>
      <c r="C433" s="5">
        <v>10</v>
      </c>
      <c r="D433" s="5">
        <v>3</v>
      </c>
      <c r="E433" s="5">
        <v>2010</v>
      </c>
      <c r="F433" s="5" t="s">
        <v>30</v>
      </c>
      <c r="G433" s="5" t="s">
        <v>10</v>
      </c>
      <c r="H433" s="7">
        <v>87198</v>
      </c>
      <c r="I433" s="7">
        <v>98567</v>
      </c>
      <c r="J433" s="7">
        <v>11369</v>
      </c>
      <c r="K433" s="8">
        <v>0.1303814307667607</v>
      </c>
    </row>
    <row r="434" spans="1:11" x14ac:dyDescent="0.3">
      <c r="A434" s="5" t="s">
        <v>46</v>
      </c>
      <c r="B434" s="6">
        <v>40240</v>
      </c>
      <c r="C434" s="5">
        <v>10</v>
      </c>
      <c r="D434" s="5">
        <v>3</v>
      </c>
      <c r="E434" s="5">
        <v>2010</v>
      </c>
      <c r="F434" s="5" t="s">
        <v>9</v>
      </c>
      <c r="G434" s="5" t="s">
        <v>9</v>
      </c>
      <c r="H434" s="7">
        <v>562653</v>
      </c>
      <c r="I434" s="7">
        <v>673520</v>
      </c>
      <c r="J434" s="7">
        <v>110867</v>
      </c>
      <c r="K434" s="8">
        <v>0.1970432931131621</v>
      </c>
    </row>
    <row r="435" spans="1:11" x14ac:dyDescent="0.3">
      <c r="A435" s="5" t="s">
        <v>46</v>
      </c>
      <c r="B435" s="6">
        <v>40240</v>
      </c>
      <c r="C435" s="5">
        <v>10</v>
      </c>
      <c r="D435" s="5">
        <v>3</v>
      </c>
      <c r="E435" s="5">
        <v>2010</v>
      </c>
      <c r="F435" s="5" t="s">
        <v>31</v>
      </c>
      <c r="G435" s="5" t="s">
        <v>7</v>
      </c>
      <c r="H435" s="7">
        <v>62085</v>
      </c>
      <c r="I435" s="7">
        <v>71551</v>
      </c>
      <c r="J435" s="7">
        <v>9466</v>
      </c>
      <c r="K435" s="8">
        <v>0.15246839011033261</v>
      </c>
    </row>
    <row r="436" spans="1:11" x14ac:dyDescent="0.3">
      <c r="A436" s="5" t="s">
        <v>46</v>
      </c>
      <c r="B436" s="6">
        <v>40240</v>
      </c>
      <c r="C436" s="5">
        <v>10</v>
      </c>
      <c r="D436" s="5">
        <v>3</v>
      </c>
      <c r="E436" s="5">
        <v>2010</v>
      </c>
      <c r="F436" s="5" t="s">
        <v>33</v>
      </c>
      <c r="G436" s="5" t="s">
        <v>7</v>
      </c>
      <c r="H436" s="7">
        <v>59673</v>
      </c>
      <c r="I436" s="7">
        <v>106538</v>
      </c>
      <c r="J436" s="7">
        <v>46865</v>
      </c>
      <c r="K436" s="8">
        <v>0.78536356476128233</v>
      </c>
    </row>
    <row r="437" spans="1:11" x14ac:dyDescent="0.3">
      <c r="A437" s="5" t="s">
        <v>46</v>
      </c>
      <c r="B437" s="6">
        <v>40240</v>
      </c>
      <c r="C437" s="5">
        <v>10</v>
      </c>
      <c r="D437" s="5">
        <v>3</v>
      </c>
      <c r="E437" s="5">
        <v>2010</v>
      </c>
      <c r="F437" s="5" t="s">
        <v>34</v>
      </c>
      <c r="G437" s="5" t="s">
        <v>7</v>
      </c>
      <c r="H437" s="7">
        <v>7763</v>
      </c>
      <c r="I437" s="7">
        <v>8693</v>
      </c>
      <c r="J437" s="7">
        <v>930</v>
      </c>
      <c r="K437" s="8">
        <v>0.11979904676027309</v>
      </c>
    </row>
    <row r="438" spans="1:11" x14ac:dyDescent="0.3">
      <c r="A438" s="5" t="s">
        <v>46</v>
      </c>
      <c r="B438" s="6">
        <v>40240</v>
      </c>
      <c r="C438" s="5">
        <v>10</v>
      </c>
      <c r="D438" s="5">
        <v>3</v>
      </c>
      <c r="E438" s="5">
        <v>2010</v>
      </c>
      <c r="F438" s="5" t="s">
        <v>35</v>
      </c>
      <c r="G438" s="5" t="s">
        <v>11</v>
      </c>
      <c r="H438" s="7">
        <v>5586</v>
      </c>
      <c r="I438" s="7">
        <v>6939</v>
      </c>
      <c r="J438" s="7">
        <v>1353</v>
      </c>
      <c r="K438" s="8">
        <v>0.24221267454350162</v>
      </c>
    </row>
    <row r="439" spans="1:11" x14ac:dyDescent="0.3">
      <c r="A439" s="5" t="s">
        <v>46</v>
      </c>
      <c r="B439" s="6">
        <v>40240</v>
      </c>
      <c r="C439" s="5">
        <v>10</v>
      </c>
      <c r="D439" s="5">
        <v>3</v>
      </c>
      <c r="E439" s="5">
        <v>2010</v>
      </c>
      <c r="F439" s="5" t="s">
        <v>36</v>
      </c>
      <c r="G439" s="5" t="s">
        <v>11</v>
      </c>
      <c r="H439" s="7">
        <v>164881</v>
      </c>
      <c r="I439" s="7">
        <v>180794</v>
      </c>
      <c r="J439" s="7">
        <v>15913</v>
      </c>
      <c r="K439" s="8">
        <v>9.6512029888222411E-2</v>
      </c>
    </row>
    <row r="440" spans="1:11" x14ac:dyDescent="0.3">
      <c r="A440" s="5" t="s">
        <v>46</v>
      </c>
      <c r="B440" s="6">
        <v>40240</v>
      </c>
      <c r="C440" s="5">
        <v>10</v>
      </c>
      <c r="D440" s="5">
        <v>3</v>
      </c>
      <c r="E440" s="5">
        <v>2010</v>
      </c>
      <c r="F440" s="5" t="s">
        <v>37</v>
      </c>
      <c r="G440" s="5" t="s">
        <v>11</v>
      </c>
      <c r="H440" s="7">
        <v>261385</v>
      </c>
      <c r="I440" s="7">
        <v>282374</v>
      </c>
      <c r="J440" s="7">
        <v>20989</v>
      </c>
      <c r="K440" s="8">
        <v>8.0299175545651053E-2</v>
      </c>
    </row>
    <row r="441" spans="1:11" x14ac:dyDescent="0.3">
      <c r="A441" s="5" t="s">
        <v>46</v>
      </c>
      <c r="B441" s="6">
        <v>40240</v>
      </c>
      <c r="C441" s="5">
        <v>10</v>
      </c>
      <c r="D441" s="5">
        <v>3</v>
      </c>
      <c r="E441" s="5">
        <v>2010</v>
      </c>
      <c r="F441" s="5" t="s">
        <v>38</v>
      </c>
      <c r="G441" s="5" t="s">
        <v>11</v>
      </c>
      <c r="H441" s="7">
        <v>344553</v>
      </c>
      <c r="I441" s="7">
        <v>359604</v>
      </c>
      <c r="J441" s="7">
        <v>15051</v>
      </c>
      <c r="K441" s="8">
        <v>4.3682684521684619E-2</v>
      </c>
    </row>
    <row r="442" spans="1:11" x14ac:dyDescent="0.3">
      <c r="A442" s="5" t="s">
        <v>46</v>
      </c>
      <c r="B442" s="6">
        <v>40241</v>
      </c>
      <c r="C442" s="5">
        <v>10</v>
      </c>
      <c r="D442" s="5">
        <v>3</v>
      </c>
      <c r="E442" s="5">
        <v>2010</v>
      </c>
      <c r="F442" s="5" t="s">
        <v>14</v>
      </c>
      <c r="G442" s="5" t="s">
        <v>6</v>
      </c>
      <c r="H442" s="7">
        <v>9026</v>
      </c>
      <c r="I442" s="7">
        <v>10412</v>
      </c>
      <c r="J442" s="7">
        <v>1386</v>
      </c>
      <c r="K442" s="8">
        <v>0.1535563926434744</v>
      </c>
    </row>
    <row r="443" spans="1:11" x14ac:dyDescent="0.3">
      <c r="A443" s="5" t="s">
        <v>46</v>
      </c>
      <c r="B443" s="6">
        <v>40241</v>
      </c>
      <c r="C443" s="5">
        <v>10</v>
      </c>
      <c r="D443" s="5">
        <v>3</v>
      </c>
      <c r="E443" s="5">
        <v>2010</v>
      </c>
      <c r="F443" s="5" t="s">
        <v>15</v>
      </c>
      <c r="G443" s="5" t="s">
        <v>6</v>
      </c>
      <c r="H443" s="7">
        <v>241341</v>
      </c>
      <c r="I443" s="7">
        <v>287926</v>
      </c>
      <c r="J443" s="7">
        <v>46585</v>
      </c>
      <c r="K443" s="8">
        <v>0.19302563592593053</v>
      </c>
    </row>
    <row r="444" spans="1:11" x14ac:dyDescent="0.3">
      <c r="A444" s="5" t="s">
        <v>46</v>
      </c>
      <c r="B444" s="6">
        <v>40241</v>
      </c>
      <c r="C444" s="5">
        <v>10</v>
      </c>
      <c r="D444" s="5">
        <v>3</v>
      </c>
      <c r="E444" s="5">
        <v>2010</v>
      </c>
      <c r="F444" s="5" t="s">
        <v>16</v>
      </c>
      <c r="G444" s="5" t="s">
        <v>6</v>
      </c>
      <c r="H444" s="7">
        <v>204496</v>
      </c>
      <c r="I444" s="7">
        <v>220975</v>
      </c>
      <c r="J444" s="7">
        <v>16479</v>
      </c>
      <c r="K444" s="8">
        <v>8.0583483295516789E-2</v>
      </c>
    </row>
    <row r="445" spans="1:11" x14ac:dyDescent="0.3">
      <c r="A445" s="5" t="s">
        <v>46</v>
      </c>
      <c r="B445" s="6">
        <v>40241</v>
      </c>
      <c r="C445" s="5">
        <v>10</v>
      </c>
      <c r="D445" s="5">
        <v>3</v>
      </c>
      <c r="E445" s="5">
        <v>2010</v>
      </c>
      <c r="F445" s="5" t="s">
        <v>17</v>
      </c>
      <c r="G445" s="5" t="s">
        <v>6</v>
      </c>
      <c r="H445" s="7">
        <v>1097</v>
      </c>
      <c r="I445" s="7">
        <v>1370</v>
      </c>
      <c r="J445" s="7">
        <v>273</v>
      </c>
      <c r="K445" s="8">
        <v>0.2488605287146764</v>
      </c>
    </row>
    <row r="446" spans="1:11" x14ac:dyDescent="0.3">
      <c r="A446" s="5" t="s">
        <v>46</v>
      </c>
      <c r="B446" s="6">
        <v>40241</v>
      </c>
      <c r="C446" s="5">
        <v>10</v>
      </c>
      <c r="D446" s="5">
        <v>3</v>
      </c>
      <c r="E446" s="5">
        <v>2010</v>
      </c>
      <c r="F446" s="5" t="s">
        <v>18</v>
      </c>
      <c r="G446" s="5" t="s">
        <v>6</v>
      </c>
      <c r="H446" s="7">
        <v>21301</v>
      </c>
      <c r="I446" s="7">
        <v>24263</v>
      </c>
      <c r="J446" s="7">
        <v>2962</v>
      </c>
      <c r="K446" s="8">
        <v>0.1390545044833576</v>
      </c>
    </row>
    <row r="447" spans="1:11" x14ac:dyDescent="0.3">
      <c r="A447" s="5" t="s">
        <v>46</v>
      </c>
      <c r="B447" s="6">
        <v>40241</v>
      </c>
      <c r="C447" s="5">
        <v>10</v>
      </c>
      <c r="D447" s="5">
        <v>3</v>
      </c>
      <c r="E447" s="5">
        <v>2010</v>
      </c>
      <c r="F447" s="5" t="s">
        <v>19</v>
      </c>
      <c r="G447" s="5" t="s">
        <v>5</v>
      </c>
      <c r="H447" s="7">
        <v>196252</v>
      </c>
      <c r="I447" s="7">
        <v>218452</v>
      </c>
      <c r="J447" s="7">
        <v>22200</v>
      </c>
      <c r="K447" s="8">
        <v>0.11311986629435623</v>
      </c>
    </row>
    <row r="448" spans="1:11" x14ac:dyDescent="0.3">
      <c r="A448" s="5" t="s">
        <v>46</v>
      </c>
      <c r="B448" s="6">
        <v>40241</v>
      </c>
      <c r="C448" s="5">
        <v>10</v>
      </c>
      <c r="D448" s="5">
        <v>3</v>
      </c>
      <c r="E448" s="5">
        <v>2010</v>
      </c>
      <c r="F448" s="5" t="s">
        <v>5</v>
      </c>
      <c r="G448" s="5" t="s">
        <v>5</v>
      </c>
      <c r="H448" s="7">
        <v>565673</v>
      </c>
      <c r="I448" s="7">
        <v>597732</v>
      </c>
      <c r="J448" s="7">
        <v>32059</v>
      </c>
      <c r="K448" s="8">
        <v>5.6674085558264226E-2</v>
      </c>
    </row>
    <row r="449" spans="1:11" x14ac:dyDescent="0.3">
      <c r="A449" s="5" t="s">
        <v>46</v>
      </c>
      <c r="B449" s="6">
        <v>40241</v>
      </c>
      <c r="C449" s="5">
        <v>10</v>
      </c>
      <c r="D449" s="5">
        <v>3</v>
      </c>
      <c r="E449" s="5">
        <v>2010</v>
      </c>
      <c r="F449" s="5" t="s">
        <v>20</v>
      </c>
      <c r="G449" s="5" t="s">
        <v>5</v>
      </c>
      <c r="H449" s="7">
        <v>134631</v>
      </c>
      <c r="I449" s="7">
        <v>148926</v>
      </c>
      <c r="J449" s="7">
        <v>14295</v>
      </c>
      <c r="K449" s="8">
        <v>0.10617911179446042</v>
      </c>
    </row>
    <row r="450" spans="1:11" x14ac:dyDescent="0.3">
      <c r="A450" s="5" t="s">
        <v>46</v>
      </c>
      <c r="B450" s="6">
        <v>40241</v>
      </c>
      <c r="C450" s="5">
        <v>10</v>
      </c>
      <c r="D450" s="5">
        <v>3</v>
      </c>
      <c r="E450" s="5">
        <v>2010</v>
      </c>
      <c r="F450" s="5" t="s">
        <v>21</v>
      </c>
      <c r="G450" s="5" t="s">
        <v>5</v>
      </c>
      <c r="H450" s="7">
        <v>222372</v>
      </c>
      <c r="I450" s="7">
        <v>234071</v>
      </c>
      <c r="J450" s="7">
        <v>11699</v>
      </c>
      <c r="K450" s="8">
        <v>5.2610040832478909E-2</v>
      </c>
    </row>
    <row r="451" spans="1:11" x14ac:dyDescent="0.3">
      <c r="A451" s="5" t="s">
        <v>46</v>
      </c>
      <c r="B451" s="6">
        <v>40241</v>
      </c>
      <c r="C451" s="5">
        <v>10</v>
      </c>
      <c r="D451" s="5">
        <v>3</v>
      </c>
      <c r="E451" s="5">
        <v>2010</v>
      </c>
      <c r="F451" s="5" t="s">
        <v>22</v>
      </c>
      <c r="G451" s="5" t="s">
        <v>8</v>
      </c>
      <c r="H451" s="7">
        <v>447707</v>
      </c>
      <c r="I451" s="7">
        <v>491927</v>
      </c>
      <c r="J451" s="7">
        <v>44220</v>
      </c>
      <c r="K451" s="8">
        <v>9.8769954456821088E-2</v>
      </c>
    </row>
    <row r="452" spans="1:11" x14ac:dyDescent="0.3">
      <c r="A452" s="5" t="s">
        <v>46</v>
      </c>
      <c r="B452" s="6">
        <v>40241</v>
      </c>
      <c r="C452" s="5">
        <v>10</v>
      </c>
      <c r="D452" s="5">
        <v>3</v>
      </c>
      <c r="E452" s="5">
        <v>2010</v>
      </c>
      <c r="F452" s="5" t="s">
        <v>23</v>
      </c>
      <c r="G452" s="5" t="s">
        <v>8</v>
      </c>
      <c r="H452" s="7">
        <v>126543</v>
      </c>
      <c r="I452" s="7">
        <v>132297</v>
      </c>
      <c r="J452" s="7">
        <v>5754</v>
      </c>
      <c r="K452" s="8">
        <v>4.5470709561176832E-2</v>
      </c>
    </row>
    <row r="453" spans="1:11" x14ac:dyDescent="0.3">
      <c r="A453" s="5" t="s">
        <v>46</v>
      </c>
      <c r="B453" s="6">
        <v>40241</v>
      </c>
      <c r="C453" s="5">
        <v>10</v>
      </c>
      <c r="D453" s="5">
        <v>3</v>
      </c>
      <c r="E453" s="5">
        <v>2010</v>
      </c>
      <c r="F453" s="5" t="s">
        <v>24</v>
      </c>
      <c r="G453" s="5" t="s">
        <v>8</v>
      </c>
      <c r="H453" s="7">
        <v>163223</v>
      </c>
      <c r="I453" s="7">
        <v>178654</v>
      </c>
      <c r="J453" s="7">
        <v>15431</v>
      </c>
      <c r="K453" s="8">
        <v>9.4539372514902922E-2</v>
      </c>
    </row>
    <row r="454" spans="1:11" x14ac:dyDescent="0.3">
      <c r="A454" s="5" t="s">
        <v>46</v>
      </c>
      <c r="B454" s="6">
        <v>40241</v>
      </c>
      <c r="C454" s="5">
        <v>10</v>
      </c>
      <c r="D454" s="5">
        <v>3</v>
      </c>
      <c r="E454" s="5">
        <v>2010</v>
      </c>
      <c r="F454" s="5" t="s">
        <v>25</v>
      </c>
      <c r="G454" s="5" t="s">
        <v>8</v>
      </c>
      <c r="H454" s="7">
        <v>6090</v>
      </c>
      <c r="I454" s="7">
        <v>6784</v>
      </c>
      <c r="J454" s="7">
        <v>694</v>
      </c>
      <c r="K454" s="8">
        <v>0.11395730706075534</v>
      </c>
    </row>
    <row r="455" spans="1:11" x14ac:dyDescent="0.3">
      <c r="A455" s="5" t="s">
        <v>46</v>
      </c>
      <c r="B455" s="6">
        <v>40241</v>
      </c>
      <c r="C455" s="5">
        <v>10</v>
      </c>
      <c r="D455" s="5">
        <v>3</v>
      </c>
      <c r="E455" s="5">
        <v>2010</v>
      </c>
      <c r="F455" s="5" t="s">
        <v>26</v>
      </c>
      <c r="G455" s="5" t="s">
        <v>10</v>
      </c>
      <c r="H455" s="7">
        <v>6569</v>
      </c>
      <c r="I455" s="7">
        <v>7411</v>
      </c>
      <c r="J455" s="7">
        <v>842</v>
      </c>
      <c r="K455" s="8">
        <v>0.12817780484091948</v>
      </c>
    </row>
    <row r="456" spans="1:11" x14ac:dyDescent="0.3">
      <c r="A456" s="5" t="s">
        <v>46</v>
      </c>
      <c r="B456" s="6">
        <v>40241</v>
      </c>
      <c r="C456" s="5">
        <v>10</v>
      </c>
      <c r="D456" s="5">
        <v>3</v>
      </c>
      <c r="E456" s="5">
        <v>2010</v>
      </c>
      <c r="F456" s="5" t="s">
        <v>27</v>
      </c>
      <c r="G456" s="5" t="s">
        <v>10</v>
      </c>
      <c r="H456" s="7">
        <v>109744</v>
      </c>
      <c r="I456" s="7">
        <v>124752</v>
      </c>
      <c r="J456" s="7">
        <v>15008</v>
      </c>
      <c r="K456" s="8">
        <v>0.13675462895465812</v>
      </c>
    </row>
    <row r="457" spans="1:11" x14ac:dyDescent="0.3">
      <c r="A457" s="5" t="s">
        <v>46</v>
      </c>
      <c r="B457" s="6">
        <v>40241</v>
      </c>
      <c r="C457" s="5">
        <v>10</v>
      </c>
      <c r="D457" s="5">
        <v>3</v>
      </c>
      <c r="E457" s="5">
        <v>2010</v>
      </c>
      <c r="F457" s="5" t="s">
        <v>28</v>
      </c>
      <c r="G457" s="5" t="s">
        <v>10</v>
      </c>
      <c r="H457" s="7">
        <v>126794</v>
      </c>
      <c r="I457" s="7">
        <v>144299</v>
      </c>
      <c r="J457" s="7">
        <v>17505</v>
      </c>
      <c r="K457" s="8">
        <v>0.13805858321371675</v>
      </c>
    </row>
    <row r="458" spans="1:11" x14ac:dyDescent="0.3">
      <c r="A458" s="5" t="s">
        <v>46</v>
      </c>
      <c r="B458" s="6">
        <v>40241</v>
      </c>
      <c r="C458" s="5">
        <v>10</v>
      </c>
      <c r="D458" s="5">
        <v>3</v>
      </c>
      <c r="E458" s="5">
        <v>2010</v>
      </c>
      <c r="F458" s="5" t="s">
        <v>29</v>
      </c>
      <c r="G458" s="5" t="s">
        <v>10</v>
      </c>
      <c r="H458" s="7">
        <v>483679</v>
      </c>
      <c r="I458" s="7">
        <v>530349</v>
      </c>
      <c r="J458" s="7">
        <v>46670</v>
      </c>
      <c r="K458" s="8">
        <v>9.6489613979519481E-2</v>
      </c>
    </row>
    <row r="459" spans="1:11" x14ac:dyDescent="0.3">
      <c r="A459" s="5" t="s">
        <v>46</v>
      </c>
      <c r="B459" s="6">
        <v>40241</v>
      </c>
      <c r="C459" s="5">
        <v>10</v>
      </c>
      <c r="D459" s="5">
        <v>3</v>
      </c>
      <c r="E459" s="5">
        <v>2010</v>
      </c>
      <c r="F459" s="5" t="s">
        <v>30</v>
      </c>
      <c r="G459" s="5" t="s">
        <v>10</v>
      </c>
      <c r="H459" s="7">
        <v>122545</v>
      </c>
      <c r="I459" s="7">
        <v>137966</v>
      </c>
      <c r="J459" s="7">
        <v>15421</v>
      </c>
      <c r="K459" s="8">
        <v>0.12583948753519114</v>
      </c>
    </row>
    <row r="460" spans="1:11" x14ac:dyDescent="0.3">
      <c r="A460" s="5" t="s">
        <v>46</v>
      </c>
      <c r="B460" s="6">
        <v>40241</v>
      </c>
      <c r="C460" s="5">
        <v>10</v>
      </c>
      <c r="D460" s="5">
        <v>3</v>
      </c>
      <c r="E460" s="5">
        <v>2010</v>
      </c>
      <c r="F460" s="5" t="s">
        <v>9</v>
      </c>
      <c r="G460" s="5" t="s">
        <v>9</v>
      </c>
      <c r="H460" s="7">
        <v>764999</v>
      </c>
      <c r="I460" s="7">
        <v>916934</v>
      </c>
      <c r="J460" s="7">
        <v>151935</v>
      </c>
      <c r="K460" s="8">
        <v>0.19860810275568988</v>
      </c>
    </row>
    <row r="461" spans="1:11" x14ac:dyDescent="0.3">
      <c r="A461" s="5" t="s">
        <v>46</v>
      </c>
      <c r="B461" s="6">
        <v>40241</v>
      </c>
      <c r="C461" s="5">
        <v>10</v>
      </c>
      <c r="D461" s="5">
        <v>3</v>
      </c>
      <c r="E461" s="5">
        <v>2010</v>
      </c>
      <c r="F461" s="5" t="s">
        <v>31</v>
      </c>
      <c r="G461" s="5" t="s">
        <v>7</v>
      </c>
      <c r="H461" s="7">
        <v>88614</v>
      </c>
      <c r="I461" s="7">
        <v>105164</v>
      </c>
      <c r="J461" s="7">
        <v>16550</v>
      </c>
      <c r="K461" s="8">
        <v>0.18676507098201187</v>
      </c>
    </row>
    <row r="462" spans="1:11" x14ac:dyDescent="0.3">
      <c r="A462" s="5" t="s">
        <v>46</v>
      </c>
      <c r="B462" s="6">
        <v>40241</v>
      </c>
      <c r="C462" s="5">
        <v>10</v>
      </c>
      <c r="D462" s="5">
        <v>3</v>
      </c>
      <c r="E462" s="5">
        <v>2010</v>
      </c>
      <c r="F462" s="5" t="s">
        <v>33</v>
      </c>
      <c r="G462" s="5" t="s">
        <v>7</v>
      </c>
      <c r="H462" s="7">
        <v>74559</v>
      </c>
      <c r="I462" s="7">
        <v>138604</v>
      </c>
      <c r="J462" s="7">
        <v>64045</v>
      </c>
      <c r="K462" s="8">
        <v>0.85898416019528157</v>
      </c>
    </row>
    <row r="463" spans="1:11" x14ac:dyDescent="0.3">
      <c r="A463" s="5" t="s">
        <v>46</v>
      </c>
      <c r="B463" s="6">
        <v>40241</v>
      </c>
      <c r="C463" s="5">
        <v>10</v>
      </c>
      <c r="D463" s="5">
        <v>3</v>
      </c>
      <c r="E463" s="5">
        <v>2010</v>
      </c>
      <c r="F463" s="5" t="s">
        <v>34</v>
      </c>
      <c r="G463" s="5" t="s">
        <v>7</v>
      </c>
      <c r="H463" s="7">
        <v>6666</v>
      </c>
      <c r="I463" s="7">
        <v>7465</v>
      </c>
      <c r="J463" s="7">
        <v>799</v>
      </c>
      <c r="K463" s="8">
        <v>0.11986198619861986</v>
      </c>
    </row>
    <row r="464" spans="1:11" x14ac:dyDescent="0.3">
      <c r="A464" s="5" t="s">
        <v>46</v>
      </c>
      <c r="B464" s="6">
        <v>40241</v>
      </c>
      <c r="C464" s="5">
        <v>10</v>
      </c>
      <c r="D464" s="5">
        <v>3</v>
      </c>
      <c r="E464" s="5">
        <v>2010</v>
      </c>
      <c r="F464" s="5" t="s">
        <v>35</v>
      </c>
      <c r="G464" s="5" t="s">
        <v>11</v>
      </c>
      <c r="H464" s="7">
        <v>7218</v>
      </c>
      <c r="I464" s="7">
        <v>8895</v>
      </c>
      <c r="J464" s="7">
        <v>1677</v>
      </c>
      <c r="K464" s="8">
        <v>0.23233582709891937</v>
      </c>
    </row>
    <row r="465" spans="1:11" x14ac:dyDescent="0.3">
      <c r="A465" s="5" t="s">
        <v>46</v>
      </c>
      <c r="B465" s="6">
        <v>40241</v>
      </c>
      <c r="C465" s="5">
        <v>10</v>
      </c>
      <c r="D465" s="5">
        <v>3</v>
      </c>
      <c r="E465" s="5">
        <v>2010</v>
      </c>
      <c r="F465" s="5" t="s">
        <v>36</v>
      </c>
      <c r="G465" s="5" t="s">
        <v>11</v>
      </c>
      <c r="H465" s="7">
        <v>232431</v>
      </c>
      <c r="I465" s="7">
        <v>257737</v>
      </c>
      <c r="J465" s="7">
        <v>25306</v>
      </c>
      <c r="K465" s="8">
        <v>0.10887532213861317</v>
      </c>
    </row>
    <row r="466" spans="1:11" x14ac:dyDescent="0.3">
      <c r="A466" s="5" t="s">
        <v>46</v>
      </c>
      <c r="B466" s="6">
        <v>40241</v>
      </c>
      <c r="C466" s="5">
        <v>10</v>
      </c>
      <c r="D466" s="5">
        <v>3</v>
      </c>
      <c r="E466" s="5">
        <v>2010</v>
      </c>
      <c r="F466" s="5" t="s">
        <v>37</v>
      </c>
      <c r="G466" s="5" t="s">
        <v>11</v>
      </c>
      <c r="H466" s="7">
        <v>341604</v>
      </c>
      <c r="I466" s="7">
        <v>368839</v>
      </c>
      <c r="J466" s="7">
        <v>27235</v>
      </c>
      <c r="K466" s="8">
        <v>7.9726818187140669E-2</v>
      </c>
    </row>
    <row r="467" spans="1:11" x14ac:dyDescent="0.3">
      <c r="A467" s="5" t="s">
        <v>46</v>
      </c>
      <c r="B467" s="6">
        <v>40241</v>
      </c>
      <c r="C467" s="5">
        <v>10</v>
      </c>
      <c r="D467" s="5">
        <v>3</v>
      </c>
      <c r="E467" s="5">
        <v>2010</v>
      </c>
      <c r="F467" s="5" t="s">
        <v>38</v>
      </c>
      <c r="G467" s="5" t="s">
        <v>11</v>
      </c>
      <c r="H467" s="7">
        <v>304881</v>
      </c>
      <c r="I467" s="7">
        <v>318496</v>
      </c>
      <c r="J467" s="7">
        <v>13615</v>
      </c>
      <c r="K467" s="8">
        <v>4.4656767722488444E-2</v>
      </c>
    </row>
    <row r="468" spans="1:11" x14ac:dyDescent="0.3">
      <c r="A468" s="5" t="s">
        <v>46</v>
      </c>
      <c r="B468" s="6">
        <v>40242</v>
      </c>
      <c r="C468" s="5">
        <v>10</v>
      </c>
      <c r="D468" s="5">
        <v>3</v>
      </c>
      <c r="E468" s="5">
        <v>2010</v>
      </c>
      <c r="F468" s="5" t="s">
        <v>14</v>
      </c>
      <c r="G468" s="5" t="s">
        <v>6</v>
      </c>
      <c r="H468" s="7">
        <v>10778</v>
      </c>
      <c r="I468" s="7">
        <v>12542</v>
      </c>
      <c r="J468" s="7">
        <v>1764</v>
      </c>
      <c r="K468" s="8">
        <v>0.16366672852106143</v>
      </c>
    </row>
    <row r="469" spans="1:11" x14ac:dyDescent="0.3">
      <c r="A469" s="5" t="s">
        <v>46</v>
      </c>
      <c r="B469" s="6">
        <v>40242</v>
      </c>
      <c r="C469" s="5">
        <v>10</v>
      </c>
      <c r="D469" s="5">
        <v>3</v>
      </c>
      <c r="E469" s="5">
        <v>2010</v>
      </c>
      <c r="F469" s="5" t="s">
        <v>15</v>
      </c>
      <c r="G469" s="5" t="s">
        <v>6</v>
      </c>
      <c r="H469" s="7">
        <v>289460</v>
      </c>
      <c r="I469" s="7">
        <v>312875</v>
      </c>
      <c r="J469" s="7">
        <v>23415</v>
      </c>
      <c r="K469" s="8">
        <v>8.0892005803910733E-2</v>
      </c>
    </row>
    <row r="470" spans="1:11" x14ac:dyDescent="0.3">
      <c r="A470" s="5" t="s">
        <v>46</v>
      </c>
      <c r="B470" s="6">
        <v>40242</v>
      </c>
      <c r="C470" s="5">
        <v>10</v>
      </c>
      <c r="D470" s="5">
        <v>3</v>
      </c>
      <c r="E470" s="5">
        <v>2010</v>
      </c>
      <c r="F470" s="5" t="s">
        <v>16</v>
      </c>
      <c r="G470" s="5" t="s">
        <v>6</v>
      </c>
      <c r="H470" s="7">
        <v>212280</v>
      </c>
      <c r="I470" s="7">
        <v>234535</v>
      </c>
      <c r="J470" s="7">
        <v>22255</v>
      </c>
      <c r="K470" s="8">
        <v>0.10483794987752025</v>
      </c>
    </row>
    <row r="471" spans="1:11" x14ac:dyDescent="0.3">
      <c r="A471" s="5" t="s">
        <v>46</v>
      </c>
      <c r="B471" s="6">
        <v>40242</v>
      </c>
      <c r="C471" s="5">
        <v>10</v>
      </c>
      <c r="D471" s="5">
        <v>3</v>
      </c>
      <c r="E471" s="5">
        <v>2010</v>
      </c>
      <c r="F471" s="5" t="s">
        <v>17</v>
      </c>
      <c r="G471" s="5" t="s">
        <v>6</v>
      </c>
      <c r="H471" s="7">
        <v>1650</v>
      </c>
      <c r="I471" s="7">
        <v>1830</v>
      </c>
      <c r="J471" s="7">
        <v>180</v>
      </c>
      <c r="K471" s="8">
        <v>0.10909090909090909</v>
      </c>
    </row>
    <row r="472" spans="1:11" x14ac:dyDescent="0.3">
      <c r="A472" s="5" t="s">
        <v>46</v>
      </c>
      <c r="B472" s="6">
        <v>40242</v>
      </c>
      <c r="C472" s="5">
        <v>10</v>
      </c>
      <c r="D472" s="5">
        <v>3</v>
      </c>
      <c r="E472" s="5">
        <v>2010</v>
      </c>
      <c r="F472" s="5" t="s">
        <v>18</v>
      </c>
      <c r="G472" s="5" t="s">
        <v>6</v>
      </c>
      <c r="H472" s="7">
        <v>39725</v>
      </c>
      <c r="I472" s="7">
        <v>44428</v>
      </c>
      <c r="J472" s="7">
        <v>4703</v>
      </c>
      <c r="K472" s="8">
        <v>0.11838892385147892</v>
      </c>
    </row>
    <row r="473" spans="1:11" x14ac:dyDescent="0.3">
      <c r="A473" s="5" t="s">
        <v>46</v>
      </c>
      <c r="B473" s="6">
        <v>40242</v>
      </c>
      <c r="C473" s="5">
        <v>10</v>
      </c>
      <c r="D473" s="5">
        <v>3</v>
      </c>
      <c r="E473" s="5">
        <v>2010</v>
      </c>
      <c r="F473" s="5" t="s">
        <v>19</v>
      </c>
      <c r="G473" s="5" t="s">
        <v>5</v>
      </c>
      <c r="H473" s="7">
        <v>200162</v>
      </c>
      <c r="I473" s="7">
        <v>222926</v>
      </c>
      <c r="J473" s="7">
        <v>22764</v>
      </c>
      <c r="K473" s="8">
        <v>0.11372788041686234</v>
      </c>
    </row>
    <row r="474" spans="1:11" x14ac:dyDescent="0.3">
      <c r="A474" s="5" t="s">
        <v>46</v>
      </c>
      <c r="B474" s="6">
        <v>40242</v>
      </c>
      <c r="C474" s="5">
        <v>10</v>
      </c>
      <c r="D474" s="5">
        <v>3</v>
      </c>
      <c r="E474" s="5">
        <v>2010</v>
      </c>
      <c r="F474" s="5" t="s">
        <v>5</v>
      </c>
      <c r="G474" s="5" t="s">
        <v>5</v>
      </c>
      <c r="H474" s="7">
        <v>580014</v>
      </c>
      <c r="I474" s="7">
        <v>611293</v>
      </c>
      <c r="J474" s="7">
        <v>31279</v>
      </c>
      <c r="K474" s="8">
        <v>5.3928008634274348E-2</v>
      </c>
    </row>
    <row r="475" spans="1:11" x14ac:dyDescent="0.3">
      <c r="A475" s="5" t="s">
        <v>46</v>
      </c>
      <c r="B475" s="6">
        <v>40242</v>
      </c>
      <c r="C475" s="5">
        <v>10</v>
      </c>
      <c r="D475" s="5">
        <v>3</v>
      </c>
      <c r="E475" s="5">
        <v>2010</v>
      </c>
      <c r="F475" s="5" t="s">
        <v>20</v>
      </c>
      <c r="G475" s="5" t="s">
        <v>5</v>
      </c>
      <c r="H475" s="7">
        <v>160042</v>
      </c>
      <c r="I475" s="7">
        <v>176496</v>
      </c>
      <c r="J475" s="7">
        <v>16454</v>
      </c>
      <c r="K475" s="8">
        <v>0.10281051224053686</v>
      </c>
    </row>
    <row r="476" spans="1:11" x14ac:dyDescent="0.3">
      <c r="A476" s="5" t="s">
        <v>46</v>
      </c>
      <c r="B476" s="6">
        <v>40242</v>
      </c>
      <c r="C476" s="5">
        <v>10</v>
      </c>
      <c r="D476" s="5">
        <v>3</v>
      </c>
      <c r="E476" s="5">
        <v>2010</v>
      </c>
      <c r="F476" s="5" t="s">
        <v>21</v>
      </c>
      <c r="G476" s="5" t="s">
        <v>5</v>
      </c>
      <c r="H476" s="7">
        <v>223491</v>
      </c>
      <c r="I476" s="7">
        <v>235250</v>
      </c>
      <c r="J476" s="7">
        <v>11759</v>
      </c>
      <c r="K476" s="8">
        <v>5.2615094120121171E-2</v>
      </c>
    </row>
    <row r="477" spans="1:11" x14ac:dyDescent="0.3">
      <c r="A477" s="5" t="s">
        <v>46</v>
      </c>
      <c r="B477" s="6">
        <v>40242</v>
      </c>
      <c r="C477" s="5">
        <v>10</v>
      </c>
      <c r="D477" s="5">
        <v>3</v>
      </c>
      <c r="E477" s="5">
        <v>2010</v>
      </c>
      <c r="F477" s="5" t="s">
        <v>22</v>
      </c>
      <c r="G477" s="5" t="s">
        <v>8</v>
      </c>
      <c r="H477" s="7">
        <v>835840</v>
      </c>
      <c r="I477" s="7">
        <v>909900</v>
      </c>
      <c r="J477" s="7">
        <v>74060</v>
      </c>
      <c r="K477" s="8">
        <v>8.8605474732006126E-2</v>
      </c>
    </row>
    <row r="478" spans="1:11" x14ac:dyDescent="0.3">
      <c r="A478" s="5" t="s">
        <v>46</v>
      </c>
      <c r="B478" s="6">
        <v>40242</v>
      </c>
      <c r="C478" s="5">
        <v>10</v>
      </c>
      <c r="D478" s="5">
        <v>3</v>
      </c>
      <c r="E478" s="5">
        <v>2010</v>
      </c>
      <c r="F478" s="5" t="s">
        <v>23</v>
      </c>
      <c r="G478" s="5" t="s">
        <v>8</v>
      </c>
      <c r="H478" s="7">
        <v>187222</v>
      </c>
      <c r="I478" s="7">
        <v>194955</v>
      </c>
      <c r="J478" s="7">
        <v>7733</v>
      </c>
      <c r="K478" s="8">
        <v>4.1303906592173999E-2</v>
      </c>
    </row>
    <row r="479" spans="1:11" x14ac:dyDescent="0.3">
      <c r="A479" s="5" t="s">
        <v>46</v>
      </c>
      <c r="B479" s="6">
        <v>40242</v>
      </c>
      <c r="C479" s="5">
        <v>10</v>
      </c>
      <c r="D479" s="5">
        <v>3</v>
      </c>
      <c r="E479" s="5">
        <v>2010</v>
      </c>
      <c r="F479" s="5" t="s">
        <v>24</v>
      </c>
      <c r="G479" s="5" t="s">
        <v>8</v>
      </c>
      <c r="H479" s="7">
        <v>253327</v>
      </c>
      <c r="I479" s="7">
        <v>273686</v>
      </c>
      <c r="J479" s="7">
        <v>20359</v>
      </c>
      <c r="K479" s="8">
        <v>8.0366482846281687E-2</v>
      </c>
    </row>
    <row r="480" spans="1:11" x14ac:dyDescent="0.3">
      <c r="A480" s="5" t="s">
        <v>46</v>
      </c>
      <c r="B480" s="6">
        <v>40242</v>
      </c>
      <c r="C480" s="5">
        <v>10</v>
      </c>
      <c r="D480" s="5">
        <v>3</v>
      </c>
      <c r="E480" s="5">
        <v>2010</v>
      </c>
      <c r="F480" s="5" t="s">
        <v>25</v>
      </c>
      <c r="G480" s="5" t="s">
        <v>8</v>
      </c>
      <c r="H480" s="7">
        <v>17854</v>
      </c>
      <c r="I480" s="7">
        <v>18998</v>
      </c>
      <c r="J480" s="7">
        <v>1144</v>
      </c>
      <c r="K480" s="8">
        <v>6.4075277248795789E-2</v>
      </c>
    </row>
    <row r="481" spans="1:11" x14ac:dyDescent="0.3">
      <c r="A481" s="5" t="s">
        <v>46</v>
      </c>
      <c r="B481" s="6">
        <v>40242</v>
      </c>
      <c r="C481" s="5">
        <v>10</v>
      </c>
      <c r="D481" s="5">
        <v>3</v>
      </c>
      <c r="E481" s="5">
        <v>2010</v>
      </c>
      <c r="F481" s="5" t="s">
        <v>26</v>
      </c>
      <c r="G481" s="5" t="s">
        <v>10</v>
      </c>
      <c r="H481" s="7">
        <v>8236</v>
      </c>
      <c r="I481" s="7">
        <v>9300</v>
      </c>
      <c r="J481" s="7">
        <v>1064</v>
      </c>
      <c r="K481" s="8">
        <v>0.12918892666342885</v>
      </c>
    </row>
    <row r="482" spans="1:11" x14ac:dyDescent="0.3">
      <c r="A482" s="5" t="s">
        <v>46</v>
      </c>
      <c r="B482" s="6">
        <v>40242</v>
      </c>
      <c r="C482" s="5">
        <v>10</v>
      </c>
      <c r="D482" s="5">
        <v>3</v>
      </c>
      <c r="E482" s="5">
        <v>2010</v>
      </c>
      <c r="F482" s="5" t="s">
        <v>27</v>
      </c>
      <c r="G482" s="5" t="s">
        <v>10</v>
      </c>
      <c r="H482" s="7">
        <v>115123</v>
      </c>
      <c r="I482" s="7">
        <v>131010</v>
      </c>
      <c r="J482" s="7">
        <v>15887</v>
      </c>
      <c r="K482" s="8">
        <v>0.13800022584540014</v>
      </c>
    </row>
    <row r="483" spans="1:11" x14ac:dyDescent="0.3">
      <c r="A483" s="5" t="s">
        <v>46</v>
      </c>
      <c r="B483" s="6">
        <v>40242</v>
      </c>
      <c r="C483" s="5">
        <v>10</v>
      </c>
      <c r="D483" s="5">
        <v>3</v>
      </c>
      <c r="E483" s="5">
        <v>2010</v>
      </c>
      <c r="F483" s="5" t="s">
        <v>28</v>
      </c>
      <c r="G483" s="5" t="s">
        <v>10</v>
      </c>
      <c r="H483" s="7">
        <v>128999</v>
      </c>
      <c r="I483" s="7">
        <v>148720</v>
      </c>
      <c r="J483" s="7">
        <v>19721</v>
      </c>
      <c r="K483" s="8">
        <v>0.15287715408646579</v>
      </c>
    </row>
    <row r="484" spans="1:11" x14ac:dyDescent="0.3">
      <c r="A484" s="5" t="s">
        <v>46</v>
      </c>
      <c r="B484" s="6">
        <v>40242</v>
      </c>
      <c r="C484" s="5">
        <v>10</v>
      </c>
      <c r="D484" s="5">
        <v>3</v>
      </c>
      <c r="E484" s="5">
        <v>2010</v>
      </c>
      <c r="F484" s="5" t="s">
        <v>29</v>
      </c>
      <c r="G484" s="5" t="s">
        <v>10</v>
      </c>
      <c r="H484" s="7">
        <v>496788</v>
      </c>
      <c r="I484" s="7">
        <v>546348</v>
      </c>
      <c r="J484" s="7">
        <v>49560</v>
      </c>
      <c r="K484" s="8">
        <v>9.9760863788980414E-2</v>
      </c>
    </row>
    <row r="485" spans="1:11" x14ac:dyDescent="0.3">
      <c r="A485" s="5" t="s">
        <v>46</v>
      </c>
      <c r="B485" s="6">
        <v>40242</v>
      </c>
      <c r="C485" s="5">
        <v>10</v>
      </c>
      <c r="D485" s="5">
        <v>3</v>
      </c>
      <c r="E485" s="5">
        <v>2010</v>
      </c>
      <c r="F485" s="5" t="s">
        <v>30</v>
      </c>
      <c r="G485" s="5" t="s">
        <v>10</v>
      </c>
      <c r="H485" s="7">
        <v>107041</v>
      </c>
      <c r="I485" s="7">
        <v>121232</v>
      </c>
      <c r="J485" s="7">
        <v>14191</v>
      </c>
      <c r="K485" s="8">
        <v>0.13257536831681319</v>
      </c>
    </row>
    <row r="486" spans="1:11" x14ac:dyDescent="0.3">
      <c r="A486" s="5" t="s">
        <v>46</v>
      </c>
      <c r="B486" s="6">
        <v>40242</v>
      </c>
      <c r="C486" s="5">
        <v>10</v>
      </c>
      <c r="D486" s="5">
        <v>3</v>
      </c>
      <c r="E486" s="5">
        <v>2010</v>
      </c>
      <c r="F486" s="5" t="s">
        <v>9</v>
      </c>
      <c r="G486" s="5" t="s">
        <v>9</v>
      </c>
      <c r="H486" s="7">
        <v>819282</v>
      </c>
      <c r="I486" s="7">
        <v>981625</v>
      </c>
      <c r="J486" s="7">
        <v>162343</v>
      </c>
      <c r="K486" s="8">
        <v>0.19815277279373891</v>
      </c>
    </row>
    <row r="487" spans="1:11" x14ac:dyDescent="0.3">
      <c r="A487" s="5" t="s">
        <v>46</v>
      </c>
      <c r="B487" s="6">
        <v>40242</v>
      </c>
      <c r="C487" s="5">
        <v>10</v>
      </c>
      <c r="D487" s="5">
        <v>3</v>
      </c>
      <c r="E487" s="5">
        <v>2010</v>
      </c>
      <c r="F487" s="5" t="s">
        <v>31</v>
      </c>
      <c r="G487" s="5" t="s">
        <v>7</v>
      </c>
      <c r="H487" s="7">
        <v>120223</v>
      </c>
      <c r="I487" s="7">
        <v>143070</v>
      </c>
      <c r="J487" s="7">
        <v>22847</v>
      </c>
      <c r="K487" s="8">
        <v>0.19003851176563552</v>
      </c>
    </row>
    <row r="488" spans="1:11" x14ac:dyDescent="0.3">
      <c r="A488" s="5" t="s">
        <v>46</v>
      </c>
      <c r="B488" s="6">
        <v>40242</v>
      </c>
      <c r="C488" s="5">
        <v>10</v>
      </c>
      <c r="D488" s="5">
        <v>3</v>
      </c>
      <c r="E488" s="5">
        <v>2010</v>
      </c>
      <c r="F488" s="5" t="s">
        <v>33</v>
      </c>
      <c r="G488" s="5" t="s">
        <v>7</v>
      </c>
      <c r="H488" s="7">
        <v>64869</v>
      </c>
      <c r="I488" s="7">
        <v>137144</v>
      </c>
      <c r="J488" s="7">
        <v>72275</v>
      </c>
      <c r="K488" s="8">
        <v>1.1141685550879465</v>
      </c>
    </row>
    <row r="489" spans="1:11" x14ac:dyDescent="0.3">
      <c r="A489" s="5" t="s">
        <v>46</v>
      </c>
      <c r="B489" s="6">
        <v>40242</v>
      </c>
      <c r="C489" s="5">
        <v>10</v>
      </c>
      <c r="D489" s="5">
        <v>3</v>
      </c>
      <c r="E489" s="5">
        <v>2010</v>
      </c>
      <c r="F489" s="5" t="s">
        <v>34</v>
      </c>
      <c r="G489" s="5" t="s">
        <v>7</v>
      </c>
      <c r="H489" s="7">
        <v>5192</v>
      </c>
      <c r="I489" s="7">
        <v>5815</v>
      </c>
      <c r="J489" s="7">
        <v>623</v>
      </c>
      <c r="K489" s="8">
        <v>0.11999229583975346</v>
      </c>
    </row>
    <row r="490" spans="1:11" x14ac:dyDescent="0.3">
      <c r="A490" s="5" t="s">
        <v>46</v>
      </c>
      <c r="B490" s="6">
        <v>40242</v>
      </c>
      <c r="C490" s="5">
        <v>10</v>
      </c>
      <c r="D490" s="5">
        <v>3</v>
      </c>
      <c r="E490" s="5">
        <v>2010</v>
      </c>
      <c r="F490" s="5" t="s">
        <v>35</v>
      </c>
      <c r="G490" s="5" t="s">
        <v>11</v>
      </c>
      <c r="H490" s="7">
        <v>10416</v>
      </c>
      <c r="I490" s="7">
        <v>12944</v>
      </c>
      <c r="J490" s="7">
        <v>2528</v>
      </c>
      <c r="K490" s="8">
        <v>0.24270353302611367</v>
      </c>
    </row>
    <row r="491" spans="1:11" x14ac:dyDescent="0.3">
      <c r="A491" s="5" t="s">
        <v>46</v>
      </c>
      <c r="B491" s="6">
        <v>40242</v>
      </c>
      <c r="C491" s="5">
        <v>10</v>
      </c>
      <c r="D491" s="5">
        <v>3</v>
      </c>
      <c r="E491" s="5">
        <v>2010</v>
      </c>
      <c r="F491" s="5" t="s">
        <v>36</v>
      </c>
      <c r="G491" s="5" t="s">
        <v>11</v>
      </c>
      <c r="H491" s="7">
        <v>243988</v>
      </c>
      <c r="I491" s="7">
        <v>266795</v>
      </c>
      <c r="J491" s="7">
        <v>22807</v>
      </c>
      <c r="K491" s="8">
        <v>9.3475908651245138E-2</v>
      </c>
    </row>
    <row r="492" spans="1:11" x14ac:dyDescent="0.3">
      <c r="A492" s="5" t="s">
        <v>46</v>
      </c>
      <c r="B492" s="6">
        <v>40242</v>
      </c>
      <c r="C492" s="5">
        <v>10</v>
      </c>
      <c r="D492" s="5">
        <v>3</v>
      </c>
      <c r="E492" s="5">
        <v>2010</v>
      </c>
      <c r="F492" s="5" t="s">
        <v>37</v>
      </c>
      <c r="G492" s="5" t="s">
        <v>11</v>
      </c>
      <c r="H492" s="7">
        <v>352066</v>
      </c>
      <c r="I492" s="7">
        <v>378925</v>
      </c>
      <c r="J492" s="7">
        <v>26859</v>
      </c>
      <c r="K492" s="8">
        <v>7.6289672959047455E-2</v>
      </c>
    </row>
    <row r="493" spans="1:11" x14ac:dyDescent="0.3">
      <c r="A493" s="5" t="s">
        <v>46</v>
      </c>
      <c r="B493" s="6">
        <v>40242</v>
      </c>
      <c r="C493" s="5">
        <v>10</v>
      </c>
      <c r="D493" s="5">
        <v>3</v>
      </c>
      <c r="E493" s="5">
        <v>2010</v>
      </c>
      <c r="F493" s="5" t="s">
        <v>38</v>
      </c>
      <c r="G493" s="5" t="s">
        <v>11</v>
      </c>
      <c r="H493" s="7">
        <v>343682</v>
      </c>
      <c r="I493" s="7">
        <v>359770</v>
      </c>
      <c r="J493" s="7">
        <v>16088</v>
      </c>
      <c r="K493" s="8">
        <v>4.6810714555897602E-2</v>
      </c>
    </row>
    <row r="494" spans="1:11" x14ac:dyDescent="0.3">
      <c r="A494" s="5" t="s">
        <v>46</v>
      </c>
      <c r="B494" s="6">
        <v>40243</v>
      </c>
      <c r="C494" s="5">
        <v>10</v>
      </c>
      <c r="D494" s="5">
        <v>3</v>
      </c>
      <c r="E494" s="5">
        <v>2010</v>
      </c>
      <c r="F494" s="5" t="s">
        <v>14</v>
      </c>
      <c r="G494" s="5" t="s">
        <v>6</v>
      </c>
      <c r="H494" s="7">
        <v>16580</v>
      </c>
      <c r="I494" s="7">
        <v>18766</v>
      </c>
      <c r="J494" s="7">
        <v>2186</v>
      </c>
      <c r="K494" s="8">
        <v>0.13184559710494573</v>
      </c>
    </row>
    <row r="495" spans="1:11" x14ac:dyDescent="0.3">
      <c r="A495" s="5" t="s">
        <v>46</v>
      </c>
      <c r="B495" s="6">
        <v>40243</v>
      </c>
      <c r="C495" s="5">
        <v>10</v>
      </c>
      <c r="D495" s="5">
        <v>3</v>
      </c>
      <c r="E495" s="5">
        <v>2010</v>
      </c>
      <c r="F495" s="5" t="s">
        <v>15</v>
      </c>
      <c r="G495" s="5" t="s">
        <v>6</v>
      </c>
      <c r="H495" s="7">
        <v>411522</v>
      </c>
      <c r="I495" s="7">
        <v>474542</v>
      </c>
      <c r="J495" s="7">
        <v>63020</v>
      </c>
      <c r="K495" s="8">
        <v>0.15313883583380719</v>
      </c>
    </row>
    <row r="496" spans="1:11" x14ac:dyDescent="0.3">
      <c r="A496" s="5" t="s">
        <v>46</v>
      </c>
      <c r="B496" s="6">
        <v>40243</v>
      </c>
      <c r="C496" s="5">
        <v>10</v>
      </c>
      <c r="D496" s="5">
        <v>3</v>
      </c>
      <c r="E496" s="5">
        <v>2010</v>
      </c>
      <c r="F496" s="5" t="s">
        <v>16</v>
      </c>
      <c r="G496" s="5" t="s">
        <v>6</v>
      </c>
      <c r="H496" s="7">
        <v>317154</v>
      </c>
      <c r="I496" s="7">
        <v>352992</v>
      </c>
      <c r="J496" s="7">
        <v>35838</v>
      </c>
      <c r="K496" s="8">
        <v>0.11299873247696703</v>
      </c>
    </row>
    <row r="497" spans="1:11" x14ac:dyDescent="0.3">
      <c r="A497" s="5" t="s">
        <v>46</v>
      </c>
      <c r="B497" s="6">
        <v>40243</v>
      </c>
      <c r="C497" s="5">
        <v>10</v>
      </c>
      <c r="D497" s="5">
        <v>3</v>
      </c>
      <c r="E497" s="5">
        <v>2010</v>
      </c>
      <c r="F497" s="5" t="s">
        <v>17</v>
      </c>
      <c r="G497" s="5" t="s">
        <v>6</v>
      </c>
      <c r="H497" s="7">
        <v>4539</v>
      </c>
      <c r="I497" s="7">
        <v>5513</v>
      </c>
      <c r="J497" s="7">
        <v>974</v>
      </c>
      <c r="K497" s="8">
        <v>0.21458471028860981</v>
      </c>
    </row>
    <row r="498" spans="1:11" x14ac:dyDescent="0.3">
      <c r="A498" s="5" t="s">
        <v>46</v>
      </c>
      <c r="B498" s="6">
        <v>40243</v>
      </c>
      <c r="C498" s="5">
        <v>10</v>
      </c>
      <c r="D498" s="5">
        <v>3</v>
      </c>
      <c r="E498" s="5">
        <v>2010</v>
      </c>
      <c r="F498" s="5" t="s">
        <v>18</v>
      </c>
      <c r="G498" s="5" t="s">
        <v>6</v>
      </c>
      <c r="H498" s="7">
        <v>44734</v>
      </c>
      <c r="I498" s="7">
        <v>50568</v>
      </c>
      <c r="J498" s="7">
        <v>5834</v>
      </c>
      <c r="K498" s="8">
        <v>0.13041534403362096</v>
      </c>
    </row>
    <row r="499" spans="1:11" x14ac:dyDescent="0.3">
      <c r="A499" s="5" t="s">
        <v>46</v>
      </c>
      <c r="B499" s="6">
        <v>40243</v>
      </c>
      <c r="C499" s="5">
        <v>10</v>
      </c>
      <c r="D499" s="5">
        <v>3</v>
      </c>
      <c r="E499" s="5">
        <v>2010</v>
      </c>
      <c r="F499" s="5" t="s">
        <v>19</v>
      </c>
      <c r="G499" s="5" t="s">
        <v>5</v>
      </c>
      <c r="H499" s="7">
        <v>282899</v>
      </c>
      <c r="I499" s="7">
        <v>314955</v>
      </c>
      <c r="J499" s="7">
        <v>32056</v>
      </c>
      <c r="K499" s="8">
        <v>0.11331252496474006</v>
      </c>
    </row>
    <row r="500" spans="1:11" x14ac:dyDescent="0.3">
      <c r="A500" s="5" t="s">
        <v>46</v>
      </c>
      <c r="B500" s="6">
        <v>40243</v>
      </c>
      <c r="C500" s="5">
        <v>10</v>
      </c>
      <c r="D500" s="5">
        <v>3</v>
      </c>
      <c r="E500" s="5">
        <v>2010</v>
      </c>
      <c r="F500" s="5" t="s">
        <v>5</v>
      </c>
      <c r="G500" s="5" t="s">
        <v>5</v>
      </c>
      <c r="H500" s="7">
        <v>1028976</v>
      </c>
      <c r="I500" s="7">
        <v>1086739</v>
      </c>
      <c r="J500" s="7">
        <v>57763</v>
      </c>
      <c r="K500" s="8">
        <v>5.6136391908071716E-2</v>
      </c>
    </row>
    <row r="501" spans="1:11" x14ac:dyDescent="0.3">
      <c r="A501" s="5" t="s">
        <v>46</v>
      </c>
      <c r="B501" s="6">
        <v>40243</v>
      </c>
      <c r="C501" s="5">
        <v>10</v>
      </c>
      <c r="D501" s="5">
        <v>3</v>
      </c>
      <c r="E501" s="5">
        <v>2010</v>
      </c>
      <c r="F501" s="5" t="s">
        <v>20</v>
      </c>
      <c r="G501" s="5" t="s">
        <v>5</v>
      </c>
      <c r="H501" s="7">
        <v>244677</v>
      </c>
      <c r="I501" s="7">
        <v>270345</v>
      </c>
      <c r="J501" s="7">
        <v>25668</v>
      </c>
      <c r="K501" s="8">
        <v>0.10490565112372638</v>
      </c>
    </row>
    <row r="502" spans="1:11" x14ac:dyDescent="0.3">
      <c r="A502" s="5" t="s">
        <v>46</v>
      </c>
      <c r="B502" s="6">
        <v>40243</v>
      </c>
      <c r="C502" s="5">
        <v>10</v>
      </c>
      <c r="D502" s="5">
        <v>3</v>
      </c>
      <c r="E502" s="5">
        <v>2010</v>
      </c>
      <c r="F502" s="5" t="s">
        <v>21</v>
      </c>
      <c r="G502" s="5" t="s">
        <v>5</v>
      </c>
      <c r="H502" s="7">
        <v>370436</v>
      </c>
      <c r="I502" s="7">
        <v>392234</v>
      </c>
      <c r="J502" s="7">
        <v>21798</v>
      </c>
      <c r="K502" s="8">
        <v>5.884417281257761E-2</v>
      </c>
    </row>
    <row r="503" spans="1:11" x14ac:dyDescent="0.3">
      <c r="A503" s="5" t="s">
        <v>46</v>
      </c>
      <c r="B503" s="6">
        <v>40243</v>
      </c>
      <c r="C503" s="5">
        <v>10</v>
      </c>
      <c r="D503" s="5">
        <v>3</v>
      </c>
      <c r="E503" s="5">
        <v>2010</v>
      </c>
      <c r="F503" s="5" t="s">
        <v>22</v>
      </c>
      <c r="G503" s="5" t="s">
        <v>8</v>
      </c>
      <c r="H503" s="7">
        <v>732691</v>
      </c>
      <c r="I503" s="7">
        <v>800591</v>
      </c>
      <c r="J503" s="7">
        <v>67900</v>
      </c>
      <c r="K503" s="8">
        <v>9.2672081409489127E-2</v>
      </c>
    </row>
    <row r="504" spans="1:11" x14ac:dyDescent="0.3">
      <c r="A504" s="5" t="s">
        <v>46</v>
      </c>
      <c r="B504" s="6">
        <v>40243</v>
      </c>
      <c r="C504" s="5">
        <v>10</v>
      </c>
      <c r="D504" s="5">
        <v>3</v>
      </c>
      <c r="E504" s="5">
        <v>2010</v>
      </c>
      <c r="F504" s="5" t="s">
        <v>23</v>
      </c>
      <c r="G504" s="5" t="s">
        <v>8</v>
      </c>
      <c r="H504" s="7">
        <v>264239</v>
      </c>
      <c r="I504" s="7">
        <v>278825</v>
      </c>
      <c r="J504" s="7">
        <v>14586</v>
      </c>
      <c r="K504" s="8">
        <v>5.5200027248059523E-2</v>
      </c>
    </row>
    <row r="505" spans="1:11" x14ac:dyDescent="0.3">
      <c r="A505" s="5" t="s">
        <v>46</v>
      </c>
      <c r="B505" s="6">
        <v>40243</v>
      </c>
      <c r="C505" s="5">
        <v>10</v>
      </c>
      <c r="D505" s="5">
        <v>3</v>
      </c>
      <c r="E505" s="5">
        <v>2010</v>
      </c>
      <c r="F505" s="5" t="s">
        <v>24</v>
      </c>
      <c r="G505" s="5" t="s">
        <v>8</v>
      </c>
      <c r="H505" s="7">
        <v>318152</v>
      </c>
      <c r="I505" s="7">
        <v>345397</v>
      </c>
      <c r="J505" s="7">
        <v>27245</v>
      </c>
      <c r="K505" s="8">
        <v>8.5635168095752973E-2</v>
      </c>
    </row>
    <row r="506" spans="1:11" x14ac:dyDescent="0.3">
      <c r="A506" s="5" t="s">
        <v>46</v>
      </c>
      <c r="B506" s="6">
        <v>40243</v>
      </c>
      <c r="C506" s="5">
        <v>10</v>
      </c>
      <c r="D506" s="5">
        <v>3</v>
      </c>
      <c r="E506" s="5">
        <v>2010</v>
      </c>
      <c r="F506" s="5" t="s">
        <v>25</v>
      </c>
      <c r="G506" s="5" t="s">
        <v>8</v>
      </c>
      <c r="H506" s="7">
        <v>20402</v>
      </c>
      <c r="I506" s="7">
        <v>22015</v>
      </c>
      <c r="J506" s="7">
        <v>1613</v>
      </c>
      <c r="K506" s="8">
        <v>7.9060876384668174E-2</v>
      </c>
    </row>
    <row r="507" spans="1:11" x14ac:dyDescent="0.3">
      <c r="A507" s="5" t="s">
        <v>46</v>
      </c>
      <c r="B507" s="6">
        <v>40243</v>
      </c>
      <c r="C507" s="5">
        <v>10</v>
      </c>
      <c r="D507" s="5">
        <v>3</v>
      </c>
      <c r="E507" s="5">
        <v>2010</v>
      </c>
      <c r="F507" s="5" t="s">
        <v>26</v>
      </c>
      <c r="G507" s="5" t="s">
        <v>10</v>
      </c>
      <c r="H507" s="7">
        <v>7105</v>
      </c>
      <c r="I507" s="7">
        <v>8169</v>
      </c>
      <c r="J507" s="7">
        <v>1064</v>
      </c>
      <c r="K507" s="8">
        <v>0.14975369458128079</v>
      </c>
    </row>
    <row r="508" spans="1:11" x14ac:dyDescent="0.3">
      <c r="A508" s="5" t="s">
        <v>46</v>
      </c>
      <c r="B508" s="6">
        <v>40243</v>
      </c>
      <c r="C508" s="5">
        <v>10</v>
      </c>
      <c r="D508" s="5">
        <v>3</v>
      </c>
      <c r="E508" s="5">
        <v>2010</v>
      </c>
      <c r="F508" s="5" t="s">
        <v>27</v>
      </c>
      <c r="G508" s="5" t="s">
        <v>10</v>
      </c>
      <c r="H508" s="7">
        <v>150208</v>
      </c>
      <c r="I508" s="7">
        <v>171118</v>
      </c>
      <c r="J508" s="7">
        <v>20910</v>
      </c>
      <c r="K508" s="8">
        <v>0.13920696634000851</v>
      </c>
    </row>
    <row r="509" spans="1:11" x14ac:dyDescent="0.3">
      <c r="A509" s="5" t="s">
        <v>46</v>
      </c>
      <c r="B509" s="6">
        <v>40243</v>
      </c>
      <c r="C509" s="5">
        <v>10</v>
      </c>
      <c r="D509" s="5">
        <v>3</v>
      </c>
      <c r="E509" s="5">
        <v>2010</v>
      </c>
      <c r="F509" s="5" t="s">
        <v>28</v>
      </c>
      <c r="G509" s="5" t="s">
        <v>10</v>
      </c>
      <c r="H509" s="7">
        <v>252206</v>
      </c>
      <c r="I509" s="7">
        <v>284398</v>
      </c>
      <c r="J509" s="7">
        <v>32192</v>
      </c>
      <c r="K509" s="8">
        <v>0.12764168972982404</v>
      </c>
    </row>
    <row r="510" spans="1:11" x14ac:dyDescent="0.3">
      <c r="A510" s="5" t="s">
        <v>46</v>
      </c>
      <c r="B510" s="6">
        <v>40243</v>
      </c>
      <c r="C510" s="5">
        <v>10</v>
      </c>
      <c r="D510" s="5">
        <v>3</v>
      </c>
      <c r="E510" s="5">
        <v>2010</v>
      </c>
      <c r="F510" s="5" t="s">
        <v>29</v>
      </c>
      <c r="G510" s="5" t="s">
        <v>10</v>
      </c>
      <c r="H510" s="7">
        <v>897630</v>
      </c>
      <c r="I510" s="7">
        <v>981236</v>
      </c>
      <c r="J510" s="7">
        <v>83606</v>
      </c>
      <c r="K510" s="8">
        <v>9.3140826398404694E-2</v>
      </c>
    </row>
    <row r="511" spans="1:11" x14ac:dyDescent="0.3">
      <c r="A511" s="5" t="s">
        <v>46</v>
      </c>
      <c r="B511" s="6">
        <v>40243</v>
      </c>
      <c r="C511" s="5">
        <v>10</v>
      </c>
      <c r="D511" s="5">
        <v>3</v>
      </c>
      <c r="E511" s="5">
        <v>2010</v>
      </c>
      <c r="F511" s="5" t="s">
        <v>30</v>
      </c>
      <c r="G511" s="5" t="s">
        <v>10</v>
      </c>
      <c r="H511" s="7">
        <v>216249</v>
      </c>
      <c r="I511" s="7">
        <v>245085</v>
      </c>
      <c r="J511" s="7">
        <v>28836</v>
      </c>
      <c r="K511" s="8">
        <v>0.13334628137008725</v>
      </c>
    </row>
    <row r="512" spans="1:11" x14ac:dyDescent="0.3">
      <c r="A512" s="5" t="s">
        <v>46</v>
      </c>
      <c r="B512" s="6">
        <v>40243</v>
      </c>
      <c r="C512" s="5">
        <v>10</v>
      </c>
      <c r="D512" s="5">
        <v>3</v>
      </c>
      <c r="E512" s="5">
        <v>2010</v>
      </c>
      <c r="F512" s="5" t="s">
        <v>9</v>
      </c>
      <c r="G512" s="5" t="s">
        <v>9</v>
      </c>
      <c r="H512" s="7">
        <v>1122699</v>
      </c>
      <c r="I512" s="7">
        <v>1351782</v>
      </c>
      <c r="J512" s="7">
        <v>229083</v>
      </c>
      <c r="K512" s="8">
        <v>0.2040466768029543</v>
      </c>
    </row>
    <row r="513" spans="1:11" x14ac:dyDescent="0.3">
      <c r="A513" s="5" t="s">
        <v>46</v>
      </c>
      <c r="B513" s="6">
        <v>40243</v>
      </c>
      <c r="C513" s="5">
        <v>10</v>
      </c>
      <c r="D513" s="5">
        <v>3</v>
      </c>
      <c r="E513" s="5">
        <v>2010</v>
      </c>
      <c r="F513" s="5" t="s">
        <v>31</v>
      </c>
      <c r="G513" s="5" t="s">
        <v>7</v>
      </c>
      <c r="H513" s="7">
        <v>111888</v>
      </c>
      <c r="I513" s="7">
        <v>144802</v>
      </c>
      <c r="J513" s="7">
        <v>32914</v>
      </c>
      <c r="K513" s="8">
        <v>0.29416916916916919</v>
      </c>
    </row>
    <row r="514" spans="1:11" x14ac:dyDescent="0.3">
      <c r="A514" s="5" t="s">
        <v>46</v>
      </c>
      <c r="B514" s="6">
        <v>40243</v>
      </c>
      <c r="C514" s="5">
        <v>10</v>
      </c>
      <c r="D514" s="5">
        <v>3</v>
      </c>
      <c r="E514" s="5">
        <v>2010</v>
      </c>
      <c r="F514" s="5" t="s">
        <v>33</v>
      </c>
      <c r="G514" s="5" t="s">
        <v>7</v>
      </c>
      <c r="H514" s="7">
        <v>79570</v>
      </c>
      <c r="I514" s="7">
        <v>162140</v>
      </c>
      <c r="J514" s="7">
        <v>82570</v>
      </c>
      <c r="K514" s="8">
        <v>1.0377026517531733</v>
      </c>
    </row>
    <row r="515" spans="1:11" x14ac:dyDescent="0.3">
      <c r="A515" s="5" t="s">
        <v>46</v>
      </c>
      <c r="B515" s="6">
        <v>40243</v>
      </c>
      <c r="C515" s="5">
        <v>10</v>
      </c>
      <c r="D515" s="5">
        <v>3</v>
      </c>
      <c r="E515" s="5">
        <v>2010</v>
      </c>
      <c r="F515" s="5" t="s">
        <v>34</v>
      </c>
      <c r="G515" s="5" t="s">
        <v>7</v>
      </c>
      <c r="H515" s="7">
        <v>5988</v>
      </c>
      <c r="I515" s="7">
        <v>6707</v>
      </c>
      <c r="J515" s="7">
        <v>719</v>
      </c>
      <c r="K515" s="8">
        <v>0.12007348029392118</v>
      </c>
    </row>
    <row r="516" spans="1:11" x14ac:dyDescent="0.3">
      <c r="A516" s="5" t="s">
        <v>46</v>
      </c>
      <c r="B516" s="6">
        <v>40243</v>
      </c>
      <c r="C516" s="5">
        <v>10</v>
      </c>
      <c r="D516" s="5">
        <v>3</v>
      </c>
      <c r="E516" s="5">
        <v>2010</v>
      </c>
      <c r="F516" s="5" t="s">
        <v>35</v>
      </c>
      <c r="G516" s="5" t="s">
        <v>11</v>
      </c>
      <c r="H516" s="7">
        <v>8706</v>
      </c>
      <c r="I516" s="7">
        <v>10860</v>
      </c>
      <c r="J516" s="7">
        <v>2154</v>
      </c>
      <c r="K516" s="8">
        <v>0.24741557546519641</v>
      </c>
    </row>
    <row r="517" spans="1:11" x14ac:dyDescent="0.3">
      <c r="A517" s="5" t="s">
        <v>46</v>
      </c>
      <c r="B517" s="6">
        <v>40243</v>
      </c>
      <c r="C517" s="5">
        <v>10</v>
      </c>
      <c r="D517" s="5">
        <v>3</v>
      </c>
      <c r="E517" s="5">
        <v>2010</v>
      </c>
      <c r="F517" s="5" t="s">
        <v>36</v>
      </c>
      <c r="G517" s="5" t="s">
        <v>11</v>
      </c>
      <c r="H517" s="7">
        <v>338981</v>
      </c>
      <c r="I517" s="7">
        <v>372412</v>
      </c>
      <c r="J517" s="7">
        <v>33431</v>
      </c>
      <c r="K517" s="8">
        <v>9.8622046663382312E-2</v>
      </c>
    </row>
    <row r="518" spans="1:11" x14ac:dyDescent="0.3">
      <c r="A518" s="5" t="s">
        <v>46</v>
      </c>
      <c r="B518" s="6">
        <v>40243</v>
      </c>
      <c r="C518" s="5">
        <v>10</v>
      </c>
      <c r="D518" s="5">
        <v>3</v>
      </c>
      <c r="E518" s="5">
        <v>2010</v>
      </c>
      <c r="F518" s="5" t="s">
        <v>37</v>
      </c>
      <c r="G518" s="5" t="s">
        <v>11</v>
      </c>
      <c r="H518" s="7">
        <v>570444</v>
      </c>
      <c r="I518" s="7">
        <v>615369</v>
      </c>
      <c r="J518" s="7">
        <v>44925</v>
      </c>
      <c r="K518" s="8">
        <v>7.8754443906851504E-2</v>
      </c>
    </row>
    <row r="519" spans="1:11" x14ac:dyDescent="0.3">
      <c r="A519" s="5" t="s">
        <v>46</v>
      </c>
      <c r="B519" s="6">
        <v>40243</v>
      </c>
      <c r="C519" s="5">
        <v>10</v>
      </c>
      <c r="D519" s="5">
        <v>3</v>
      </c>
      <c r="E519" s="5">
        <v>2010</v>
      </c>
      <c r="F519" s="5" t="s">
        <v>38</v>
      </c>
      <c r="G519" s="5" t="s">
        <v>11</v>
      </c>
      <c r="H519" s="7">
        <v>564624</v>
      </c>
      <c r="I519" s="7">
        <v>602198</v>
      </c>
      <c r="J519" s="7">
        <v>37574</v>
      </c>
      <c r="K519" s="8">
        <v>6.6546940973107774E-2</v>
      </c>
    </row>
    <row r="520" spans="1:11" x14ac:dyDescent="0.3">
      <c r="A520" s="5" t="s">
        <v>46</v>
      </c>
      <c r="B520" s="6">
        <v>40244</v>
      </c>
      <c r="C520" s="5">
        <v>11</v>
      </c>
      <c r="D520" s="5">
        <v>3</v>
      </c>
      <c r="E520" s="5">
        <v>2010</v>
      </c>
      <c r="F520" s="5" t="s">
        <v>14</v>
      </c>
      <c r="G520" s="5" t="s">
        <v>6</v>
      </c>
      <c r="H520" s="7">
        <v>10309</v>
      </c>
      <c r="I520" s="7">
        <v>11671</v>
      </c>
      <c r="J520" s="7">
        <v>1362</v>
      </c>
      <c r="K520" s="8">
        <v>0.13211756717431369</v>
      </c>
    </row>
    <row r="521" spans="1:11" x14ac:dyDescent="0.3">
      <c r="A521" s="5" t="s">
        <v>46</v>
      </c>
      <c r="B521" s="6">
        <v>40244</v>
      </c>
      <c r="C521" s="5">
        <v>11</v>
      </c>
      <c r="D521" s="5">
        <v>3</v>
      </c>
      <c r="E521" s="5">
        <v>2010</v>
      </c>
      <c r="F521" s="5" t="s">
        <v>15</v>
      </c>
      <c r="G521" s="5" t="s">
        <v>6</v>
      </c>
      <c r="H521" s="7">
        <v>422734</v>
      </c>
      <c r="I521" s="7">
        <v>499860</v>
      </c>
      <c r="J521" s="7">
        <v>77126</v>
      </c>
      <c r="K521" s="8">
        <v>0.18244569871361188</v>
      </c>
    </row>
    <row r="522" spans="1:11" x14ac:dyDescent="0.3">
      <c r="A522" s="5" t="s">
        <v>46</v>
      </c>
      <c r="B522" s="6">
        <v>40244</v>
      </c>
      <c r="C522" s="5">
        <v>11</v>
      </c>
      <c r="D522" s="5">
        <v>3</v>
      </c>
      <c r="E522" s="5">
        <v>2010</v>
      </c>
      <c r="F522" s="5" t="s">
        <v>16</v>
      </c>
      <c r="G522" s="5" t="s">
        <v>6</v>
      </c>
      <c r="H522" s="7">
        <v>203290</v>
      </c>
      <c r="I522" s="7">
        <v>228857</v>
      </c>
      <c r="J522" s="7">
        <v>25567</v>
      </c>
      <c r="K522" s="8">
        <v>0.12576614688376211</v>
      </c>
    </row>
    <row r="523" spans="1:11" x14ac:dyDescent="0.3">
      <c r="A523" s="5" t="s">
        <v>46</v>
      </c>
      <c r="B523" s="6">
        <v>40244</v>
      </c>
      <c r="C523" s="5">
        <v>11</v>
      </c>
      <c r="D523" s="5">
        <v>3</v>
      </c>
      <c r="E523" s="5">
        <v>2010</v>
      </c>
      <c r="F523" s="5" t="s">
        <v>17</v>
      </c>
      <c r="G523" s="5" t="s">
        <v>6</v>
      </c>
      <c r="H523" s="7">
        <v>1828</v>
      </c>
      <c r="I523" s="7">
        <v>2128</v>
      </c>
      <c r="J523" s="7">
        <v>300</v>
      </c>
      <c r="K523" s="8">
        <v>0.16411378555798686</v>
      </c>
    </row>
    <row r="524" spans="1:11" x14ac:dyDescent="0.3">
      <c r="A524" s="5" t="s">
        <v>46</v>
      </c>
      <c r="B524" s="6">
        <v>40244</v>
      </c>
      <c r="C524" s="5">
        <v>11</v>
      </c>
      <c r="D524" s="5">
        <v>3</v>
      </c>
      <c r="E524" s="5">
        <v>2010</v>
      </c>
      <c r="F524" s="5" t="s">
        <v>18</v>
      </c>
      <c r="G524" s="5" t="s">
        <v>6</v>
      </c>
      <c r="H524" s="7">
        <v>25679</v>
      </c>
      <c r="I524" s="7">
        <v>29222</v>
      </c>
      <c r="J524" s="7">
        <v>3543</v>
      </c>
      <c r="K524" s="8">
        <v>0.13797266248685697</v>
      </c>
    </row>
    <row r="525" spans="1:11" x14ac:dyDescent="0.3">
      <c r="A525" s="5" t="s">
        <v>46</v>
      </c>
      <c r="B525" s="6">
        <v>40244</v>
      </c>
      <c r="C525" s="5">
        <v>11</v>
      </c>
      <c r="D525" s="5">
        <v>3</v>
      </c>
      <c r="E525" s="5">
        <v>2010</v>
      </c>
      <c r="F525" s="5" t="s">
        <v>19</v>
      </c>
      <c r="G525" s="5" t="s">
        <v>5</v>
      </c>
      <c r="H525" s="7">
        <v>167193</v>
      </c>
      <c r="I525" s="7">
        <v>187633</v>
      </c>
      <c r="J525" s="7">
        <v>20440</v>
      </c>
      <c r="K525" s="8">
        <v>0.1222539221139641</v>
      </c>
    </row>
    <row r="526" spans="1:11" x14ac:dyDescent="0.3">
      <c r="A526" s="5" t="s">
        <v>46</v>
      </c>
      <c r="B526" s="6">
        <v>40244</v>
      </c>
      <c r="C526" s="5">
        <v>11</v>
      </c>
      <c r="D526" s="5">
        <v>3</v>
      </c>
      <c r="E526" s="5">
        <v>2010</v>
      </c>
      <c r="F526" s="5" t="s">
        <v>5</v>
      </c>
      <c r="G526" s="5" t="s">
        <v>5</v>
      </c>
      <c r="H526" s="7">
        <v>688732</v>
      </c>
      <c r="I526" s="7">
        <v>726547</v>
      </c>
      <c r="J526" s="7">
        <v>37815</v>
      </c>
      <c r="K526" s="8">
        <v>5.490524616251314E-2</v>
      </c>
    </row>
    <row r="527" spans="1:11" x14ac:dyDescent="0.3">
      <c r="A527" s="5" t="s">
        <v>46</v>
      </c>
      <c r="B527" s="6">
        <v>40244</v>
      </c>
      <c r="C527" s="5">
        <v>11</v>
      </c>
      <c r="D527" s="5">
        <v>3</v>
      </c>
      <c r="E527" s="5">
        <v>2010</v>
      </c>
      <c r="F527" s="5" t="s">
        <v>20</v>
      </c>
      <c r="G527" s="5" t="s">
        <v>5</v>
      </c>
      <c r="H527" s="7">
        <v>151234</v>
      </c>
      <c r="I527" s="7">
        <v>166613</v>
      </c>
      <c r="J527" s="7">
        <v>15379</v>
      </c>
      <c r="K527" s="8">
        <v>0.10169009614240183</v>
      </c>
    </row>
    <row r="528" spans="1:11" x14ac:dyDescent="0.3">
      <c r="A528" s="5" t="s">
        <v>46</v>
      </c>
      <c r="B528" s="6">
        <v>40244</v>
      </c>
      <c r="C528" s="5">
        <v>11</v>
      </c>
      <c r="D528" s="5">
        <v>3</v>
      </c>
      <c r="E528" s="5">
        <v>2010</v>
      </c>
      <c r="F528" s="5" t="s">
        <v>21</v>
      </c>
      <c r="G528" s="5" t="s">
        <v>5</v>
      </c>
      <c r="H528" s="7">
        <v>224023</v>
      </c>
      <c r="I528" s="7">
        <v>236919</v>
      </c>
      <c r="J528" s="7">
        <v>12896</v>
      </c>
      <c r="K528" s="8">
        <v>5.756551782629462E-2</v>
      </c>
    </row>
    <row r="529" spans="1:11" x14ac:dyDescent="0.3">
      <c r="A529" s="5" t="s">
        <v>46</v>
      </c>
      <c r="B529" s="6">
        <v>40244</v>
      </c>
      <c r="C529" s="5">
        <v>11</v>
      </c>
      <c r="D529" s="5">
        <v>3</v>
      </c>
      <c r="E529" s="5">
        <v>2010</v>
      </c>
      <c r="F529" s="5" t="s">
        <v>22</v>
      </c>
      <c r="G529" s="5" t="s">
        <v>8</v>
      </c>
      <c r="H529" s="7">
        <v>608129</v>
      </c>
      <c r="I529" s="7">
        <v>682265</v>
      </c>
      <c r="J529" s="7">
        <v>74136</v>
      </c>
      <c r="K529" s="8">
        <v>0.12190834510441041</v>
      </c>
    </row>
    <row r="530" spans="1:11" x14ac:dyDescent="0.3">
      <c r="A530" s="5" t="s">
        <v>46</v>
      </c>
      <c r="B530" s="6">
        <v>40244</v>
      </c>
      <c r="C530" s="5">
        <v>11</v>
      </c>
      <c r="D530" s="5">
        <v>3</v>
      </c>
      <c r="E530" s="5">
        <v>2010</v>
      </c>
      <c r="F530" s="5" t="s">
        <v>23</v>
      </c>
      <c r="G530" s="5" t="s">
        <v>8</v>
      </c>
      <c r="H530" s="7">
        <v>231808</v>
      </c>
      <c r="I530" s="7">
        <v>244127</v>
      </c>
      <c r="J530" s="7">
        <v>12319</v>
      </c>
      <c r="K530" s="8">
        <v>5.3143118442849253E-2</v>
      </c>
    </row>
    <row r="531" spans="1:11" x14ac:dyDescent="0.3">
      <c r="A531" s="5" t="s">
        <v>46</v>
      </c>
      <c r="B531" s="6">
        <v>40244</v>
      </c>
      <c r="C531" s="5">
        <v>11</v>
      </c>
      <c r="D531" s="5">
        <v>3</v>
      </c>
      <c r="E531" s="5">
        <v>2010</v>
      </c>
      <c r="F531" s="5" t="s">
        <v>24</v>
      </c>
      <c r="G531" s="5" t="s">
        <v>8</v>
      </c>
      <c r="H531" s="7">
        <v>268284</v>
      </c>
      <c r="I531" s="7">
        <v>289550</v>
      </c>
      <c r="J531" s="7">
        <v>21266</v>
      </c>
      <c r="K531" s="8">
        <v>7.9266747178363225E-2</v>
      </c>
    </row>
    <row r="532" spans="1:11" x14ac:dyDescent="0.3">
      <c r="A532" s="5" t="s">
        <v>46</v>
      </c>
      <c r="B532" s="6">
        <v>40244</v>
      </c>
      <c r="C532" s="5">
        <v>11</v>
      </c>
      <c r="D532" s="5">
        <v>3</v>
      </c>
      <c r="E532" s="5">
        <v>2010</v>
      </c>
      <c r="F532" s="5" t="s">
        <v>25</v>
      </c>
      <c r="G532" s="5" t="s">
        <v>8</v>
      </c>
      <c r="H532" s="7">
        <v>10138</v>
      </c>
      <c r="I532" s="7">
        <v>11136</v>
      </c>
      <c r="J532" s="7">
        <v>998</v>
      </c>
      <c r="K532" s="8">
        <v>9.8441507200631287E-2</v>
      </c>
    </row>
    <row r="533" spans="1:11" x14ac:dyDescent="0.3">
      <c r="A533" s="5" t="s">
        <v>46</v>
      </c>
      <c r="B533" s="6">
        <v>40244</v>
      </c>
      <c r="C533" s="5">
        <v>11</v>
      </c>
      <c r="D533" s="5">
        <v>3</v>
      </c>
      <c r="E533" s="5">
        <v>2010</v>
      </c>
      <c r="F533" s="5" t="s">
        <v>26</v>
      </c>
      <c r="G533" s="5" t="s">
        <v>10</v>
      </c>
      <c r="H533" s="7">
        <v>3415</v>
      </c>
      <c r="I533" s="7">
        <v>3960</v>
      </c>
      <c r="J533" s="7">
        <v>545</v>
      </c>
      <c r="K533" s="8">
        <v>0.1595900439238653</v>
      </c>
    </row>
    <row r="534" spans="1:11" x14ac:dyDescent="0.3">
      <c r="A534" s="5" t="s">
        <v>46</v>
      </c>
      <c r="B534" s="6">
        <v>40244</v>
      </c>
      <c r="C534" s="5">
        <v>11</v>
      </c>
      <c r="D534" s="5">
        <v>3</v>
      </c>
      <c r="E534" s="5">
        <v>2010</v>
      </c>
      <c r="F534" s="5" t="s">
        <v>27</v>
      </c>
      <c r="G534" s="5" t="s">
        <v>10</v>
      </c>
      <c r="H534" s="7">
        <v>102116</v>
      </c>
      <c r="I534" s="7">
        <v>117130</v>
      </c>
      <c r="J534" s="7">
        <v>15014</v>
      </c>
      <c r="K534" s="8">
        <v>0.14702886912922558</v>
      </c>
    </row>
    <row r="535" spans="1:11" x14ac:dyDescent="0.3">
      <c r="A535" s="5" t="s">
        <v>46</v>
      </c>
      <c r="B535" s="6">
        <v>40244</v>
      </c>
      <c r="C535" s="5">
        <v>11</v>
      </c>
      <c r="D535" s="5">
        <v>3</v>
      </c>
      <c r="E535" s="5">
        <v>2010</v>
      </c>
      <c r="F535" s="5" t="s">
        <v>28</v>
      </c>
      <c r="G535" s="5" t="s">
        <v>10</v>
      </c>
      <c r="H535" s="7">
        <v>145184</v>
      </c>
      <c r="I535" s="7">
        <v>161145</v>
      </c>
      <c r="J535" s="7">
        <v>15961</v>
      </c>
      <c r="K535" s="8">
        <v>0.10993635662331937</v>
      </c>
    </row>
    <row r="536" spans="1:11" x14ac:dyDescent="0.3">
      <c r="A536" s="5" t="s">
        <v>46</v>
      </c>
      <c r="B536" s="6">
        <v>40244</v>
      </c>
      <c r="C536" s="5">
        <v>11</v>
      </c>
      <c r="D536" s="5">
        <v>3</v>
      </c>
      <c r="E536" s="5">
        <v>2010</v>
      </c>
      <c r="F536" s="5" t="s">
        <v>29</v>
      </c>
      <c r="G536" s="5" t="s">
        <v>10</v>
      </c>
      <c r="H536" s="7">
        <v>618737</v>
      </c>
      <c r="I536" s="7">
        <v>674851</v>
      </c>
      <c r="J536" s="7">
        <v>56114</v>
      </c>
      <c r="K536" s="8">
        <v>9.0691198360531217E-2</v>
      </c>
    </row>
    <row r="537" spans="1:11" x14ac:dyDescent="0.3">
      <c r="A537" s="5" t="s">
        <v>46</v>
      </c>
      <c r="B537" s="6">
        <v>40244</v>
      </c>
      <c r="C537" s="5">
        <v>11</v>
      </c>
      <c r="D537" s="5">
        <v>3</v>
      </c>
      <c r="E537" s="5">
        <v>2010</v>
      </c>
      <c r="F537" s="5" t="s">
        <v>30</v>
      </c>
      <c r="G537" s="5" t="s">
        <v>10</v>
      </c>
      <c r="H537" s="7">
        <v>128231</v>
      </c>
      <c r="I537" s="7">
        <v>145073</v>
      </c>
      <c r="J537" s="7">
        <v>16842</v>
      </c>
      <c r="K537" s="8">
        <v>0.13134109536695496</v>
      </c>
    </row>
    <row r="538" spans="1:11" x14ac:dyDescent="0.3">
      <c r="A538" s="5" t="s">
        <v>46</v>
      </c>
      <c r="B538" s="6">
        <v>40244</v>
      </c>
      <c r="C538" s="5">
        <v>11</v>
      </c>
      <c r="D538" s="5">
        <v>3</v>
      </c>
      <c r="E538" s="5">
        <v>2010</v>
      </c>
      <c r="F538" s="5" t="s">
        <v>9</v>
      </c>
      <c r="G538" s="5" t="s">
        <v>9</v>
      </c>
      <c r="H538" s="7">
        <v>902757</v>
      </c>
      <c r="I538" s="7">
        <v>1100927</v>
      </c>
      <c r="J538" s="7">
        <v>198170</v>
      </c>
      <c r="K538" s="8">
        <v>0.21951643687060859</v>
      </c>
    </row>
    <row r="539" spans="1:11" x14ac:dyDescent="0.3">
      <c r="A539" s="5" t="s">
        <v>46</v>
      </c>
      <c r="B539" s="6">
        <v>40244</v>
      </c>
      <c r="C539" s="5">
        <v>11</v>
      </c>
      <c r="D539" s="5">
        <v>3</v>
      </c>
      <c r="E539" s="5">
        <v>2010</v>
      </c>
      <c r="F539" s="5" t="s">
        <v>31</v>
      </c>
      <c r="G539" s="5" t="s">
        <v>7</v>
      </c>
      <c r="H539" s="7">
        <v>78557</v>
      </c>
      <c r="I539" s="7">
        <v>102138</v>
      </c>
      <c r="J539" s="7">
        <v>23581</v>
      </c>
      <c r="K539" s="8">
        <v>0.30017694158381814</v>
      </c>
    </row>
    <row r="540" spans="1:11" x14ac:dyDescent="0.3">
      <c r="A540" s="5" t="s">
        <v>46</v>
      </c>
      <c r="B540" s="6">
        <v>40244</v>
      </c>
      <c r="C540" s="5">
        <v>11</v>
      </c>
      <c r="D540" s="5">
        <v>3</v>
      </c>
      <c r="E540" s="5">
        <v>2010</v>
      </c>
      <c r="F540" s="5" t="s">
        <v>33</v>
      </c>
      <c r="G540" s="5" t="s">
        <v>7</v>
      </c>
      <c r="H540" s="7">
        <v>76426</v>
      </c>
      <c r="I540" s="7">
        <v>145938</v>
      </c>
      <c r="J540" s="7">
        <v>69512</v>
      </c>
      <c r="K540" s="8">
        <v>0.90953340486221967</v>
      </c>
    </row>
    <row r="541" spans="1:11" x14ac:dyDescent="0.3">
      <c r="A541" s="5" t="s">
        <v>46</v>
      </c>
      <c r="B541" s="6">
        <v>40244</v>
      </c>
      <c r="C541" s="5">
        <v>11</v>
      </c>
      <c r="D541" s="5">
        <v>3</v>
      </c>
      <c r="E541" s="5">
        <v>2010</v>
      </c>
      <c r="F541" s="5" t="s">
        <v>34</v>
      </c>
      <c r="G541" s="5" t="s">
        <v>7</v>
      </c>
      <c r="H541" s="7">
        <v>3576</v>
      </c>
      <c r="I541" s="7">
        <v>4005</v>
      </c>
      <c r="J541" s="7">
        <v>429</v>
      </c>
      <c r="K541" s="8">
        <v>0.11996644295302013</v>
      </c>
    </row>
    <row r="542" spans="1:11" x14ac:dyDescent="0.3">
      <c r="A542" s="5" t="s">
        <v>46</v>
      </c>
      <c r="B542" s="6">
        <v>40244</v>
      </c>
      <c r="C542" s="5">
        <v>11</v>
      </c>
      <c r="D542" s="5">
        <v>3</v>
      </c>
      <c r="E542" s="5">
        <v>2010</v>
      </c>
      <c r="F542" s="5" t="s">
        <v>35</v>
      </c>
      <c r="G542" s="5" t="s">
        <v>11</v>
      </c>
      <c r="H542" s="7">
        <v>6039</v>
      </c>
      <c r="I542" s="7">
        <v>7376</v>
      </c>
      <c r="J542" s="7">
        <v>1337</v>
      </c>
      <c r="K542" s="8">
        <v>0.22139427057459846</v>
      </c>
    </row>
    <row r="543" spans="1:11" x14ac:dyDescent="0.3">
      <c r="A543" s="5" t="s">
        <v>46</v>
      </c>
      <c r="B543" s="6">
        <v>40244</v>
      </c>
      <c r="C543" s="5">
        <v>11</v>
      </c>
      <c r="D543" s="5">
        <v>3</v>
      </c>
      <c r="E543" s="5">
        <v>2010</v>
      </c>
      <c r="F543" s="5" t="s">
        <v>36</v>
      </c>
      <c r="G543" s="5" t="s">
        <v>11</v>
      </c>
      <c r="H543" s="7">
        <v>330405</v>
      </c>
      <c r="I543" s="7">
        <v>365756</v>
      </c>
      <c r="J543" s="7">
        <v>35351</v>
      </c>
      <c r="K543" s="8">
        <v>0.10699293291566411</v>
      </c>
    </row>
    <row r="544" spans="1:11" x14ac:dyDescent="0.3">
      <c r="A544" s="5" t="s">
        <v>46</v>
      </c>
      <c r="B544" s="6">
        <v>40244</v>
      </c>
      <c r="C544" s="5">
        <v>11</v>
      </c>
      <c r="D544" s="5">
        <v>3</v>
      </c>
      <c r="E544" s="5">
        <v>2010</v>
      </c>
      <c r="F544" s="5" t="s">
        <v>37</v>
      </c>
      <c r="G544" s="5" t="s">
        <v>11</v>
      </c>
      <c r="H544" s="7">
        <v>367278</v>
      </c>
      <c r="I544" s="7">
        <v>396053</v>
      </c>
      <c r="J544" s="7">
        <v>28775</v>
      </c>
      <c r="K544" s="8">
        <v>7.8346647498625022E-2</v>
      </c>
    </row>
    <row r="545" spans="1:11" x14ac:dyDescent="0.3">
      <c r="A545" s="5" t="s">
        <v>46</v>
      </c>
      <c r="B545" s="6">
        <v>40244</v>
      </c>
      <c r="C545" s="5">
        <v>11</v>
      </c>
      <c r="D545" s="5">
        <v>3</v>
      </c>
      <c r="E545" s="5">
        <v>2010</v>
      </c>
      <c r="F545" s="5" t="s">
        <v>38</v>
      </c>
      <c r="G545" s="5" t="s">
        <v>11</v>
      </c>
      <c r="H545" s="7">
        <v>376346</v>
      </c>
      <c r="I545" s="7">
        <v>403364</v>
      </c>
      <c r="J545" s="7">
        <v>27018</v>
      </c>
      <c r="K545" s="8">
        <v>7.1790320609226618E-2</v>
      </c>
    </row>
    <row r="546" spans="1:11" x14ac:dyDescent="0.3">
      <c r="A546" s="5" t="s">
        <v>46</v>
      </c>
      <c r="B546" s="6">
        <v>40245</v>
      </c>
      <c r="C546" s="5">
        <v>11</v>
      </c>
      <c r="D546" s="5">
        <v>3</v>
      </c>
      <c r="E546" s="5">
        <v>2010</v>
      </c>
      <c r="F546" s="5" t="s">
        <v>14</v>
      </c>
      <c r="G546" s="5" t="s">
        <v>6</v>
      </c>
      <c r="H546" s="7">
        <v>9801</v>
      </c>
      <c r="I546" s="7">
        <v>10831</v>
      </c>
      <c r="J546" s="7">
        <v>1030</v>
      </c>
      <c r="K546" s="8">
        <v>0.10509131721252933</v>
      </c>
    </row>
    <row r="547" spans="1:11" x14ac:dyDescent="0.3">
      <c r="A547" s="5" t="s">
        <v>46</v>
      </c>
      <c r="B547" s="6">
        <v>40245</v>
      </c>
      <c r="C547" s="5">
        <v>11</v>
      </c>
      <c r="D547" s="5">
        <v>3</v>
      </c>
      <c r="E547" s="5">
        <v>2010</v>
      </c>
      <c r="F547" s="5" t="s">
        <v>15</v>
      </c>
      <c r="G547" s="5" t="s">
        <v>6</v>
      </c>
      <c r="H547" s="7">
        <v>408987</v>
      </c>
      <c r="I547" s="7">
        <v>479462</v>
      </c>
      <c r="J547" s="7">
        <v>70475</v>
      </c>
      <c r="K547" s="8">
        <v>0.17231599048380511</v>
      </c>
    </row>
    <row r="548" spans="1:11" x14ac:dyDescent="0.3">
      <c r="A548" s="5" t="s">
        <v>46</v>
      </c>
      <c r="B548" s="6">
        <v>40245</v>
      </c>
      <c r="C548" s="5">
        <v>11</v>
      </c>
      <c r="D548" s="5">
        <v>3</v>
      </c>
      <c r="E548" s="5">
        <v>2010</v>
      </c>
      <c r="F548" s="5" t="s">
        <v>16</v>
      </c>
      <c r="G548" s="5" t="s">
        <v>6</v>
      </c>
      <c r="H548" s="7">
        <v>174478</v>
      </c>
      <c r="I548" s="7">
        <v>194860</v>
      </c>
      <c r="J548" s="7">
        <v>20382</v>
      </c>
      <c r="K548" s="8">
        <v>0.11681701991081971</v>
      </c>
    </row>
    <row r="549" spans="1:11" x14ac:dyDescent="0.3">
      <c r="A549" s="5" t="s">
        <v>46</v>
      </c>
      <c r="B549" s="6">
        <v>40245</v>
      </c>
      <c r="C549" s="5">
        <v>11</v>
      </c>
      <c r="D549" s="5">
        <v>3</v>
      </c>
      <c r="E549" s="5">
        <v>2010</v>
      </c>
      <c r="F549" s="5" t="s">
        <v>17</v>
      </c>
      <c r="G549" s="5" t="s">
        <v>6</v>
      </c>
      <c r="H549" s="7">
        <v>1179</v>
      </c>
      <c r="I549" s="7">
        <v>1192</v>
      </c>
      <c r="J549" s="7">
        <v>13</v>
      </c>
      <c r="K549" s="8">
        <v>1.102629346904156E-2</v>
      </c>
    </row>
    <row r="550" spans="1:11" x14ac:dyDescent="0.3">
      <c r="A550" s="5" t="s">
        <v>46</v>
      </c>
      <c r="B550" s="6">
        <v>40245</v>
      </c>
      <c r="C550" s="5">
        <v>11</v>
      </c>
      <c r="D550" s="5">
        <v>3</v>
      </c>
      <c r="E550" s="5">
        <v>2010</v>
      </c>
      <c r="F550" s="5" t="s">
        <v>18</v>
      </c>
      <c r="G550" s="5" t="s">
        <v>6</v>
      </c>
      <c r="H550" s="7">
        <v>14202</v>
      </c>
      <c r="I550" s="7">
        <v>15601</v>
      </c>
      <c r="J550" s="7">
        <v>1399</v>
      </c>
      <c r="K550" s="8">
        <v>9.8507252499647938E-2</v>
      </c>
    </row>
    <row r="551" spans="1:11" x14ac:dyDescent="0.3">
      <c r="A551" s="5" t="s">
        <v>46</v>
      </c>
      <c r="B551" s="6">
        <v>40245</v>
      </c>
      <c r="C551" s="5">
        <v>11</v>
      </c>
      <c r="D551" s="5">
        <v>3</v>
      </c>
      <c r="E551" s="5">
        <v>2010</v>
      </c>
      <c r="F551" s="5" t="s">
        <v>19</v>
      </c>
      <c r="G551" s="5" t="s">
        <v>5</v>
      </c>
      <c r="H551" s="7">
        <v>121209</v>
      </c>
      <c r="I551" s="7">
        <v>135015</v>
      </c>
      <c r="J551" s="7">
        <v>13806</v>
      </c>
      <c r="K551" s="8">
        <v>0.11390243298764943</v>
      </c>
    </row>
    <row r="552" spans="1:11" x14ac:dyDescent="0.3">
      <c r="A552" s="5" t="s">
        <v>46</v>
      </c>
      <c r="B552" s="6">
        <v>40245</v>
      </c>
      <c r="C552" s="5">
        <v>11</v>
      </c>
      <c r="D552" s="5">
        <v>3</v>
      </c>
      <c r="E552" s="5">
        <v>2010</v>
      </c>
      <c r="F552" s="5" t="s">
        <v>5</v>
      </c>
      <c r="G552" s="5" t="s">
        <v>5</v>
      </c>
      <c r="H552" s="7">
        <v>412583</v>
      </c>
      <c r="I552" s="7">
        <v>434181</v>
      </c>
      <c r="J552" s="7">
        <v>21598</v>
      </c>
      <c r="K552" s="8">
        <v>5.2348254775402767E-2</v>
      </c>
    </row>
    <row r="553" spans="1:11" x14ac:dyDescent="0.3">
      <c r="A553" s="5" t="s">
        <v>46</v>
      </c>
      <c r="B553" s="6">
        <v>40245</v>
      </c>
      <c r="C553" s="5">
        <v>11</v>
      </c>
      <c r="D553" s="5">
        <v>3</v>
      </c>
      <c r="E553" s="5">
        <v>2010</v>
      </c>
      <c r="F553" s="5" t="s">
        <v>20</v>
      </c>
      <c r="G553" s="5" t="s">
        <v>5</v>
      </c>
      <c r="H553" s="7">
        <v>83018</v>
      </c>
      <c r="I553" s="7">
        <v>90572</v>
      </c>
      <c r="J553" s="7">
        <v>7554</v>
      </c>
      <c r="K553" s="8">
        <v>9.0992314919655981E-2</v>
      </c>
    </row>
    <row r="554" spans="1:11" x14ac:dyDescent="0.3">
      <c r="A554" s="5" t="s">
        <v>46</v>
      </c>
      <c r="B554" s="6">
        <v>40245</v>
      </c>
      <c r="C554" s="5">
        <v>11</v>
      </c>
      <c r="D554" s="5">
        <v>3</v>
      </c>
      <c r="E554" s="5">
        <v>2010</v>
      </c>
      <c r="F554" s="5" t="s">
        <v>21</v>
      </c>
      <c r="G554" s="5" t="s">
        <v>5</v>
      </c>
      <c r="H554" s="7">
        <v>129093</v>
      </c>
      <c r="I554" s="7">
        <v>136668</v>
      </c>
      <c r="J554" s="7">
        <v>7575</v>
      </c>
      <c r="K554" s="8">
        <v>5.867862703632265E-2</v>
      </c>
    </row>
    <row r="555" spans="1:11" x14ac:dyDescent="0.3">
      <c r="A555" s="5" t="s">
        <v>46</v>
      </c>
      <c r="B555" s="6">
        <v>40245</v>
      </c>
      <c r="C555" s="5">
        <v>11</v>
      </c>
      <c r="D555" s="5">
        <v>3</v>
      </c>
      <c r="E555" s="5">
        <v>2010</v>
      </c>
      <c r="F555" s="5" t="s">
        <v>22</v>
      </c>
      <c r="G555" s="5" t="s">
        <v>8</v>
      </c>
      <c r="H555" s="7">
        <v>437523</v>
      </c>
      <c r="I555" s="7">
        <v>493307</v>
      </c>
      <c r="J555" s="7">
        <v>55784</v>
      </c>
      <c r="K555" s="8">
        <v>0.12749958287907151</v>
      </c>
    </row>
    <row r="556" spans="1:11" x14ac:dyDescent="0.3">
      <c r="A556" s="5" t="s">
        <v>46</v>
      </c>
      <c r="B556" s="6">
        <v>40245</v>
      </c>
      <c r="C556" s="5">
        <v>11</v>
      </c>
      <c r="D556" s="5">
        <v>3</v>
      </c>
      <c r="E556" s="5">
        <v>2010</v>
      </c>
      <c r="F556" s="5" t="s">
        <v>23</v>
      </c>
      <c r="G556" s="5" t="s">
        <v>8</v>
      </c>
      <c r="H556" s="7">
        <v>140041</v>
      </c>
      <c r="I556" s="7">
        <v>149854</v>
      </c>
      <c r="J556" s="7">
        <v>9813</v>
      </c>
      <c r="K556" s="8">
        <v>7.0072335958754936E-2</v>
      </c>
    </row>
    <row r="557" spans="1:11" x14ac:dyDescent="0.3">
      <c r="A557" s="5" t="s">
        <v>46</v>
      </c>
      <c r="B557" s="6">
        <v>40245</v>
      </c>
      <c r="C557" s="5">
        <v>11</v>
      </c>
      <c r="D557" s="5">
        <v>3</v>
      </c>
      <c r="E557" s="5">
        <v>2010</v>
      </c>
      <c r="F557" s="5" t="s">
        <v>24</v>
      </c>
      <c r="G557" s="5" t="s">
        <v>8</v>
      </c>
      <c r="H557" s="7">
        <v>185083</v>
      </c>
      <c r="I557" s="7">
        <v>199941</v>
      </c>
      <c r="J557" s="7">
        <v>14858</v>
      </c>
      <c r="K557" s="8">
        <v>8.027749712291242E-2</v>
      </c>
    </row>
    <row r="558" spans="1:11" x14ac:dyDescent="0.3">
      <c r="A558" s="5" t="s">
        <v>46</v>
      </c>
      <c r="B558" s="6">
        <v>40245</v>
      </c>
      <c r="C558" s="5">
        <v>11</v>
      </c>
      <c r="D558" s="5">
        <v>3</v>
      </c>
      <c r="E558" s="5">
        <v>2010</v>
      </c>
      <c r="F558" s="5" t="s">
        <v>25</v>
      </c>
      <c r="G558" s="5" t="s">
        <v>8</v>
      </c>
      <c r="H558" s="7">
        <v>7230</v>
      </c>
      <c r="I558" s="7">
        <v>7815</v>
      </c>
      <c r="J558" s="7">
        <v>585</v>
      </c>
      <c r="K558" s="8">
        <v>8.0912863070539423E-2</v>
      </c>
    </row>
    <row r="559" spans="1:11" x14ac:dyDescent="0.3">
      <c r="A559" s="5" t="s">
        <v>46</v>
      </c>
      <c r="B559" s="6">
        <v>40245</v>
      </c>
      <c r="C559" s="5">
        <v>11</v>
      </c>
      <c r="D559" s="5">
        <v>3</v>
      </c>
      <c r="E559" s="5">
        <v>2010</v>
      </c>
      <c r="F559" s="5" t="s">
        <v>26</v>
      </c>
      <c r="G559" s="5" t="s">
        <v>10</v>
      </c>
      <c r="H559" s="7">
        <v>887</v>
      </c>
      <c r="I559" s="7">
        <v>1022</v>
      </c>
      <c r="J559" s="7">
        <v>135</v>
      </c>
      <c r="K559" s="8">
        <v>0.15219842164599776</v>
      </c>
    </row>
    <row r="560" spans="1:11" x14ac:dyDescent="0.3">
      <c r="A560" s="5" t="s">
        <v>46</v>
      </c>
      <c r="B560" s="6">
        <v>40245</v>
      </c>
      <c r="C560" s="5">
        <v>11</v>
      </c>
      <c r="D560" s="5">
        <v>3</v>
      </c>
      <c r="E560" s="5">
        <v>2010</v>
      </c>
      <c r="F560" s="5" t="s">
        <v>27</v>
      </c>
      <c r="G560" s="5" t="s">
        <v>10</v>
      </c>
      <c r="H560" s="7">
        <v>58074</v>
      </c>
      <c r="I560" s="7">
        <v>66490</v>
      </c>
      <c r="J560" s="7">
        <v>8416</v>
      </c>
      <c r="K560" s="8">
        <v>0.14491855219203087</v>
      </c>
    </row>
    <row r="561" spans="1:11" x14ac:dyDescent="0.3">
      <c r="A561" s="5" t="s">
        <v>46</v>
      </c>
      <c r="B561" s="6">
        <v>40245</v>
      </c>
      <c r="C561" s="5">
        <v>11</v>
      </c>
      <c r="D561" s="5">
        <v>3</v>
      </c>
      <c r="E561" s="5">
        <v>2010</v>
      </c>
      <c r="F561" s="5" t="s">
        <v>28</v>
      </c>
      <c r="G561" s="5" t="s">
        <v>10</v>
      </c>
      <c r="H561" s="7">
        <v>40472</v>
      </c>
      <c r="I561" s="7">
        <v>46104</v>
      </c>
      <c r="J561" s="7">
        <v>5632</v>
      </c>
      <c r="K561" s="8">
        <v>0.13915793635105753</v>
      </c>
    </row>
    <row r="562" spans="1:11" x14ac:dyDescent="0.3">
      <c r="A562" s="5" t="s">
        <v>46</v>
      </c>
      <c r="B562" s="6">
        <v>40245</v>
      </c>
      <c r="C562" s="5">
        <v>11</v>
      </c>
      <c r="D562" s="5">
        <v>3</v>
      </c>
      <c r="E562" s="5">
        <v>2010</v>
      </c>
      <c r="F562" s="5" t="s">
        <v>29</v>
      </c>
      <c r="G562" s="5" t="s">
        <v>10</v>
      </c>
      <c r="H562" s="7">
        <v>354666</v>
      </c>
      <c r="I562" s="7">
        <v>380950</v>
      </c>
      <c r="J562" s="7">
        <v>26284</v>
      </c>
      <c r="K562" s="8">
        <v>7.4109161859326797E-2</v>
      </c>
    </row>
    <row r="563" spans="1:11" x14ac:dyDescent="0.3">
      <c r="A563" s="5" t="s">
        <v>46</v>
      </c>
      <c r="B563" s="6">
        <v>40245</v>
      </c>
      <c r="C563" s="5">
        <v>11</v>
      </c>
      <c r="D563" s="5">
        <v>3</v>
      </c>
      <c r="E563" s="5">
        <v>2010</v>
      </c>
      <c r="F563" s="5" t="s">
        <v>30</v>
      </c>
      <c r="G563" s="5" t="s">
        <v>10</v>
      </c>
      <c r="H563" s="7">
        <v>75832</v>
      </c>
      <c r="I563" s="7">
        <v>85592</v>
      </c>
      <c r="J563" s="7">
        <v>9760</v>
      </c>
      <c r="K563" s="8">
        <v>0.1287055596581918</v>
      </c>
    </row>
    <row r="564" spans="1:11" x14ac:dyDescent="0.3">
      <c r="A564" s="5" t="s">
        <v>46</v>
      </c>
      <c r="B564" s="6">
        <v>40245</v>
      </c>
      <c r="C564" s="5">
        <v>11</v>
      </c>
      <c r="D564" s="5">
        <v>3</v>
      </c>
      <c r="E564" s="5">
        <v>2010</v>
      </c>
      <c r="F564" s="5" t="s">
        <v>9</v>
      </c>
      <c r="G564" s="5" t="s">
        <v>9</v>
      </c>
      <c r="H564" s="7">
        <v>481273</v>
      </c>
      <c r="I564" s="7">
        <v>581224</v>
      </c>
      <c r="J564" s="7">
        <v>99951</v>
      </c>
      <c r="K564" s="8">
        <v>0.20768046410249486</v>
      </c>
    </row>
    <row r="565" spans="1:11" x14ac:dyDescent="0.3">
      <c r="A565" s="5" t="s">
        <v>46</v>
      </c>
      <c r="B565" s="6">
        <v>40245</v>
      </c>
      <c r="C565" s="5">
        <v>11</v>
      </c>
      <c r="D565" s="5">
        <v>3</v>
      </c>
      <c r="E565" s="5">
        <v>2010</v>
      </c>
      <c r="F565" s="5" t="s">
        <v>31</v>
      </c>
      <c r="G565" s="5" t="s">
        <v>7</v>
      </c>
      <c r="H565" s="7">
        <v>78559</v>
      </c>
      <c r="I565" s="7">
        <v>100701</v>
      </c>
      <c r="J565" s="7">
        <v>22142</v>
      </c>
      <c r="K565" s="8">
        <v>0.28185185656640233</v>
      </c>
    </row>
    <row r="566" spans="1:11" x14ac:dyDescent="0.3">
      <c r="A566" s="5" t="s">
        <v>46</v>
      </c>
      <c r="B566" s="6">
        <v>40245</v>
      </c>
      <c r="C566" s="5">
        <v>11</v>
      </c>
      <c r="D566" s="5">
        <v>3</v>
      </c>
      <c r="E566" s="5">
        <v>2010</v>
      </c>
      <c r="F566" s="5" t="s">
        <v>33</v>
      </c>
      <c r="G566" s="5" t="s">
        <v>7</v>
      </c>
      <c r="H566" s="7">
        <v>49883</v>
      </c>
      <c r="I566" s="7">
        <v>103800</v>
      </c>
      <c r="J566" s="7">
        <v>53917</v>
      </c>
      <c r="K566" s="8">
        <v>1.0808692340075778</v>
      </c>
    </row>
    <row r="567" spans="1:11" x14ac:dyDescent="0.3">
      <c r="A567" s="5" t="s">
        <v>46</v>
      </c>
      <c r="B567" s="6">
        <v>40245</v>
      </c>
      <c r="C567" s="5">
        <v>11</v>
      </c>
      <c r="D567" s="5">
        <v>3</v>
      </c>
      <c r="E567" s="5">
        <v>2010</v>
      </c>
      <c r="F567" s="5" t="s">
        <v>34</v>
      </c>
      <c r="G567" s="5" t="s">
        <v>7</v>
      </c>
      <c r="H567" s="7">
        <v>3820</v>
      </c>
      <c r="I567" s="7">
        <v>4278</v>
      </c>
      <c r="J567" s="7">
        <v>458</v>
      </c>
      <c r="K567" s="8">
        <v>0.11989528795811519</v>
      </c>
    </row>
    <row r="568" spans="1:11" x14ac:dyDescent="0.3">
      <c r="A568" s="5" t="s">
        <v>46</v>
      </c>
      <c r="B568" s="6">
        <v>40245</v>
      </c>
      <c r="C568" s="5">
        <v>11</v>
      </c>
      <c r="D568" s="5">
        <v>3</v>
      </c>
      <c r="E568" s="5">
        <v>2010</v>
      </c>
      <c r="F568" s="5" t="s">
        <v>35</v>
      </c>
      <c r="G568" s="5" t="s">
        <v>11</v>
      </c>
      <c r="H568" s="7">
        <v>3165</v>
      </c>
      <c r="I568" s="7">
        <v>3943</v>
      </c>
      <c r="J568" s="7">
        <v>778</v>
      </c>
      <c r="K568" s="8">
        <v>0.24581358609794629</v>
      </c>
    </row>
    <row r="569" spans="1:11" x14ac:dyDescent="0.3">
      <c r="A569" s="5" t="s">
        <v>46</v>
      </c>
      <c r="B569" s="6">
        <v>40245</v>
      </c>
      <c r="C569" s="5">
        <v>11</v>
      </c>
      <c r="D569" s="5">
        <v>3</v>
      </c>
      <c r="E569" s="5">
        <v>2010</v>
      </c>
      <c r="F569" s="5" t="s">
        <v>36</v>
      </c>
      <c r="G569" s="5" t="s">
        <v>11</v>
      </c>
      <c r="H569" s="7">
        <v>233999</v>
      </c>
      <c r="I569" s="7">
        <v>260006</v>
      </c>
      <c r="J569" s="7">
        <v>26007</v>
      </c>
      <c r="K569" s="8">
        <v>0.11114150060470344</v>
      </c>
    </row>
    <row r="570" spans="1:11" x14ac:dyDescent="0.3">
      <c r="A570" s="5" t="s">
        <v>46</v>
      </c>
      <c r="B570" s="6">
        <v>40245</v>
      </c>
      <c r="C570" s="5">
        <v>11</v>
      </c>
      <c r="D570" s="5">
        <v>3</v>
      </c>
      <c r="E570" s="5">
        <v>2010</v>
      </c>
      <c r="F570" s="5" t="s">
        <v>37</v>
      </c>
      <c r="G570" s="5" t="s">
        <v>11</v>
      </c>
      <c r="H570" s="7">
        <v>200872</v>
      </c>
      <c r="I570" s="7">
        <v>217988</v>
      </c>
      <c r="J570" s="7">
        <v>17116</v>
      </c>
      <c r="K570" s="8">
        <v>8.5208490979330115E-2</v>
      </c>
    </row>
    <row r="571" spans="1:11" x14ac:dyDescent="0.3">
      <c r="A571" s="5" t="s">
        <v>46</v>
      </c>
      <c r="B571" s="6">
        <v>40245</v>
      </c>
      <c r="C571" s="5">
        <v>11</v>
      </c>
      <c r="D571" s="5">
        <v>3</v>
      </c>
      <c r="E571" s="5">
        <v>2010</v>
      </c>
      <c r="F571" s="5" t="s">
        <v>38</v>
      </c>
      <c r="G571" s="5" t="s">
        <v>11</v>
      </c>
      <c r="H571" s="7">
        <v>225934</v>
      </c>
      <c r="I571" s="7">
        <v>240666</v>
      </c>
      <c r="J571" s="7">
        <v>14732</v>
      </c>
      <c r="K571" s="8">
        <v>6.5204882841891881E-2</v>
      </c>
    </row>
    <row r="572" spans="1:11" x14ac:dyDescent="0.3">
      <c r="A572" s="5" t="s">
        <v>46</v>
      </c>
      <c r="B572" s="6">
        <v>40246</v>
      </c>
      <c r="C572" s="5">
        <v>11</v>
      </c>
      <c r="D572" s="5">
        <v>3</v>
      </c>
      <c r="E572" s="5">
        <v>2010</v>
      </c>
      <c r="F572" s="5" t="s">
        <v>14</v>
      </c>
      <c r="G572" s="5" t="s">
        <v>6</v>
      </c>
      <c r="H572" s="7">
        <v>1968</v>
      </c>
      <c r="I572" s="7">
        <v>2406</v>
      </c>
      <c r="J572" s="7">
        <v>438</v>
      </c>
      <c r="K572" s="8">
        <v>0.2225609756097561</v>
      </c>
    </row>
    <row r="573" spans="1:11" x14ac:dyDescent="0.3">
      <c r="A573" s="5" t="s">
        <v>46</v>
      </c>
      <c r="B573" s="6">
        <v>40246</v>
      </c>
      <c r="C573" s="5">
        <v>11</v>
      </c>
      <c r="D573" s="5">
        <v>3</v>
      </c>
      <c r="E573" s="5">
        <v>2010</v>
      </c>
      <c r="F573" s="5" t="s">
        <v>15</v>
      </c>
      <c r="G573" s="5" t="s">
        <v>6</v>
      </c>
      <c r="H573" s="7">
        <v>88531</v>
      </c>
      <c r="I573" s="7">
        <v>92190</v>
      </c>
      <c r="J573" s="7">
        <v>3659</v>
      </c>
      <c r="K573" s="8">
        <v>4.1330155538737846E-2</v>
      </c>
    </row>
    <row r="574" spans="1:11" x14ac:dyDescent="0.3">
      <c r="A574" s="5" t="s">
        <v>46</v>
      </c>
      <c r="B574" s="6">
        <v>40246</v>
      </c>
      <c r="C574" s="5">
        <v>11</v>
      </c>
      <c r="D574" s="5">
        <v>3</v>
      </c>
      <c r="E574" s="5">
        <v>2010</v>
      </c>
      <c r="F574" s="5" t="s">
        <v>16</v>
      </c>
      <c r="G574" s="5" t="s">
        <v>6</v>
      </c>
      <c r="H574" s="7">
        <v>61254</v>
      </c>
      <c r="I574" s="7">
        <v>68182</v>
      </c>
      <c r="J574" s="7">
        <v>6928</v>
      </c>
      <c r="K574" s="8">
        <v>0.1131028177751657</v>
      </c>
    </row>
    <row r="575" spans="1:11" x14ac:dyDescent="0.3">
      <c r="A575" s="5" t="s">
        <v>46</v>
      </c>
      <c r="B575" s="6">
        <v>40246</v>
      </c>
      <c r="C575" s="5">
        <v>11</v>
      </c>
      <c r="D575" s="5">
        <v>3</v>
      </c>
      <c r="E575" s="5">
        <v>2010</v>
      </c>
      <c r="F575" s="5" t="s">
        <v>17</v>
      </c>
      <c r="G575" s="5" t="s">
        <v>6</v>
      </c>
      <c r="H575" s="7">
        <v>479</v>
      </c>
      <c r="I575" s="7">
        <v>585</v>
      </c>
      <c r="J575" s="7">
        <v>106</v>
      </c>
      <c r="K575" s="8">
        <v>0.22129436325678498</v>
      </c>
    </row>
    <row r="576" spans="1:11" x14ac:dyDescent="0.3">
      <c r="A576" s="5" t="s">
        <v>46</v>
      </c>
      <c r="B576" s="6">
        <v>40246</v>
      </c>
      <c r="C576" s="5">
        <v>11</v>
      </c>
      <c r="D576" s="5">
        <v>3</v>
      </c>
      <c r="E576" s="5">
        <v>2010</v>
      </c>
      <c r="F576" s="5" t="s">
        <v>18</v>
      </c>
      <c r="G576" s="5" t="s">
        <v>6</v>
      </c>
      <c r="H576" s="7">
        <v>12360</v>
      </c>
      <c r="I576" s="7">
        <v>14349</v>
      </c>
      <c r="J576" s="7">
        <v>1989</v>
      </c>
      <c r="K576" s="8">
        <v>0.16092233009708737</v>
      </c>
    </row>
    <row r="577" spans="1:11" x14ac:dyDescent="0.3">
      <c r="A577" s="5" t="s">
        <v>46</v>
      </c>
      <c r="B577" s="6">
        <v>40246</v>
      </c>
      <c r="C577" s="5">
        <v>11</v>
      </c>
      <c r="D577" s="5">
        <v>3</v>
      </c>
      <c r="E577" s="5">
        <v>2010</v>
      </c>
      <c r="F577" s="5" t="s">
        <v>19</v>
      </c>
      <c r="G577" s="5" t="s">
        <v>5</v>
      </c>
      <c r="H577" s="7">
        <v>74640</v>
      </c>
      <c r="I577" s="7">
        <v>84048</v>
      </c>
      <c r="J577" s="7">
        <v>9408</v>
      </c>
      <c r="K577" s="8">
        <v>0.12604501607717042</v>
      </c>
    </row>
    <row r="578" spans="1:11" x14ac:dyDescent="0.3">
      <c r="A578" s="5" t="s">
        <v>46</v>
      </c>
      <c r="B578" s="6">
        <v>40246</v>
      </c>
      <c r="C578" s="5">
        <v>11</v>
      </c>
      <c r="D578" s="5">
        <v>3</v>
      </c>
      <c r="E578" s="5">
        <v>2010</v>
      </c>
      <c r="F578" s="5" t="s">
        <v>5</v>
      </c>
      <c r="G578" s="5" t="s">
        <v>5</v>
      </c>
      <c r="H578" s="7">
        <v>266913</v>
      </c>
      <c r="I578" s="7">
        <v>280205</v>
      </c>
      <c r="J578" s="7">
        <v>13292</v>
      </c>
      <c r="K578" s="8">
        <v>4.9798998175435441E-2</v>
      </c>
    </row>
    <row r="579" spans="1:11" x14ac:dyDescent="0.3">
      <c r="A579" s="5" t="s">
        <v>46</v>
      </c>
      <c r="B579" s="6">
        <v>40246</v>
      </c>
      <c r="C579" s="5">
        <v>11</v>
      </c>
      <c r="D579" s="5">
        <v>3</v>
      </c>
      <c r="E579" s="5">
        <v>2010</v>
      </c>
      <c r="F579" s="5" t="s">
        <v>20</v>
      </c>
      <c r="G579" s="5" t="s">
        <v>5</v>
      </c>
      <c r="H579" s="7">
        <v>47859</v>
      </c>
      <c r="I579" s="7">
        <v>52870</v>
      </c>
      <c r="J579" s="7">
        <v>5011</v>
      </c>
      <c r="K579" s="8">
        <v>0.10470339956956894</v>
      </c>
    </row>
    <row r="580" spans="1:11" x14ac:dyDescent="0.3">
      <c r="A580" s="5" t="s">
        <v>46</v>
      </c>
      <c r="B580" s="6">
        <v>40246</v>
      </c>
      <c r="C580" s="5">
        <v>11</v>
      </c>
      <c r="D580" s="5">
        <v>3</v>
      </c>
      <c r="E580" s="5">
        <v>2010</v>
      </c>
      <c r="F580" s="5" t="s">
        <v>21</v>
      </c>
      <c r="G580" s="5" t="s">
        <v>5</v>
      </c>
      <c r="H580" s="7">
        <v>84878</v>
      </c>
      <c r="I580" s="7">
        <v>89902</v>
      </c>
      <c r="J580" s="7">
        <v>5024</v>
      </c>
      <c r="K580" s="8">
        <v>5.9190838615424492E-2</v>
      </c>
    </row>
    <row r="581" spans="1:11" x14ac:dyDescent="0.3">
      <c r="A581" s="5" t="s">
        <v>46</v>
      </c>
      <c r="B581" s="6">
        <v>40246</v>
      </c>
      <c r="C581" s="5">
        <v>11</v>
      </c>
      <c r="D581" s="5">
        <v>3</v>
      </c>
      <c r="E581" s="5">
        <v>2010</v>
      </c>
      <c r="F581" s="5" t="s">
        <v>22</v>
      </c>
      <c r="G581" s="5" t="s">
        <v>8</v>
      </c>
      <c r="H581" s="7">
        <v>146592</v>
      </c>
      <c r="I581" s="7">
        <v>156776</v>
      </c>
      <c r="J581" s="7">
        <v>10184</v>
      </c>
      <c r="K581" s="8">
        <v>6.9471731063086656E-2</v>
      </c>
    </row>
    <row r="582" spans="1:11" x14ac:dyDescent="0.3">
      <c r="A582" s="5" t="s">
        <v>46</v>
      </c>
      <c r="B582" s="6">
        <v>40246</v>
      </c>
      <c r="C582" s="5">
        <v>11</v>
      </c>
      <c r="D582" s="5">
        <v>3</v>
      </c>
      <c r="E582" s="5">
        <v>2010</v>
      </c>
      <c r="F582" s="5" t="s">
        <v>23</v>
      </c>
      <c r="G582" s="5" t="s">
        <v>8</v>
      </c>
      <c r="H582" s="7">
        <v>67069</v>
      </c>
      <c r="I582" s="7">
        <v>71409</v>
      </c>
      <c r="J582" s="7">
        <v>4340</v>
      </c>
      <c r="K582" s="8">
        <v>6.4709478298468737E-2</v>
      </c>
    </row>
    <row r="583" spans="1:11" x14ac:dyDescent="0.3">
      <c r="A583" s="5" t="s">
        <v>46</v>
      </c>
      <c r="B583" s="6">
        <v>40246</v>
      </c>
      <c r="C583" s="5">
        <v>11</v>
      </c>
      <c r="D583" s="5">
        <v>3</v>
      </c>
      <c r="E583" s="5">
        <v>2010</v>
      </c>
      <c r="F583" s="5" t="s">
        <v>24</v>
      </c>
      <c r="G583" s="5" t="s">
        <v>8</v>
      </c>
      <c r="H583" s="7">
        <v>85269</v>
      </c>
      <c r="I583" s="7">
        <v>92208</v>
      </c>
      <c r="J583" s="7">
        <v>6939</v>
      </c>
      <c r="K583" s="8">
        <v>8.1377757449952501E-2</v>
      </c>
    </row>
    <row r="584" spans="1:11" x14ac:dyDescent="0.3">
      <c r="A584" s="5" t="s">
        <v>46</v>
      </c>
      <c r="B584" s="6">
        <v>40246</v>
      </c>
      <c r="C584" s="5">
        <v>11</v>
      </c>
      <c r="D584" s="5">
        <v>3</v>
      </c>
      <c r="E584" s="5">
        <v>2010</v>
      </c>
      <c r="F584" s="5" t="s">
        <v>25</v>
      </c>
      <c r="G584" s="5" t="s">
        <v>8</v>
      </c>
      <c r="H584" s="7">
        <v>4056</v>
      </c>
      <c r="I584" s="7">
        <v>4470</v>
      </c>
      <c r="J584" s="7">
        <v>414</v>
      </c>
      <c r="K584" s="8">
        <v>0.10207100591715976</v>
      </c>
    </row>
    <row r="585" spans="1:11" x14ac:dyDescent="0.3">
      <c r="A585" s="5" t="s">
        <v>46</v>
      </c>
      <c r="B585" s="6">
        <v>40246</v>
      </c>
      <c r="C585" s="5">
        <v>11</v>
      </c>
      <c r="D585" s="5">
        <v>3</v>
      </c>
      <c r="E585" s="5">
        <v>2010</v>
      </c>
      <c r="F585" s="5" t="s">
        <v>26</v>
      </c>
      <c r="G585" s="5" t="s">
        <v>10</v>
      </c>
      <c r="H585" s="7">
        <v>299</v>
      </c>
      <c r="I585" s="7">
        <v>335</v>
      </c>
      <c r="J585" s="7">
        <v>36</v>
      </c>
      <c r="K585" s="8">
        <v>0.12040133779264214</v>
      </c>
    </row>
    <row r="586" spans="1:11" x14ac:dyDescent="0.3">
      <c r="A586" s="5" t="s">
        <v>46</v>
      </c>
      <c r="B586" s="6">
        <v>40246</v>
      </c>
      <c r="C586" s="5">
        <v>11</v>
      </c>
      <c r="D586" s="5">
        <v>3</v>
      </c>
      <c r="E586" s="5">
        <v>2010</v>
      </c>
      <c r="F586" s="5" t="s">
        <v>27</v>
      </c>
      <c r="G586" s="5" t="s">
        <v>10</v>
      </c>
      <c r="H586" s="7">
        <v>47219</v>
      </c>
      <c r="I586" s="7">
        <v>53584</v>
      </c>
      <c r="J586" s="7">
        <v>6365</v>
      </c>
      <c r="K586" s="8">
        <v>0.13479743323662086</v>
      </c>
    </row>
    <row r="587" spans="1:11" x14ac:dyDescent="0.3">
      <c r="A587" s="5" t="s">
        <v>46</v>
      </c>
      <c r="B587" s="6">
        <v>40246</v>
      </c>
      <c r="C587" s="5">
        <v>11</v>
      </c>
      <c r="D587" s="5">
        <v>3</v>
      </c>
      <c r="E587" s="5">
        <v>2010</v>
      </c>
      <c r="F587" s="5" t="s">
        <v>28</v>
      </c>
      <c r="G587" s="5" t="s">
        <v>10</v>
      </c>
      <c r="H587" s="7">
        <v>26628</v>
      </c>
      <c r="I587" s="7">
        <v>30627</v>
      </c>
      <c r="J587" s="7">
        <v>3999</v>
      </c>
      <c r="K587" s="8">
        <v>0.15018026137899954</v>
      </c>
    </row>
    <row r="588" spans="1:11" x14ac:dyDescent="0.3">
      <c r="A588" s="5" t="s">
        <v>46</v>
      </c>
      <c r="B588" s="6">
        <v>40246</v>
      </c>
      <c r="C588" s="5">
        <v>11</v>
      </c>
      <c r="D588" s="5">
        <v>3</v>
      </c>
      <c r="E588" s="5">
        <v>2010</v>
      </c>
      <c r="F588" s="5" t="s">
        <v>29</v>
      </c>
      <c r="G588" s="5" t="s">
        <v>10</v>
      </c>
      <c r="H588" s="7">
        <v>254238</v>
      </c>
      <c r="I588" s="7">
        <v>276210</v>
      </c>
      <c r="J588" s="7">
        <v>21972</v>
      </c>
      <c r="K588" s="8">
        <v>8.642295801571756E-2</v>
      </c>
    </row>
    <row r="589" spans="1:11" x14ac:dyDescent="0.3">
      <c r="A589" s="5" t="s">
        <v>46</v>
      </c>
      <c r="B589" s="6">
        <v>40246</v>
      </c>
      <c r="C589" s="5">
        <v>11</v>
      </c>
      <c r="D589" s="5">
        <v>3</v>
      </c>
      <c r="E589" s="5">
        <v>2010</v>
      </c>
      <c r="F589" s="5" t="s">
        <v>30</v>
      </c>
      <c r="G589" s="5" t="s">
        <v>10</v>
      </c>
      <c r="H589" s="7">
        <v>37075</v>
      </c>
      <c r="I589" s="7">
        <v>41737</v>
      </c>
      <c r="J589" s="7">
        <v>4662</v>
      </c>
      <c r="K589" s="8">
        <v>0.12574511126095753</v>
      </c>
    </row>
    <row r="590" spans="1:11" x14ac:dyDescent="0.3">
      <c r="A590" s="5" t="s">
        <v>46</v>
      </c>
      <c r="B590" s="6">
        <v>40246</v>
      </c>
      <c r="C590" s="5">
        <v>11</v>
      </c>
      <c r="D590" s="5">
        <v>3</v>
      </c>
      <c r="E590" s="5">
        <v>2010</v>
      </c>
      <c r="F590" s="5" t="s">
        <v>9</v>
      </c>
      <c r="G590" s="5" t="s">
        <v>9</v>
      </c>
      <c r="H590" s="7">
        <v>262467</v>
      </c>
      <c r="I590" s="7">
        <v>313642</v>
      </c>
      <c r="J590" s="7">
        <v>51175</v>
      </c>
      <c r="K590" s="8">
        <v>0.1949768923331314</v>
      </c>
    </row>
    <row r="591" spans="1:11" x14ac:dyDescent="0.3">
      <c r="A591" s="5" t="s">
        <v>46</v>
      </c>
      <c r="B591" s="6">
        <v>40246</v>
      </c>
      <c r="C591" s="5">
        <v>11</v>
      </c>
      <c r="D591" s="5">
        <v>3</v>
      </c>
      <c r="E591" s="5">
        <v>2010</v>
      </c>
      <c r="F591" s="5" t="s">
        <v>31</v>
      </c>
      <c r="G591" s="5" t="s">
        <v>7</v>
      </c>
      <c r="H591" s="7">
        <v>38318</v>
      </c>
      <c r="I591" s="7">
        <v>48954</v>
      </c>
      <c r="J591" s="7">
        <v>10636</v>
      </c>
      <c r="K591" s="8">
        <v>0.27757189832454721</v>
      </c>
    </row>
    <row r="592" spans="1:11" x14ac:dyDescent="0.3">
      <c r="A592" s="5" t="s">
        <v>46</v>
      </c>
      <c r="B592" s="6">
        <v>40246</v>
      </c>
      <c r="C592" s="5">
        <v>11</v>
      </c>
      <c r="D592" s="5">
        <v>3</v>
      </c>
      <c r="E592" s="5">
        <v>2010</v>
      </c>
      <c r="F592" s="5" t="s">
        <v>33</v>
      </c>
      <c r="G592" s="5" t="s">
        <v>7</v>
      </c>
      <c r="H592" s="7">
        <v>36868</v>
      </c>
      <c r="I592" s="7">
        <v>72937</v>
      </c>
      <c r="J592" s="7">
        <v>36069</v>
      </c>
      <c r="K592" s="8">
        <v>0.97832808940002169</v>
      </c>
    </row>
    <row r="593" spans="1:11" x14ac:dyDescent="0.3">
      <c r="A593" s="5" t="s">
        <v>46</v>
      </c>
      <c r="B593" s="6">
        <v>40246</v>
      </c>
      <c r="C593" s="5">
        <v>11</v>
      </c>
      <c r="D593" s="5">
        <v>3</v>
      </c>
      <c r="E593" s="5">
        <v>2010</v>
      </c>
      <c r="F593" s="5" t="s">
        <v>34</v>
      </c>
      <c r="G593" s="5" t="s">
        <v>7</v>
      </c>
      <c r="H593" s="7">
        <v>2111</v>
      </c>
      <c r="I593" s="7">
        <v>2345</v>
      </c>
      <c r="J593" s="7">
        <v>234</v>
      </c>
      <c r="K593" s="8">
        <v>0.11084793936522976</v>
      </c>
    </row>
    <row r="594" spans="1:11" x14ac:dyDescent="0.3">
      <c r="A594" s="5" t="s">
        <v>46</v>
      </c>
      <c r="B594" s="6">
        <v>40246</v>
      </c>
      <c r="C594" s="5">
        <v>11</v>
      </c>
      <c r="D594" s="5">
        <v>3</v>
      </c>
      <c r="E594" s="5">
        <v>2010</v>
      </c>
      <c r="F594" s="5" t="s">
        <v>35</v>
      </c>
      <c r="G594" s="5" t="s">
        <v>11</v>
      </c>
      <c r="H594" s="7">
        <v>1274</v>
      </c>
      <c r="I594" s="7">
        <v>1574</v>
      </c>
      <c r="J594" s="7">
        <v>300</v>
      </c>
      <c r="K594" s="8">
        <v>0.23547880690737832</v>
      </c>
    </row>
    <row r="595" spans="1:11" x14ac:dyDescent="0.3">
      <c r="A595" s="5" t="s">
        <v>46</v>
      </c>
      <c r="B595" s="6">
        <v>40246</v>
      </c>
      <c r="C595" s="5">
        <v>11</v>
      </c>
      <c r="D595" s="5">
        <v>3</v>
      </c>
      <c r="E595" s="5">
        <v>2010</v>
      </c>
      <c r="F595" s="5" t="s">
        <v>36</v>
      </c>
      <c r="G595" s="5" t="s">
        <v>11</v>
      </c>
      <c r="H595" s="7">
        <v>70160</v>
      </c>
      <c r="I595" s="7">
        <v>76296</v>
      </c>
      <c r="J595" s="7">
        <v>6136</v>
      </c>
      <c r="K595" s="8">
        <v>8.7457240592930446E-2</v>
      </c>
    </row>
    <row r="596" spans="1:11" x14ac:dyDescent="0.3">
      <c r="A596" s="5" t="s">
        <v>46</v>
      </c>
      <c r="B596" s="6">
        <v>40246</v>
      </c>
      <c r="C596" s="5">
        <v>11</v>
      </c>
      <c r="D596" s="5">
        <v>3</v>
      </c>
      <c r="E596" s="5">
        <v>2010</v>
      </c>
      <c r="F596" s="5" t="s">
        <v>37</v>
      </c>
      <c r="G596" s="5" t="s">
        <v>11</v>
      </c>
      <c r="H596" s="7">
        <v>158232</v>
      </c>
      <c r="I596" s="7">
        <v>171135</v>
      </c>
      <c r="J596" s="7">
        <v>12903</v>
      </c>
      <c r="K596" s="8">
        <v>8.1544820263916282E-2</v>
      </c>
    </row>
    <row r="597" spans="1:11" x14ac:dyDescent="0.3">
      <c r="A597" s="5" t="s">
        <v>46</v>
      </c>
      <c r="B597" s="6">
        <v>40246</v>
      </c>
      <c r="C597" s="5">
        <v>11</v>
      </c>
      <c r="D597" s="5">
        <v>3</v>
      </c>
      <c r="E597" s="5">
        <v>2010</v>
      </c>
      <c r="F597" s="5" t="s">
        <v>38</v>
      </c>
      <c r="G597" s="5" t="s">
        <v>11</v>
      </c>
      <c r="H597" s="7">
        <v>211698</v>
      </c>
      <c r="I597" s="7">
        <v>224401</v>
      </c>
      <c r="J597" s="7">
        <v>12703</v>
      </c>
      <c r="K597" s="8">
        <v>6.0005290555413843E-2</v>
      </c>
    </row>
    <row r="598" spans="1:11" x14ac:dyDescent="0.3">
      <c r="A598" s="5" t="s">
        <v>46</v>
      </c>
      <c r="B598" s="6">
        <v>40247</v>
      </c>
      <c r="C598" s="5">
        <v>11</v>
      </c>
      <c r="D598" s="5">
        <v>3</v>
      </c>
      <c r="E598" s="5">
        <v>2010</v>
      </c>
      <c r="F598" s="5" t="s">
        <v>14</v>
      </c>
      <c r="G598" s="5" t="s">
        <v>6</v>
      </c>
      <c r="H598" s="7">
        <v>12653</v>
      </c>
      <c r="I598" s="7">
        <v>14530</v>
      </c>
      <c r="J598" s="7">
        <v>1877</v>
      </c>
      <c r="K598" s="8">
        <v>0.14834426618193314</v>
      </c>
    </row>
    <row r="599" spans="1:11" x14ac:dyDescent="0.3">
      <c r="A599" s="5" t="s">
        <v>46</v>
      </c>
      <c r="B599" s="6">
        <v>40247</v>
      </c>
      <c r="C599" s="5">
        <v>11</v>
      </c>
      <c r="D599" s="5">
        <v>3</v>
      </c>
      <c r="E599" s="5">
        <v>2010</v>
      </c>
      <c r="F599" s="5" t="s">
        <v>15</v>
      </c>
      <c r="G599" s="5" t="s">
        <v>6</v>
      </c>
      <c r="H599" s="7">
        <v>106189</v>
      </c>
      <c r="I599" s="7">
        <v>127407</v>
      </c>
      <c r="J599" s="7">
        <v>21218</v>
      </c>
      <c r="K599" s="8">
        <v>0.19981354000885215</v>
      </c>
    </row>
    <row r="600" spans="1:11" x14ac:dyDescent="0.3">
      <c r="A600" s="5" t="s">
        <v>46</v>
      </c>
      <c r="B600" s="6">
        <v>40247</v>
      </c>
      <c r="C600" s="5">
        <v>11</v>
      </c>
      <c r="D600" s="5">
        <v>3</v>
      </c>
      <c r="E600" s="5">
        <v>2010</v>
      </c>
      <c r="F600" s="5" t="s">
        <v>16</v>
      </c>
      <c r="G600" s="5" t="s">
        <v>6</v>
      </c>
      <c r="H600" s="7">
        <v>69075</v>
      </c>
      <c r="I600" s="7">
        <v>76472</v>
      </c>
      <c r="J600" s="7">
        <v>7397</v>
      </c>
      <c r="K600" s="8">
        <v>0.10708650018096272</v>
      </c>
    </row>
    <row r="601" spans="1:11" x14ac:dyDescent="0.3">
      <c r="A601" s="5" t="s">
        <v>46</v>
      </c>
      <c r="B601" s="6">
        <v>40247</v>
      </c>
      <c r="C601" s="5">
        <v>11</v>
      </c>
      <c r="D601" s="5">
        <v>3</v>
      </c>
      <c r="E601" s="5">
        <v>2010</v>
      </c>
      <c r="F601" s="5" t="s">
        <v>17</v>
      </c>
      <c r="G601" s="5" t="s">
        <v>6</v>
      </c>
      <c r="H601" s="7">
        <v>1362</v>
      </c>
      <c r="I601" s="7">
        <v>1549</v>
      </c>
      <c r="J601" s="7">
        <v>187</v>
      </c>
      <c r="K601" s="8">
        <v>0.13729809104258445</v>
      </c>
    </row>
    <row r="602" spans="1:11" x14ac:dyDescent="0.3">
      <c r="A602" s="5" t="s">
        <v>46</v>
      </c>
      <c r="B602" s="6">
        <v>40247</v>
      </c>
      <c r="C602" s="5">
        <v>11</v>
      </c>
      <c r="D602" s="5">
        <v>3</v>
      </c>
      <c r="E602" s="5">
        <v>2010</v>
      </c>
      <c r="F602" s="5" t="s">
        <v>18</v>
      </c>
      <c r="G602" s="5" t="s">
        <v>6</v>
      </c>
      <c r="H602" s="7">
        <v>12378</v>
      </c>
      <c r="I602" s="7">
        <v>14233</v>
      </c>
      <c r="J602" s="7">
        <v>1855</v>
      </c>
      <c r="K602" s="8">
        <v>0.14986265955727904</v>
      </c>
    </row>
    <row r="603" spans="1:11" x14ac:dyDescent="0.3">
      <c r="A603" s="5" t="s">
        <v>46</v>
      </c>
      <c r="B603" s="6">
        <v>40247</v>
      </c>
      <c r="C603" s="5">
        <v>11</v>
      </c>
      <c r="D603" s="5">
        <v>3</v>
      </c>
      <c r="E603" s="5">
        <v>2010</v>
      </c>
      <c r="F603" s="5" t="s">
        <v>19</v>
      </c>
      <c r="G603" s="5" t="s">
        <v>5</v>
      </c>
      <c r="H603" s="7">
        <v>106987</v>
      </c>
      <c r="I603" s="7">
        <v>119588</v>
      </c>
      <c r="J603" s="7">
        <v>12601</v>
      </c>
      <c r="K603" s="8">
        <v>0.11778066494060026</v>
      </c>
    </row>
    <row r="604" spans="1:11" x14ac:dyDescent="0.3">
      <c r="A604" s="5" t="s">
        <v>46</v>
      </c>
      <c r="B604" s="6">
        <v>40247</v>
      </c>
      <c r="C604" s="5">
        <v>11</v>
      </c>
      <c r="D604" s="5">
        <v>3</v>
      </c>
      <c r="E604" s="5">
        <v>2010</v>
      </c>
      <c r="F604" s="5" t="s">
        <v>5</v>
      </c>
      <c r="G604" s="5" t="s">
        <v>5</v>
      </c>
      <c r="H604" s="7">
        <v>407177</v>
      </c>
      <c r="I604" s="7">
        <v>430750</v>
      </c>
      <c r="J604" s="7">
        <v>23573</v>
      </c>
      <c r="K604" s="8">
        <v>5.7893741542375921E-2</v>
      </c>
    </row>
    <row r="605" spans="1:11" x14ac:dyDescent="0.3">
      <c r="A605" s="5" t="s">
        <v>46</v>
      </c>
      <c r="B605" s="6">
        <v>40247</v>
      </c>
      <c r="C605" s="5">
        <v>11</v>
      </c>
      <c r="D605" s="5">
        <v>3</v>
      </c>
      <c r="E605" s="5">
        <v>2010</v>
      </c>
      <c r="F605" s="5" t="s">
        <v>20</v>
      </c>
      <c r="G605" s="5" t="s">
        <v>5</v>
      </c>
      <c r="H605" s="7">
        <v>82697</v>
      </c>
      <c r="I605" s="7">
        <v>91303</v>
      </c>
      <c r="J605" s="7">
        <v>8606</v>
      </c>
      <c r="K605" s="8">
        <v>0.10406665296201797</v>
      </c>
    </row>
    <row r="606" spans="1:11" x14ac:dyDescent="0.3">
      <c r="A606" s="5" t="s">
        <v>46</v>
      </c>
      <c r="B606" s="6">
        <v>40247</v>
      </c>
      <c r="C606" s="5">
        <v>11</v>
      </c>
      <c r="D606" s="5">
        <v>3</v>
      </c>
      <c r="E606" s="5">
        <v>2010</v>
      </c>
      <c r="F606" s="5" t="s">
        <v>21</v>
      </c>
      <c r="G606" s="5" t="s">
        <v>5</v>
      </c>
      <c r="H606" s="7">
        <v>130882</v>
      </c>
      <c r="I606" s="7">
        <v>138620</v>
      </c>
      <c r="J606" s="7">
        <v>7738</v>
      </c>
      <c r="K606" s="8">
        <v>5.9121957182805884E-2</v>
      </c>
    </row>
    <row r="607" spans="1:11" x14ac:dyDescent="0.3">
      <c r="A607" s="5" t="s">
        <v>46</v>
      </c>
      <c r="B607" s="6">
        <v>40247</v>
      </c>
      <c r="C607" s="5">
        <v>11</v>
      </c>
      <c r="D607" s="5">
        <v>3</v>
      </c>
      <c r="E607" s="5">
        <v>2010</v>
      </c>
      <c r="F607" s="5" t="s">
        <v>22</v>
      </c>
      <c r="G607" s="5" t="s">
        <v>8</v>
      </c>
      <c r="H607" s="7">
        <v>275177</v>
      </c>
      <c r="I607" s="7">
        <v>293354</v>
      </c>
      <c r="J607" s="7">
        <v>18177</v>
      </c>
      <c r="K607" s="8">
        <v>6.6055665989526738E-2</v>
      </c>
    </row>
    <row r="608" spans="1:11" x14ac:dyDescent="0.3">
      <c r="A608" s="5" t="s">
        <v>46</v>
      </c>
      <c r="B608" s="6">
        <v>40247</v>
      </c>
      <c r="C608" s="5">
        <v>11</v>
      </c>
      <c r="D608" s="5">
        <v>3</v>
      </c>
      <c r="E608" s="5">
        <v>2010</v>
      </c>
      <c r="F608" s="5" t="s">
        <v>23</v>
      </c>
      <c r="G608" s="5" t="s">
        <v>8</v>
      </c>
      <c r="H608" s="7">
        <v>99349</v>
      </c>
      <c r="I608" s="7">
        <v>105031</v>
      </c>
      <c r="J608" s="7">
        <v>5682</v>
      </c>
      <c r="K608" s="8">
        <v>5.7192322016326284E-2</v>
      </c>
    </row>
    <row r="609" spans="1:11" x14ac:dyDescent="0.3">
      <c r="A609" s="5" t="s">
        <v>46</v>
      </c>
      <c r="B609" s="6">
        <v>40247</v>
      </c>
      <c r="C609" s="5">
        <v>11</v>
      </c>
      <c r="D609" s="5">
        <v>3</v>
      </c>
      <c r="E609" s="5">
        <v>2010</v>
      </c>
      <c r="F609" s="5" t="s">
        <v>24</v>
      </c>
      <c r="G609" s="5" t="s">
        <v>8</v>
      </c>
      <c r="H609" s="7">
        <v>87342</v>
      </c>
      <c r="I609" s="7">
        <v>95427</v>
      </c>
      <c r="J609" s="7">
        <v>8085</v>
      </c>
      <c r="K609" s="8">
        <v>9.2567149824826542E-2</v>
      </c>
    </row>
    <row r="610" spans="1:11" x14ac:dyDescent="0.3">
      <c r="A610" s="5" t="s">
        <v>46</v>
      </c>
      <c r="B610" s="6">
        <v>40247</v>
      </c>
      <c r="C610" s="5">
        <v>11</v>
      </c>
      <c r="D610" s="5">
        <v>3</v>
      </c>
      <c r="E610" s="5">
        <v>2010</v>
      </c>
      <c r="F610" s="5" t="s">
        <v>25</v>
      </c>
      <c r="G610" s="5" t="s">
        <v>8</v>
      </c>
      <c r="H610" s="7">
        <v>6408</v>
      </c>
      <c r="I610" s="7">
        <v>6937</v>
      </c>
      <c r="J610" s="7">
        <v>529</v>
      </c>
      <c r="K610" s="8">
        <v>8.2553058676654176E-2</v>
      </c>
    </row>
    <row r="611" spans="1:11" x14ac:dyDescent="0.3">
      <c r="A611" s="5" t="s">
        <v>46</v>
      </c>
      <c r="B611" s="6">
        <v>40247</v>
      </c>
      <c r="C611" s="5">
        <v>11</v>
      </c>
      <c r="D611" s="5">
        <v>3</v>
      </c>
      <c r="E611" s="5">
        <v>2010</v>
      </c>
      <c r="F611" s="5" t="s">
        <v>26</v>
      </c>
      <c r="G611" s="5" t="s">
        <v>10</v>
      </c>
      <c r="H611" s="7">
        <v>9139</v>
      </c>
      <c r="I611" s="7">
        <v>10262</v>
      </c>
      <c r="J611" s="7">
        <v>1123</v>
      </c>
      <c r="K611" s="8">
        <v>0.12287996498522814</v>
      </c>
    </row>
    <row r="612" spans="1:11" x14ac:dyDescent="0.3">
      <c r="A612" s="5" t="s">
        <v>46</v>
      </c>
      <c r="B612" s="6">
        <v>40247</v>
      </c>
      <c r="C612" s="5">
        <v>11</v>
      </c>
      <c r="D612" s="5">
        <v>3</v>
      </c>
      <c r="E612" s="5">
        <v>2010</v>
      </c>
      <c r="F612" s="5" t="s">
        <v>27</v>
      </c>
      <c r="G612" s="5" t="s">
        <v>10</v>
      </c>
      <c r="H612" s="7">
        <v>78296</v>
      </c>
      <c r="I612" s="7">
        <v>88041</v>
      </c>
      <c r="J612" s="7">
        <v>9745</v>
      </c>
      <c r="K612" s="8">
        <v>0.12446357412894656</v>
      </c>
    </row>
    <row r="613" spans="1:11" x14ac:dyDescent="0.3">
      <c r="A613" s="5" t="s">
        <v>46</v>
      </c>
      <c r="B613" s="6">
        <v>40247</v>
      </c>
      <c r="C613" s="5">
        <v>11</v>
      </c>
      <c r="D613" s="5">
        <v>3</v>
      </c>
      <c r="E613" s="5">
        <v>2010</v>
      </c>
      <c r="F613" s="5" t="s">
        <v>28</v>
      </c>
      <c r="G613" s="5" t="s">
        <v>10</v>
      </c>
      <c r="H613" s="7">
        <v>56914</v>
      </c>
      <c r="I613" s="7">
        <v>65821</v>
      </c>
      <c r="J613" s="7">
        <v>8907</v>
      </c>
      <c r="K613" s="8">
        <v>0.15649927961485752</v>
      </c>
    </row>
    <row r="614" spans="1:11" x14ac:dyDescent="0.3">
      <c r="A614" s="5" t="s">
        <v>46</v>
      </c>
      <c r="B614" s="6">
        <v>40247</v>
      </c>
      <c r="C614" s="5">
        <v>11</v>
      </c>
      <c r="D614" s="5">
        <v>3</v>
      </c>
      <c r="E614" s="5">
        <v>2010</v>
      </c>
      <c r="F614" s="5" t="s">
        <v>29</v>
      </c>
      <c r="G614" s="5" t="s">
        <v>10</v>
      </c>
      <c r="H614" s="7">
        <v>358442</v>
      </c>
      <c r="I614" s="7">
        <v>391030</v>
      </c>
      <c r="J614" s="7">
        <v>32588</v>
      </c>
      <c r="K614" s="8">
        <v>9.0915685103866176E-2</v>
      </c>
    </row>
    <row r="615" spans="1:11" x14ac:dyDescent="0.3">
      <c r="A615" s="5" t="s">
        <v>46</v>
      </c>
      <c r="B615" s="6">
        <v>40247</v>
      </c>
      <c r="C615" s="5">
        <v>11</v>
      </c>
      <c r="D615" s="5">
        <v>3</v>
      </c>
      <c r="E615" s="5">
        <v>2010</v>
      </c>
      <c r="F615" s="5" t="s">
        <v>30</v>
      </c>
      <c r="G615" s="5" t="s">
        <v>10</v>
      </c>
      <c r="H615" s="7">
        <v>65654</v>
      </c>
      <c r="I615" s="7">
        <v>74188</v>
      </c>
      <c r="J615" s="7">
        <v>8534</v>
      </c>
      <c r="K615" s="8">
        <v>0.12998446400828587</v>
      </c>
    </row>
    <row r="616" spans="1:11" x14ac:dyDescent="0.3">
      <c r="A616" s="5" t="s">
        <v>46</v>
      </c>
      <c r="B616" s="6">
        <v>40247</v>
      </c>
      <c r="C616" s="5">
        <v>11</v>
      </c>
      <c r="D616" s="5">
        <v>3</v>
      </c>
      <c r="E616" s="5">
        <v>2010</v>
      </c>
      <c r="F616" s="5" t="s">
        <v>9</v>
      </c>
      <c r="G616" s="5" t="s">
        <v>9</v>
      </c>
      <c r="H616" s="7">
        <v>379206</v>
      </c>
      <c r="I616" s="7">
        <v>435569</v>
      </c>
      <c r="J616" s="7">
        <v>56363</v>
      </c>
      <c r="K616" s="8">
        <v>0.14863425156774945</v>
      </c>
    </row>
    <row r="617" spans="1:11" x14ac:dyDescent="0.3">
      <c r="A617" s="5" t="s">
        <v>46</v>
      </c>
      <c r="B617" s="6">
        <v>40247</v>
      </c>
      <c r="C617" s="5">
        <v>11</v>
      </c>
      <c r="D617" s="5">
        <v>3</v>
      </c>
      <c r="E617" s="5">
        <v>2010</v>
      </c>
      <c r="F617" s="5" t="s">
        <v>31</v>
      </c>
      <c r="G617" s="5" t="s">
        <v>7</v>
      </c>
      <c r="H617" s="7">
        <v>45231</v>
      </c>
      <c r="I617" s="7">
        <v>60245</v>
      </c>
      <c r="J617" s="7">
        <v>15014</v>
      </c>
      <c r="K617" s="8">
        <v>0.33194048329685394</v>
      </c>
    </row>
    <row r="618" spans="1:11" x14ac:dyDescent="0.3">
      <c r="A618" s="5" t="s">
        <v>46</v>
      </c>
      <c r="B618" s="6">
        <v>40247</v>
      </c>
      <c r="C618" s="5">
        <v>11</v>
      </c>
      <c r="D618" s="5">
        <v>3</v>
      </c>
      <c r="E618" s="5">
        <v>2010</v>
      </c>
      <c r="F618" s="5" t="s">
        <v>33</v>
      </c>
      <c r="G618" s="5" t="s">
        <v>7</v>
      </c>
      <c r="H618" s="7">
        <v>46342</v>
      </c>
      <c r="I618" s="7">
        <v>92930</v>
      </c>
      <c r="J618" s="7">
        <v>46588</v>
      </c>
      <c r="K618" s="8">
        <v>1.0053083595874153</v>
      </c>
    </row>
    <row r="619" spans="1:11" x14ac:dyDescent="0.3">
      <c r="A619" s="5" t="s">
        <v>46</v>
      </c>
      <c r="B619" s="6">
        <v>40247</v>
      </c>
      <c r="C619" s="5">
        <v>11</v>
      </c>
      <c r="D619" s="5">
        <v>3</v>
      </c>
      <c r="E619" s="5">
        <v>2010</v>
      </c>
      <c r="F619" s="5" t="s">
        <v>34</v>
      </c>
      <c r="G619" s="5" t="s">
        <v>7</v>
      </c>
      <c r="H619" s="7">
        <v>3878</v>
      </c>
      <c r="I619" s="7">
        <v>4308</v>
      </c>
      <c r="J619" s="7">
        <v>430</v>
      </c>
      <c r="K619" s="8">
        <v>0.11088189788550799</v>
      </c>
    </row>
    <row r="620" spans="1:11" x14ac:dyDescent="0.3">
      <c r="A620" s="5" t="s">
        <v>46</v>
      </c>
      <c r="B620" s="6">
        <v>40247</v>
      </c>
      <c r="C620" s="5">
        <v>11</v>
      </c>
      <c r="D620" s="5">
        <v>3</v>
      </c>
      <c r="E620" s="5">
        <v>2010</v>
      </c>
      <c r="F620" s="5" t="s">
        <v>35</v>
      </c>
      <c r="G620" s="5" t="s">
        <v>11</v>
      </c>
      <c r="H620" s="7">
        <v>1033</v>
      </c>
      <c r="I620" s="7">
        <v>1260</v>
      </c>
      <c r="J620" s="7">
        <v>227</v>
      </c>
      <c r="K620" s="8">
        <v>0.2197483059051307</v>
      </c>
    </row>
    <row r="621" spans="1:11" x14ac:dyDescent="0.3">
      <c r="A621" s="5" t="s">
        <v>46</v>
      </c>
      <c r="B621" s="6">
        <v>40247</v>
      </c>
      <c r="C621" s="5">
        <v>11</v>
      </c>
      <c r="D621" s="5">
        <v>3</v>
      </c>
      <c r="E621" s="5">
        <v>2010</v>
      </c>
      <c r="F621" s="5" t="s">
        <v>36</v>
      </c>
      <c r="G621" s="5" t="s">
        <v>11</v>
      </c>
      <c r="H621" s="7">
        <v>108549</v>
      </c>
      <c r="I621" s="7">
        <v>119011</v>
      </c>
      <c r="J621" s="7">
        <v>10462</v>
      </c>
      <c r="K621" s="8">
        <v>9.6380436484905435E-2</v>
      </c>
    </row>
    <row r="622" spans="1:11" x14ac:dyDescent="0.3">
      <c r="A622" s="5" t="s">
        <v>46</v>
      </c>
      <c r="B622" s="6">
        <v>40247</v>
      </c>
      <c r="C622" s="5">
        <v>11</v>
      </c>
      <c r="D622" s="5">
        <v>3</v>
      </c>
      <c r="E622" s="5">
        <v>2010</v>
      </c>
      <c r="F622" s="5" t="s">
        <v>37</v>
      </c>
      <c r="G622" s="5" t="s">
        <v>11</v>
      </c>
      <c r="H622" s="7">
        <v>162752</v>
      </c>
      <c r="I622" s="7">
        <v>176508</v>
      </c>
      <c r="J622" s="7">
        <v>13756</v>
      </c>
      <c r="K622" s="8">
        <v>8.4521234762092015E-2</v>
      </c>
    </row>
    <row r="623" spans="1:11" x14ac:dyDescent="0.3">
      <c r="A623" s="5" t="s">
        <v>46</v>
      </c>
      <c r="B623" s="6">
        <v>40247</v>
      </c>
      <c r="C623" s="5">
        <v>11</v>
      </c>
      <c r="D623" s="5">
        <v>3</v>
      </c>
      <c r="E623" s="5">
        <v>2010</v>
      </c>
      <c r="F623" s="5" t="s">
        <v>38</v>
      </c>
      <c r="G623" s="5" t="s">
        <v>11</v>
      </c>
      <c r="H623" s="7">
        <v>270023</v>
      </c>
      <c r="I623" s="7">
        <v>285983</v>
      </c>
      <c r="J623" s="7">
        <v>15960</v>
      </c>
      <c r="K623" s="8">
        <v>5.9106076149068786E-2</v>
      </c>
    </row>
    <row r="624" spans="1:11" x14ac:dyDescent="0.3">
      <c r="A624" s="5" t="s">
        <v>46</v>
      </c>
      <c r="B624" s="6">
        <v>40248</v>
      </c>
      <c r="C624" s="5">
        <v>11</v>
      </c>
      <c r="D624" s="5">
        <v>3</v>
      </c>
      <c r="E624" s="5">
        <v>2010</v>
      </c>
      <c r="F624" s="5" t="s">
        <v>14</v>
      </c>
      <c r="G624" s="5" t="s">
        <v>6</v>
      </c>
      <c r="H624" s="7">
        <v>5306</v>
      </c>
      <c r="I624" s="7">
        <v>6355</v>
      </c>
      <c r="J624" s="7">
        <v>1049</v>
      </c>
      <c r="K624" s="8">
        <v>0.19770071617037316</v>
      </c>
    </row>
    <row r="625" spans="1:11" x14ac:dyDescent="0.3">
      <c r="A625" s="5" t="s">
        <v>46</v>
      </c>
      <c r="B625" s="6">
        <v>40248</v>
      </c>
      <c r="C625" s="5">
        <v>11</v>
      </c>
      <c r="D625" s="5">
        <v>3</v>
      </c>
      <c r="E625" s="5">
        <v>2010</v>
      </c>
      <c r="F625" s="5" t="s">
        <v>15</v>
      </c>
      <c r="G625" s="5" t="s">
        <v>6</v>
      </c>
      <c r="H625" s="7">
        <v>120895</v>
      </c>
      <c r="I625" s="7">
        <v>139612</v>
      </c>
      <c r="J625" s="7">
        <v>18717</v>
      </c>
      <c r="K625" s="8">
        <v>0.15482029860622853</v>
      </c>
    </row>
    <row r="626" spans="1:11" x14ac:dyDescent="0.3">
      <c r="A626" s="5" t="s">
        <v>46</v>
      </c>
      <c r="B626" s="6">
        <v>40248</v>
      </c>
      <c r="C626" s="5">
        <v>11</v>
      </c>
      <c r="D626" s="5">
        <v>3</v>
      </c>
      <c r="E626" s="5">
        <v>2010</v>
      </c>
      <c r="F626" s="5" t="s">
        <v>16</v>
      </c>
      <c r="G626" s="5" t="s">
        <v>6</v>
      </c>
      <c r="H626" s="7">
        <v>67350</v>
      </c>
      <c r="I626" s="7">
        <v>76576</v>
      </c>
      <c r="J626" s="7">
        <v>9226</v>
      </c>
      <c r="K626" s="8">
        <v>0.13698589458054936</v>
      </c>
    </row>
    <row r="627" spans="1:11" x14ac:dyDescent="0.3">
      <c r="A627" s="5" t="s">
        <v>46</v>
      </c>
      <c r="B627" s="6">
        <v>40248</v>
      </c>
      <c r="C627" s="5">
        <v>11</v>
      </c>
      <c r="D627" s="5">
        <v>3</v>
      </c>
      <c r="E627" s="5">
        <v>2010</v>
      </c>
      <c r="F627" s="5" t="s">
        <v>18</v>
      </c>
      <c r="G627" s="5" t="s">
        <v>6</v>
      </c>
      <c r="H627" s="7">
        <v>14232</v>
      </c>
      <c r="I627" s="7">
        <v>16537</v>
      </c>
      <c r="J627" s="7">
        <v>2305</v>
      </c>
      <c r="K627" s="8">
        <v>0.16195896571107363</v>
      </c>
    </row>
    <row r="628" spans="1:11" x14ac:dyDescent="0.3">
      <c r="A628" s="5" t="s">
        <v>46</v>
      </c>
      <c r="B628" s="6">
        <v>40248</v>
      </c>
      <c r="C628" s="5">
        <v>11</v>
      </c>
      <c r="D628" s="5">
        <v>3</v>
      </c>
      <c r="E628" s="5">
        <v>2010</v>
      </c>
      <c r="F628" s="5" t="s">
        <v>19</v>
      </c>
      <c r="G628" s="5" t="s">
        <v>5</v>
      </c>
      <c r="H628" s="7">
        <v>105462</v>
      </c>
      <c r="I628" s="7">
        <v>119246</v>
      </c>
      <c r="J628" s="7">
        <v>13784</v>
      </c>
      <c r="K628" s="8">
        <v>0.13070110561149989</v>
      </c>
    </row>
    <row r="629" spans="1:11" x14ac:dyDescent="0.3">
      <c r="A629" s="5" t="s">
        <v>46</v>
      </c>
      <c r="B629" s="6">
        <v>40248</v>
      </c>
      <c r="C629" s="5">
        <v>11</v>
      </c>
      <c r="D629" s="5">
        <v>3</v>
      </c>
      <c r="E629" s="5">
        <v>2010</v>
      </c>
      <c r="F629" s="5" t="s">
        <v>5</v>
      </c>
      <c r="G629" s="5" t="s">
        <v>5</v>
      </c>
      <c r="H629" s="7">
        <v>467870</v>
      </c>
      <c r="I629" s="7">
        <v>491004</v>
      </c>
      <c r="J629" s="7">
        <v>23134</v>
      </c>
      <c r="K629" s="8">
        <v>4.9445358753499903E-2</v>
      </c>
    </row>
    <row r="630" spans="1:11" x14ac:dyDescent="0.3">
      <c r="A630" s="5" t="s">
        <v>46</v>
      </c>
      <c r="B630" s="6">
        <v>40248</v>
      </c>
      <c r="C630" s="5">
        <v>11</v>
      </c>
      <c r="D630" s="5">
        <v>3</v>
      </c>
      <c r="E630" s="5">
        <v>2010</v>
      </c>
      <c r="F630" s="5" t="s">
        <v>20</v>
      </c>
      <c r="G630" s="5" t="s">
        <v>5</v>
      </c>
      <c r="H630" s="7">
        <v>72436</v>
      </c>
      <c r="I630" s="7">
        <v>80902</v>
      </c>
      <c r="J630" s="7">
        <v>8466</v>
      </c>
      <c r="K630" s="8">
        <v>0.11687558672483296</v>
      </c>
    </row>
    <row r="631" spans="1:11" x14ac:dyDescent="0.3">
      <c r="A631" s="5" t="s">
        <v>46</v>
      </c>
      <c r="B631" s="6">
        <v>40248</v>
      </c>
      <c r="C631" s="5">
        <v>11</v>
      </c>
      <c r="D631" s="5">
        <v>3</v>
      </c>
      <c r="E631" s="5">
        <v>2010</v>
      </c>
      <c r="F631" s="5" t="s">
        <v>21</v>
      </c>
      <c r="G631" s="5" t="s">
        <v>5</v>
      </c>
      <c r="H631" s="7">
        <v>115999</v>
      </c>
      <c r="I631" s="7">
        <v>124352</v>
      </c>
      <c r="J631" s="7">
        <v>8353</v>
      </c>
      <c r="K631" s="8">
        <v>7.2009241458978093E-2</v>
      </c>
    </row>
    <row r="632" spans="1:11" x14ac:dyDescent="0.3">
      <c r="A632" s="5" t="s">
        <v>46</v>
      </c>
      <c r="B632" s="6">
        <v>40248</v>
      </c>
      <c r="C632" s="5">
        <v>11</v>
      </c>
      <c r="D632" s="5">
        <v>3</v>
      </c>
      <c r="E632" s="5">
        <v>2010</v>
      </c>
      <c r="F632" s="5" t="s">
        <v>22</v>
      </c>
      <c r="G632" s="5" t="s">
        <v>8</v>
      </c>
      <c r="H632" s="7">
        <v>223206</v>
      </c>
      <c r="I632" s="7">
        <v>245470</v>
      </c>
      <c r="J632" s="7">
        <v>22264</v>
      </c>
      <c r="K632" s="8">
        <v>9.9746422587206438E-2</v>
      </c>
    </row>
    <row r="633" spans="1:11" x14ac:dyDescent="0.3">
      <c r="A633" s="5" t="s">
        <v>46</v>
      </c>
      <c r="B633" s="6">
        <v>40248</v>
      </c>
      <c r="C633" s="5">
        <v>11</v>
      </c>
      <c r="D633" s="5">
        <v>3</v>
      </c>
      <c r="E633" s="5">
        <v>2010</v>
      </c>
      <c r="F633" s="5" t="s">
        <v>23</v>
      </c>
      <c r="G633" s="5" t="s">
        <v>8</v>
      </c>
      <c r="H633" s="7">
        <v>101490</v>
      </c>
      <c r="I633" s="7">
        <v>108050</v>
      </c>
      <c r="J633" s="7">
        <v>6560</v>
      </c>
      <c r="K633" s="8">
        <v>6.4636910040398066E-2</v>
      </c>
    </row>
    <row r="634" spans="1:11" x14ac:dyDescent="0.3">
      <c r="A634" s="5" t="s">
        <v>46</v>
      </c>
      <c r="B634" s="6">
        <v>40248</v>
      </c>
      <c r="C634" s="5">
        <v>11</v>
      </c>
      <c r="D634" s="5">
        <v>3</v>
      </c>
      <c r="E634" s="5">
        <v>2010</v>
      </c>
      <c r="F634" s="5" t="s">
        <v>24</v>
      </c>
      <c r="G634" s="5" t="s">
        <v>8</v>
      </c>
      <c r="H634" s="7">
        <v>95147</v>
      </c>
      <c r="I634" s="7">
        <v>103410</v>
      </c>
      <c r="J634" s="7">
        <v>8263</v>
      </c>
      <c r="K634" s="8">
        <v>8.6844566828171141E-2</v>
      </c>
    </row>
    <row r="635" spans="1:11" x14ac:dyDescent="0.3">
      <c r="A635" s="5" t="s">
        <v>46</v>
      </c>
      <c r="B635" s="6">
        <v>40248</v>
      </c>
      <c r="C635" s="5">
        <v>11</v>
      </c>
      <c r="D635" s="5">
        <v>3</v>
      </c>
      <c r="E635" s="5">
        <v>2010</v>
      </c>
      <c r="F635" s="5" t="s">
        <v>25</v>
      </c>
      <c r="G635" s="5" t="s">
        <v>8</v>
      </c>
      <c r="H635" s="7">
        <v>7664</v>
      </c>
      <c r="I635" s="7">
        <v>8397</v>
      </c>
      <c r="J635" s="7">
        <v>733</v>
      </c>
      <c r="K635" s="8">
        <v>9.5641962421711899E-2</v>
      </c>
    </row>
    <row r="636" spans="1:11" x14ac:dyDescent="0.3">
      <c r="A636" s="5" t="s">
        <v>46</v>
      </c>
      <c r="B636" s="6">
        <v>40248</v>
      </c>
      <c r="C636" s="5">
        <v>11</v>
      </c>
      <c r="D636" s="5">
        <v>3</v>
      </c>
      <c r="E636" s="5">
        <v>2010</v>
      </c>
      <c r="F636" s="5" t="s">
        <v>26</v>
      </c>
      <c r="G636" s="5" t="s">
        <v>10</v>
      </c>
      <c r="H636" s="7">
        <v>15291</v>
      </c>
      <c r="I636" s="7">
        <v>17045</v>
      </c>
      <c r="J636" s="7">
        <v>1754</v>
      </c>
      <c r="K636" s="8">
        <v>0.1147079981688575</v>
      </c>
    </row>
    <row r="637" spans="1:11" x14ac:dyDescent="0.3">
      <c r="A637" s="5" t="s">
        <v>46</v>
      </c>
      <c r="B637" s="6">
        <v>40248</v>
      </c>
      <c r="C637" s="5">
        <v>11</v>
      </c>
      <c r="D637" s="5">
        <v>3</v>
      </c>
      <c r="E637" s="5">
        <v>2010</v>
      </c>
      <c r="F637" s="5" t="s">
        <v>27</v>
      </c>
      <c r="G637" s="5" t="s">
        <v>10</v>
      </c>
      <c r="H637" s="7">
        <v>85204</v>
      </c>
      <c r="I637" s="7">
        <v>96237</v>
      </c>
      <c r="J637" s="7">
        <v>11033</v>
      </c>
      <c r="K637" s="8">
        <v>0.12948922585794095</v>
      </c>
    </row>
    <row r="638" spans="1:11" x14ac:dyDescent="0.3">
      <c r="A638" s="5" t="s">
        <v>46</v>
      </c>
      <c r="B638" s="6">
        <v>40248</v>
      </c>
      <c r="C638" s="5">
        <v>11</v>
      </c>
      <c r="D638" s="5">
        <v>3</v>
      </c>
      <c r="E638" s="5">
        <v>2010</v>
      </c>
      <c r="F638" s="5" t="s">
        <v>28</v>
      </c>
      <c r="G638" s="5" t="s">
        <v>10</v>
      </c>
      <c r="H638" s="7">
        <v>71978</v>
      </c>
      <c r="I638" s="7">
        <v>81358</v>
      </c>
      <c r="J638" s="7">
        <v>9380</v>
      </c>
      <c r="K638" s="8">
        <v>0.13031759704354109</v>
      </c>
    </row>
    <row r="639" spans="1:11" x14ac:dyDescent="0.3">
      <c r="A639" s="5" t="s">
        <v>46</v>
      </c>
      <c r="B639" s="6">
        <v>40248</v>
      </c>
      <c r="C639" s="5">
        <v>11</v>
      </c>
      <c r="D639" s="5">
        <v>3</v>
      </c>
      <c r="E639" s="5">
        <v>2010</v>
      </c>
      <c r="F639" s="5" t="s">
        <v>29</v>
      </c>
      <c r="G639" s="5" t="s">
        <v>10</v>
      </c>
      <c r="H639" s="7">
        <v>386862</v>
      </c>
      <c r="I639" s="7">
        <v>424475</v>
      </c>
      <c r="J639" s="7">
        <v>37613</v>
      </c>
      <c r="K639" s="8">
        <v>9.7225884165412987E-2</v>
      </c>
    </row>
    <row r="640" spans="1:11" x14ac:dyDescent="0.3">
      <c r="A640" s="5" t="s">
        <v>46</v>
      </c>
      <c r="B640" s="6">
        <v>40248</v>
      </c>
      <c r="C640" s="5">
        <v>11</v>
      </c>
      <c r="D640" s="5">
        <v>3</v>
      </c>
      <c r="E640" s="5">
        <v>2010</v>
      </c>
      <c r="F640" s="5" t="s">
        <v>30</v>
      </c>
      <c r="G640" s="5" t="s">
        <v>10</v>
      </c>
      <c r="H640" s="7">
        <v>71726</v>
      </c>
      <c r="I640" s="7">
        <v>80656</v>
      </c>
      <c r="J640" s="7">
        <v>8930</v>
      </c>
      <c r="K640" s="8">
        <v>0.12450157543986839</v>
      </c>
    </row>
    <row r="641" spans="1:11" x14ac:dyDescent="0.3">
      <c r="A641" s="5" t="s">
        <v>46</v>
      </c>
      <c r="B641" s="6">
        <v>40248</v>
      </c>
      <c r="C641" s="5">
        <v>11</v>
      </c>
      <c r="D641" s="5">
        <v>3</v>
      </c>
      <c r="E641" s="5">
        <v>2010</v>
      </c>
      <c r="F641" s="5" t="s">
        <v>9</v>
      </c>
      <c r="G641" s="5" t="s">
        <v>9</v>
      </c>
      <c r="H641" s="7">
        <v>383152</v>
      </c>
      <c r="I641" s="7">
        <v>425797</v>
      </c>
      <c r="J641" s="7">
        <v>42645</v>
      </c>
      <c r="K641" s="8">
        <v>0.11130047605127991</v>
      </c>
    </row>
    <row r="642" spans="1:11" x14ac:dyDescent="0.3">
      <c r="A642" s="5" t="s">
        <v>46</v>
      </c>
      <c r="B642" s="6">
        <v>40248</v>
      </c>
      <c r="C642" s="5">
        <v>11</v>
      </c>
      <c r="D642" s="5">
        <v>3</v>
      </c>
      <c r="E642" s="5">
        <v>2010</v>
      </c>
      <c r="F642" s="5" t="s">
        <v>31</v>
      </c>
      <c r="G642" s="5" t="s">
        <v>7</v>
      </c>
      <c r="H642" s="7">
        <v>37820</v>
      </c>
      <c r="I642" s="7">
        <v>48068</v>
      </c>
      <c r="J642" s="7">
        <v>10248</v>
      </c>
      <c r="K642" s="8">
        <v>0.2709677419354839</v>
      </c>
    </row>
    <row r="643" spans="1:11" x14ac:dyDescent="0.3">
      <c r="A643" s="5" t="s">
        <v>46</v>
      </c>
      <c r="B643" s="6">
        <v>40248</v>
      </c>
      <c r="C643" s="5">
        <v>11</v>
      </c>
      <c r="D643" s="5">
        <v>3</v>
      </c>
      <c r="E643" s="5">
        <v>2010</v>
      </c>
      <c r="F643" s="5" t="s">
        <v>33</v>
      </c>
      <c r="G643" s="5" t="s">
        <v>7</v>
      </c>
      <c r="H643" s="7">
        <v>48838</v>
      </c>
      <c r="I643" s="7">
        <v>96988</v>
      </c>
      <c r="J643" s="7">
        <v>48150</v>
      </c>
      <c r="K643" s="8">
        <v>0.98591260903394895</v>
      </c>
    </row>
    <row r="644" spans="1:11" x14ac:dyDescent="0.3">
      <c r="A644" s="5" t="s">
        <v>46</v>
      </c>
      <c r="B644" s="6">
        <v>40248</v>
      </c>
      <c r="C644" s="5">
        <v>11</v>
      </c>
      <c r="D644" s="5">
        <v>3</v>
      </c>
      <c r="E644" s="5">
        <v>2010</v>
      </c>
      <c r="F644" s="5" t="s">
        <v>34</v>
      </c>
      <c r="G644" s="5" t="s">
        <v>7</v>
      </c>
      <c r="H644" s="7">
        <v>2469</v>
      </c>
      <c r="I644" s="7">
        <v>2743</v>
      </c>
      <c r="J644" s="7">
        <v>274</v>
      </c>
      <c r="K644" s="8">
        <v>0.11097610368570271</v>
      </c>
    </row>
    <row r="645" spans="1:11" x14ac:dyDescent="0.3">
      <c r="A645" s="5" t="s">
        <v>46</v>
      </c>
      <c r="B645" s="6">
        <v>40248</v>
      </c>
      <c r="C645" s="5">
        <v>11</v>
      </c>
      <c r="D645" s="5">
        <v>3</v>
      </c>
      <c r="E645" s="5">
        <v>2010</v>
      </c>
      <c r="F645" s="5" t="s">
        <v>35</v>
      </c>
      <c r="G645" s="5" t="s">
        <v>11</v>
      </c>
      <c r="H645" s="7">
        <v>3625</v>
      </c>
      <c r="I645" s="7">
        <v>4270</v>
      </c>
      <c r="J645" s="7">
        <v>645</v>
      </c>
      <c r="K645" s="8">
        <v>0.17793103448275863</v>
      </c>
    </row>
    <row r="646" spans="1:11" x14ac:dyDescent="0.3">
      <c r="A646" s="5" t="s">
        <v>46</v>
      </c>
      <c r="B646" s="6">
        <v>40248</v>
      </c>
      <c r="C646" s="5">
        <v>11</v>
      </c>
      <c r="D646" s="5">
        <v>3</v>
      </c>
      <c r="E646" s="5">
        <v>2010</v>
      </c>
      <c r="F646" s="5" t="s">
        <v>36</v>
      </c>
      <c r="G646" s="5" t="s">
        <v>11</v>
      </c>
      <c r="H646" s="7">
        <v>138049</v>
      </c>
      <c r="I646" s="7">
        <v>143870</v>
      </c>
      <c r="J646" s="7">
        <v>5821</v>
      </c>
      <c r="K646" s="8">
        <v>4.2166187368253304E-2</v>
      </c>
    </row>
    <row r="647" spans="1:11" x14ac:dyDescent="0.3">
      <c r="A647" s="5" t="s">
        <v>46</v>
      </c>
      <c r="B647" s="6">
        <v>40248</v>
      </c>
      <c r="C647" s="5">
        <v>11</v>
      </c>
      <c r="D647" s="5">
        <v>3</v>
      </c>
      <c r="E647" s="5">
        <v>2010</v>
      </c>
      <c r="F647" s="5" t="s">
        <v>37</v>
      </c>
      <c r="G647" s="5" t="s">
        <v>11</v>
      </c>
      <c r="H647" s="7">
        <v>217668</v>
      </c>
      <c r="I647" s="7">
        <v>239560</v>
      </c>
      <c r="J647" s="7">
        <v>21892</v>
      </c>
      <c r="K647" s="8">
        <v>0.10057518790083982</v>
      </c>
    </row>
    <row r="648" spans="1:11" x14ac:dyDescent="0.3">
      <c r="A648" s="5" t="s">
        <v>46</v>
      </c>
      <c r="B648" s="6">
        <v>40248</v>
      </c>
      <c r="C648" s="5">
        <v>11</v>
      </c>
      <c r="D648" s="5">
        <v>3</v>
      </c>
      <c r="E648" s="5">
        <v>2010</v>
      </c>
      <c r="F648" s="5" t="s">
        <v>38</v>
      </c>
      <c r="G648" s="5" t="s">
        <v>11</v>
      </c>
      <c r="H648" s="7">
        <v>254791</v>
      </c>
      <c r="I648" s="7">
        <v>268425</v>
      </c>
      <c r="J648" s="7">
        <v>13634</v>
      </c>
      <c r="K648" s="8">
        <v>5.3510524312083238E-2</v>
      </c>
    </row>
    <row r="649" spans="1:11" x14ac:dyDescent="0.3">
      <c r="A649" s="5" t="s">
        <v>46</v>
      </c>
      <c r="B649" s="6">
        <v>40249</v>
      </c>
      <c r="C649" s="5">
        <v>11</v>
      </c>
      <c r="D649" s="5">
        <v>3</v>
      </c>
      <c r="E649" s="5">
        <v>2010</v>
      </c>
      <c r="F649" s="5" t="s">
        <v>14</v>
      </c>
      <c r="G649" s="5" t="s">
        <v>6</v>
      </c>
      <c r="H649" s="7">
        <v>6180</v>
      </c>
      <c r="I649" s="7">
        <v>7388</v>
      </c>
      <c r="J649" s="7">
        <v>1208</v>
      </c>
      <c r="K649" s="8">
        <v>0.19546925566343043</v>
      </c>
    </row>
    <row r="650" spans="1:11" x14ac:dyDescent="0.3">
      <c r="A650" s="5" t="s">
        <v>46</v>
      </c>
      <c r="B650" s="6">
        <v>40249</v>
      </c>
      <c r="C650" s="5">
        <v>11</v>
      </c>
      <c r="D650" s="5">
        <v>3</v>
      </c>
      <c r="E650" s="5">
        <v>2010</v>
      </c>
      <c r="F650" s="5" t="s">
        <v>15</v>
      </c>
      <c r="G650" s="5" t="s">
        <v>6</v>
      </c>
      <c r="H650" s="7">
        <v>134389</v>
      </c>
      <c r="I650" s="7">
        <v>147186</v>
      </c>
      <c r="J650" s="7">
        <v>12797</v>
      </c>
      <c r="K650" s="8">
        <v>9.5223567405070361E-2</v>
      </c>
    </row>
    <row r="651" spans="1:11" x14ac:dyDescent="0.3">
      <c r="A651" s="5" t="s">
        <v>46</v>
      </c>
      <c r="B651" s="6">
        <v>40249</v>
      </c>
      <c r="C651" s="5">
        <v>11</v>
      </c>
      <c r="D651" s="5">
        <v>3</v>
      </c>
      <c r="E651" s="5">
        <v>2010</v>
      </c>
      <c r="F651" s="5" t="s">
        <v>16</v>
      </c>
      <c r="G651" s="5" t="s">
        <v>6</v>
      </c>
      <c r="H651" s="7">
        <v>69561</v>
      </c>
      <c r="I651" s="7">
        <v>77829</v>
      </c>
      <c r="J651" s="7">
        <v>8268</v>
      </c>
      <c r="K651" s="8">
        <v>0.11885970586966835</v>
      </c>
    </row>
    <row r="652" spans="1:11" x14ac:dyDescent="0.3">
      <c r="A652" s="5" t="s">
        <v>46</v>
      </c>
      <c r="B652" s="6">
        <v>40249</v>
      </c>
      <c r="C652" s="5">
        <v>11</v>
      </c>
      <c r="D652" s="5">
        <v>3</v>
      </c>
      <c r="E652" s="5">
        <v>2010</v>
      </c>
      <c r="F652" s="5" t="s">
        <v>17</v>
      </c>
      <c r="G652" s="5" t="s">
        <v>6</v>
      </c>
      <c r="H652" s="7">
        <v>479</v>
      </c>
      <c r="I652" s="7">
        <v>660</v>
      </c>
      <c r="J652" s="7">
        <v>181</v>
      </c>
      <c r="K652" s="8">
        <v>0.37787056367432148</v>
      </c>
    </row>
    <row r="653" spans="1:11" x14ac:dyDescent="0.3">
      <c r="A653" s="5" t="s">
        <v>46</v>
      </c>
      <c r="B653" s="6">
        <v>40249</v>
      </c>
      <c r="C653" s="5">
        <v>11</v>
      </c>
      <c r="D653" s="5">
        <v>3</v>
      </c>
      <c r="E653" s="5">
        <v>2010</v>
      </c>
      <c r="F653" s="5" t="s">
        <v>18</v>
      </c>
      <c r="G653" s="5" t="s">
        <v>6</v>
      </c>
      <c r="H653" s="7">
        <v>5318</v>
      </c>
      <c r="I653" s="7">
        <v>6202</v>
      </c>
      <c r="J653" s="7">
        <v>884</v>
      </c>
      <c r="K653" s="8">
        <v>0.16622790522752914</v>
      </c>
    </row>
    <row r="654" spans="1:11" x14ac:dyDescent="0.3">
      <c r="A654" s="5" t="s">
        <v>46</v>
      </c>
      <c r="B654" s="6">
        <v>40249</v>
      </c>
      <c r="C654" s="5">
        <v>11</v>
      </c>
      <c r="D654" s="5">
        <v>3</v>
      </c>
      <c r="E654" s="5">
        <v>2010</v>
      </c>
      <c r="F654" s="5" t="s">
        <v>19</v>
      </c>
      <c r="G654" s="5" t="s">
        <v>5</v>
      </c>
      <c r="H654" s="7">
        <v>93925</v>
      </c>
      <c r="I654" s="7">
        <v>105037</v>
      </c>
      <c r="J654" s="7">
        <v>11112</v>
      </c>
      <c r="K654" s="8">
        <v>0.11830715996805963</v>
      </c>
    </row>
    <row r="655" spans="1:11" x14ac:dyDescent="0.3">
      <c r="A655" s="5" t="s">
        <v>46</v>
      </c>
      <c r="B655" s="6">
        <v>40249</v>
      </c>
      <c r="C655" s="5">
        <v>11</v>
      </c>
      <c r="D655" s="5">
        <v>3</v>
      </c>
      <c r="E655" s="5">
        <v>2010</v>
      </c>
      <c r="F655" s="5" t="s">
        <v>5</v>
      </c>
      <c r="G655" s="5" t="s">
        <v>5</v>
      </c>
      <c r="H655" s="7">
        <v>328775</v>
      </c>
      <c r="I655" s="7">
        <v>347223</v>
      </c>
      <c r="J655" s="7">
        <v>18448</v>
      </c>
      <c r="K655" s="8">
        <v>5.611132233290244E-2</v>
      </c>
    </row>
    <row r="656" spans="1:11" x14ac:dyDescent="0.3">
      <c r="A656" s="5" t="s">
        <v>46</v>
      </c>
      <c r="B656" s="6">
        <v>40249</v>
      </c>
      <c r="C656" s="5">
        <v>11</v>
      </c>
      <c r="D656" s="5">
        <v>3</v>
      </c>
      <c r="E656" s="5">
        <v>2010</v>
      </c>
      <c r="F656" s="5" t="s">
        <v>20</v>
      </c>
      <c r="G656" s="5" t="s">
        <v>5</v>
      </c>
      <c r="H656" s="7">
        <v>133747</v>
      </c>
      <c r="I656" s="7">
        <v>147737</v>
      </c>
      <c r="J656" s="7">
        <v>13990</v>
      </c>
      <c r="K656" s="8">
        <v>0.10460047702004531</v>
      </c>
    </row>
    <row r="657" spans="1:11" x14ac:dyDescent="0.3">
      <c r="A657" s="5" t="s">
        <v>46</v>
      </c>
      <c r="B657" s="6">
        <v>40249</v>
      </c>
      <c r="C657" s="5">
        <v>11</v>
      </c>
      <c r="D657" s="5">
        <v>3</v>
      </c>
      <c r="E657" s="5">
        <v>2010</v>
      </c>
      <c r="F657" s="5" t="s">
        <v>21</v>
      </c>
      <c r="G657" s="5" t="s">
        <v>5</v>
      </c>
      <c r="H657" s="7">
        <v>99806</v>
      </c>
      <c r="I657" s="7">
        <v>107015</v>
      </c>
      <c r="J657" s="7">
        <v>7209</v>
      </c>
      <c r="K657" s="8">
        <v>7.2230126445303883E-2</v>
      </c>
    </row>
    <row r="658" spans="1:11" x14ac:dyDescent="0.3">
      <c r="A658" s="5" t="s">
        <v>46</v>
      </c>
      <c r="B658" s="6">
        <v>40249</v>
      </c>
      <c r="C658" s="5">
        <v>11</v>
      </c>
      <c r="D658" s="5">
        <v>3</v>
      </c>
      <c r="E658" s="5">
        <v>2010</v>
      </c>
      <c r="F658" s="5" t="s">
        <v>22</v>
      </c>
      <c r="G658" s="5" t="s">
        <v>8</v>
      </c>
      <c r="H658" s="7">
        <v>318119</v>
      </c>
      <c r="I658" s="7">
        <v>341399</v>
      </c>
      <c r="J658" s="7">
        <v>23280</v>
      </c>
      <c r="K658" s="8">
        <v>7.3180162140582608E-2</v>
      </c>
    </row>
    <row r="659" spans="1:11" x14ac:dyDescent="0.3">
      <c r="A659" s="5" t="s">
        <v>46</v>
      </c>
      <c r="B659" s="6">
        <v>40249</v>
      </c>
      <c r="C659" s="5">
        <v>11</v>
      </c>
      <c r="D659" s="5">
        <v>3</v>
      </c>
      <c r="E659" s="5">
        <v>2010</v>
      </c>
      <c r="F659" s="5" t="s">
        <v>23</v>
      </c>
      <c r="G659" s="5" t="s">
        <v>8</v>
      </c>
      <c r="H659" s="7">
        <v>115804</v>
      </c>
      <c r="I659" s="7">
        <v>121776</v>
      </c>
      <c r="J659" s="7">
        <v>5972</v>
      </c>
      <c r="K659" s="8">
        <v>5.1569893958757898E-2</v>
      </c>
    </row>
    <row r="660" spans="1:11" x14ac:dyDescent="0.3">
      <c r="A660" s="5" t="s">
        <v>46</v>
      </c>
      <c r="B660" s="6">
        <v>40249</v>
      </c>
      <c r="C660" s="5">
        <v>11</v>
      </c>
      <c r="D660" s="5">
        <v>3</v>
      </c>
      <c r="E660" s="5">
        <v>2010</v>
      </c>
      <c r="F660" s="5" t="s">
        <v>24</v>
      </c>
      <c r="G660" s="5" t="s">
        <v>8</v>
      </c>
      <c r="H660" s="7">
        <v>98776</v>
      </c>
      <c r="I660" s="7">
        <v>107744</v>
      </c>
      <c r="J660" s="7">
        <v>8968</v>
      </c>
      <c r="K660" s="8">
        <v>9.0791285332469426E-2</v>
      </c>
    </row>
    <row r="661" spans="1:11" x14ac:dyDescent="0.3">
      <c r="A661" s="5" t="s">
        <v>46</v>
      </c>
      <c r="B661" s="6">
        <v>40249</v>
      </c>
      <c r="C661" s="5">
        <v>11</v>
      </c>
      <c r="D661" s="5">
        <v>3</v>
      </c>
      <c r="E661" s="5">
        <v>2010</v>
      </c>
      <c r="F661" s="5" t="s">
        <v>25</v>
      </c>
      <c r="G661" s="5" t="s">
        <v>8</v>
      </c>
      <c r="H661" s="7">
        <v>7820</v>
      </c>
      <c r="I661" s="7">
        <v>8487</v>
      </c>
      <c r="J661" s="7">
        <v>667</v>
      </c>
      <c r="K661" s="8">
        <v>8.5294117647058826E-2</v>
      </c>
    </row>
    <row r="662" spans="1:11" x14ac:dyDescent="0.3">
      <c r="A662" s="5" t="s">
        <v>46</v>
      </c>
      <c r="B662" s="6">
        <v>40249</v>
      </c>
      <c r="C662" s="5">
        <v>11</v>
      </c>
      <c r="D662" s="5">
        <v>3</v>
      </c>
      <c r="E662" s="5">
        <v>2010</v>
      </c>
      <c r="F662" s="5" t="s">
        <v>26</v>
      </c>
      <c r="G662" s="5" t="s">
        <v>10</v>
      </c>
      <c r="H662" s="7">
        <v>13595</v>
      </c>
      <c r="I662" s="7">
        <v>15202</v>
      </c>
      <c r="J662" s="7">
        <v>1607</v>
      </c>
      <c r="K662" s="8">
        <v>0.1182052225082751</v>
      </c>
    </row>
    <row r="663" spans="1:11" x14ac:dyDescent="0.3">
      <c r="A663" s="5" t="s">
        <v>46</v>
      </c>
      <c r="B663" s="6">
        <v>40249</v>
      </c>
      <c r="C663" s="5">
        <v>11</v>
      </c>
      <c r="D663" s="5">
        <v>3</v>
      </c>
      <c r="E663" s="5">
        <v>2010</v>
      </c>
      <c r="F663" s="5" t="s">
        <v>27</v>
      </c>
      <c r="G663" s="5" t="s">
        <v>10</v>
      </c>
      <c r="H663" s="7">
        <v>99546</v>
      </c>
      <c r="I663" s="7">
        <v>113116</v>
      </c>
      <c r="J663" s="7">
        <v>13570</v>
      </c>
      <c r="K663" s="8">
        <v>0.13631888775038675</v>
      </c>
    </row>
    <row r="664" spans="1:11" x14ac:dyDescent="0.3">
      <c r="A664" s="5" t="s">
        <v>46</v>
      </c>
      <c r="B664" s="6">
        <v>40249</v>
      </c>
      <c r="C664" s="5">
        <v>11</v>
      </c>
      <c r="D664" s="5">
        <v>3</v>
      </c>
      <c r="E664" s="5">
        <v>2010</v>
      </c>
      <c r="F664" s="5" t="s">
        <v>28</v>
      </c>
      <c r="G664" s="5" t="s">
        <v>10</v>
      </c>
      <c r="H664" s="7">
        <v>74911</v>
      </c>
      <c r="I664" s="7">
        <v>84720</v>
      </c>
      <c r="J664" s="7">
        <v>9809</v>
      </c>
      <c r="K664" s="8">
        <v>0.13094205123413116</v>
      </c>
    </row>
    <row r="665" spans="1:11" x14ac:dyDescent="0.3">
      <c r="A665" s="5" t="s">
        <v>46</v>
      </c>
      <c r="B665" s="6">
        <v>40249</v>
      </c>
      <c r="C665" s="5">
        <v>11</v>
      </c>
      <c r="D665" s="5">
        <v>3</v>
      </c>
      <c r="E665" s="5">
        <v>2010</v>
      </c>
      <c r="F665" s="5" t="s">
        <v>29</v>
      </c>
      <c r="G665" s="5" t="s">
        <v>10</v>
      </c>
      <c r="H665" s="7">
        <v>411975</v>
      </c>
      <c r="I665" s="7">
        <v>447758</v>
      </c>
      <c r="J665" s="7">
        <v>35783</v>
      </c>
      <c r="K665" s="8">
        <v>8.6857212209478729E-2</v>
      </c>
    </row>
    <row r="666" spans="1:11" x14ac:dyDescent="0.3">
      <c r="A666" s="5" t="s">
        <v>46</v>
      </c>
      <c r="B666" s="6">
        <v>40249</v>
      </c>
      <c r="C666" s="5">
        <v>11</v>
      </c>
      <c r="D666" s="5">
        <v>3</v>
      </c>
      <c r="E666" s="5">
        <v>2010</v>
      </c>
      <c r="F666" s="5" t="s">
        <v>30</v>
      </c>
      <c r="G666" s="5" t="s">
        <v>10</v>
      </c>
      <c r="H666" s="7">
        <v>69577</v>
      </c>
      <c r="I666" s="7">
        <v>78294</v>
      </c>
      <c r="J666" s="7">
        <v>8717</v>
      </c>
      <c r="K666" s="8">
        <v>0.12528565474222803</v>
      </c>
    </row>
    <row r="667" spans="1:11" x14ac:dyDescent="0.3">
      <c r="A667" s="5" t="s">
        <v>46</v>
      </c>
      <c r="B667" s="6">
        <v>40249</v>
      </c>
      <c r="C667" s="5">
        <v>11</v>
      </c>
      <c r="D667" s="5">
        <v>3</v>
      </c>
      <c r="E667" s="5">
        <v>2010</v>
      </c>
      <c r="F667" s="5" t="s">
        <v>9</v>
      </c>
      <c r="G667" s="5" t="s">
        <v>9</v>
      </c>
      <c r="H667" s="7">
        <v>419781</v>
      </c>
      <c r="I667" s="7">
        <v>491876</v>
      </c>
      <c r="J667" s="7">
        <v>72095</v>
      </c>
      <c r="K667" s="8">
        <v>0.17174431429721687</v>
      </c>
    </row>
    <row r="668" spans="1:11" x14ac:dyDescent="0.3">
      <c r="A668" s="5" t="s">
        <v>46</v>
      </c>
      <c r="B668" s="6">
        <v>40249</v>
      </c>
      <c r="C668" s="5">
        <v>11</v>
      </c>
      <c r="D668" s="5">
        <v>3</v>
      </c>
      <c r="E668" s="5">
        <v>2010</v>
      </c>
      <c r="F668" s="5" t="s">
        <v>31</v>
      </c>
      <c r="G668" s="5" t="s">
        <v>7</v>
      </c>
      <c r="H668" s="7">
        <v>40671</v>
      </c>
      <c r="I668" s="7">
        <v>49110</v>
      </c>
      <c r="J668" s="7">
        <v>8439</v>
      </c>
      <c r="K668" s="8">
        <v>0.20749428339603157</v>
      </c>
    </row>
    <row r="669" spans="1:11" x14ac:dyDescent="0.3">
      <c r="A669" s="5" t="s">
        <v>46</v>
      </c>
      <c r="B669" s="6">
        <v>40249</v>
      </c>
      <c r="C669" s="5">
        <v>11</v>
      </c>
      <c r="D669" s="5">
        <v>3</v>
      </c>
      <c r="E669" s="5">
        <v>2010</v>
      </c>
      <c r="F669" s="5" t="s">
        <v>32</v>
      </c>
      <c r="G669" s="5" t="s">
        <v>7</v>
      </c>
      <c r="H669" s="7">
        <v>574</v>
      </c>
      <c r="I669" s="7">
        <v>643</v>
      </c>
      <c r="J669" s="7">
        <v>69</v>
      </c>
      <c r="K669" s="8">
        <v>0.12020905923344948</v>
      </c>
    </row>
    <row r="670" spans="1:11" x14ac:dyDescent="0.3">
      <c r="A670" s="5" t="s">
        <v>46</v>
      </c>
      <c r="B670" s="6">
        <v>40249</v>
      </c>
      <c r="C670" s="5">
        <v>11</v>
      </c>
      <c r="D670" s="5">
        <v>3</v>
      </c>
      <c r="E670" s="5">
        <v>2010</v>
      </c>
      <c r="F670" s="5" t="s">
        <v>33</v>
      </c>
      <c r="G670" s="5" t="s">
        <v>7</v>
      </c>
      <c r="H670" s="7">
        <v>47149</v>
      </c>
      <c r="I670" s="7">
        <v>89997</v>
      </c>
      <c r="J670" s="7">
        <v>42848</v>
      </c>
      <c r="K670" s="8">
        <v>0.90877855309762667</v>
      </c>
    </row>
    <row r="671" spans="1:11" x14ac:dyDescent="0.3">
      <c r="A671" s="5" t="s">
        <v>46</v>
      </c>
      <c r="B671" s="6">
        <v>40249</v>
      </c>
      <c r="C671" s="5">
        <v>11</v>
      </c>
      <c r="D671" s="5">
        <v>3</v>
      </c>
      <c r="E671" s="5">
        <v>2010</v>
      </c>
      <c r="F671" s="5" t="s">
        <v>34</v>
      </c>
      <c r="G671" s="5" t="s">
        <v>7</v>
      </c>
      <c r="H671" s="7">
        <v>3234</v>
      </c>
      <c r="I671" s="7">
        <v>3593</v>
      </c>
      <c r="J671" s="7">
        <v>359</v>
      </c>
      <c r="K671" s="8">
        <v>0.11100803957946816</v>
      </c>
    </row>
    <row r="672" spans="1:11" x14ac:dyDescent="0.3">
      <c r="A672" s="5" t="s">
        <v>46</v>
      </c>
      <c r="B672" s="6">
        <v>40249</v>
      </c>
      <c r="C672" s="5">
        <v>11</v>
      </c>
      <c r="D672" s="5">
        <v>3</v>
      </c>
      <c r="E672" s="5">
        <v>2010</v>
      </c>
      <c r="F672" s="5" t="s">
        <v>35</v>
      </c>
      <c r="G672" s="5" t="s">
        <v>11</v>
      </c>
      <c r="H672" s="7">
        <v>1020</v>
      </c>
      <c r="I672" s="7">
        <v>1273</v>
      </c>
      <c r="J672" s="7">
        <v>253</v>
      </c>
      <c r="K672" s="8">
        <v>0.24803921568627452</v>
      </c>
    </row>
    <row r="673" spans="1:11" x14ac:dyDescent="0.3">
      <c r="A673" s="5" t="s">
        <v>46</v>
      </c>
      <c r="B673" s="6">
        <v>40249</v>
      </c>
      <c r="C673" s="5">
        <v>11</v>
      </c>
      <c r="D673" s="5">
        <v>3</v>
      </c>
      <c r="E673" s="5">
        <v>2010</v>
      </c>
      <c r="F673" s="5" t="s">
        <v>36</v>
      </c>
      <c r="G673" s="5" t="s">
        <v>11</v>
      </c>
      <c r="H673" s="7">
        <v>94313</v>
      </c>
      <c r="I673" s="7">
        <v>99236</v>
      </c>
      <c r="J673" s="7">
        <v>4923</v>
      </c>
      <c r="K673" s="8">
        <v>5.2198530425286015E-2</v>
      </c>
    </row>
    <row r="674" spans="1:11" x14ac:dyDescent="0.3">
      <c r="A674" s="5" t="s">
        <v>46</v>
      </c>
      <c r="B674" s="6">
        <v>40249</v>
      </c>
      <c r="C674" s="5">
        <v>11</v>
      </c>
      <c r="D674" s="5">
        <v>3</v>
      </c>
      <c r="E674" s="5">
        <v>2010</v>
      </c>
      <c r="F674" s="5" t="s">
        <v>37</v>
      </c>
      <c r="G674" s="5" t="s">
        <v>11</v>
      </c>
      <c r="H674" s="7">
        <v>144525</v>
      </c>
      <c r="I674" s="7">
        <v>154261</v>
      </c>
      <c r="J674" s="7">
        <v>9736</v>
      </c>
      <c r="K674" s="8">
        <v>6.7365507697630167E-2</v>
      </c>
    </row>
    <row r="675" spans="1:11" x14ac:dyDescent="0.3">
      <c r="A675" s="5" t="s">
        <v>46</v>
      </c>
      <c r="B675" s="6">
        <v>40249</v>
      </c>
      <c r="C675" s="5">
        <v>11</v>
      </c>
      <c r="D675" s="5">
        <v>3</v>
      </c>
      <c r="E675" s="5">
        <v>2010</v>
      </c>
      <c r="F675" s="5" t="s">
        <v>38</v>
      </c>
      <c r="G675" s="5" t="s">
        <v>11</v>
      </c>
      <c r="H675" s="7">
        <v>229915</v>
      </c>
      <c r="I675" s="7">
        <v>236603</v>
      </c>
      <c r="J675" s="7">
        <v>6688</v>
      </c>
      <c r="K675" s="8">
        <v>2.9089011156296894E-2</v>
      </c>
    </row>
    <row r="676" spans="1:11" x14ac:dyDescent="0.3">
      <c r="A676" s="5" t="s">
        <v>46</v>
      </c>
      <c r="B676" s="6">
        <v>40250</v>
      </c>
      <c r="C676" s="5">
        <v>11</v>
      </c>
      <c r="D676" s="5">
        <v>3</v>
      </c>
      <c r="E676" s="5">
        <v>2010</v>
      </c>
      <c r="F676" s="5" t="s">
        <v>14</v>
      </c>
      <c r="G676" s="5" t="s">
        <v>6</v>
      </c>
      <c r="H676" s="7">
        <v>5601</v>
      </c>
      <c r="I676" s="7">
        <v>6721</v>
      </c>
      <c r="J676" s="7">
        <v>1120</v>
      </c>
      <c r="K676" s="8">
        <v>0.19996429209069808</v>
      </c>
    </row>
    <row r="677" spans="1:11" x14ac:dyDescent="0.3">
      <c r="A677" s="5" t="s">
        <v>46</v>
      </c>
      <c r="B677" s="6">
        <v>40250</v>
      </c>
      <c r="C677" s="5">
        <v>11</v>
      </c>
      <c r="D677" s="5">
        <v>3</v>
      </c>
      <c r="E677" s="5">
        <v>2010</v>
      </c>
      <c r="F677" s="5" t="s">
        <v>15</v>
      </c>
      <c r="G677" s="5" t="s">
        <v>6</v>
      </c>
      <c r="H677" s="7">
        <v>157365</v>
      </c>
      <c r="I677" s="7">
        <v>185246</v>
      </c>
      <c r="J677" s="7">
        <v>27881</v>
      </c>
      <c r="K677" s="8">
        <v>0.1771740857242716</v>
      </c>
    </row>
    <row r="678" spans="1:11" x14ac:dyDescent="0.3">
      <c r="A678" s="5" t="s">
        <v>46</v>
      </c>
      <c r="B678" s="6">
        <v>40250</v>
      </c>
      <c r="C678" s="5">
        <v>11</v>
      </c>
      <c r="D678" s="5">
        <v>3</v>
      </c>
      <c r="E678" s="5">
        <v>2010</v>
      </c>
      <c r="F678" s="5" t="s">
        <v>16</v>
      </c>
      <c r="G678" s="5" t="s">
        <v>6</v>
      </c>
      <c r="H678" s="7">
        <v>105832</v>
      </c>
      <c r="I678" s="7">
        <v>118420</v>
      </c>
      <c r="J678" s="7">
        <v>12588</v>
      </c>
      <c r="K678" s="8">
        <v>0.11894323078086023</v>
      </c>
    </row>
    <row r="679" spans="1:11" x14ac:dyDescent="0.3">
      <c r="A679" s="5" t="s">
        <v>46</v>
      </c>
      <c r="B679" s="6">
        <v>40250</v>
      </c>
      <c r="C679" s="5">
        <v>11</v>
      </c>
      <c r="D679" s="5">
        <v>3</v>
      </c>
      <c r="E679" s="5">
        <v>2010</v>
      </c>
      <c r="F679" s="5" t="s">
        <v>17</v>
      </c>
      <c r="G679" s="5" t="s">
        <v>6</v>
      </c>
      <c r="H679" s="7">
        <v>1362</v>
      </c>
      <c r="I679" s="7">
        <v>1565</v>
      </c>
      <c r="J679" s="7">
        <v>203</v>
      </c>
      <c r="K679" s="8">
        <v>0.14904552129221732</v>
      </c>
    </row>
    <row r="680" spans="1:11" x14ac:dyDescent="0.3">
      <c r="A680" s="5" t="s">
        <v>46</v>
      </c>
      <c r="B680" s="6">
        <v>40250</v>
      </c>
      <c r="C680" s="5">
        <v>11</v>
      </c>
      <c r="D680" s="5">
        <v>3</v>
      </c>
      <c r="E680" s="5">
        <v>2010</v>
      </c>
      <c r="F680" s="5" t="s">
        <v>18</v>
      </c>
      <c r="G680" s="5" t="s">
        <v>6</v>
      </c>
      <c r="H680" s="7">
        <v>10655</v>
      </c>
      <c r="I680" s="7">
        <v>12196</v>
      </c>
      <c r="J680" s="7">
        <v>1541</v>
      </c>
      <c r="K680" s="8">
        <v>0.14462693571093382</v>
      </c>
    </row>
    <row r="681" spans="1:11" x14ac:dyDescent="0.3">
      <c r="A681" s="5" t="s">
        <v>46</v>
      </c>
      <c r="B681" s="6">
        <v>40250</v>
      </c>
      <c r="C681" s="5">
        <v>11</v>
      </c>
      <c r="D681" s="5">
        <v>3</v>
      </c>
      <c r="E681" s="5">
        <v>2010</v>
      </c>
      <c r="F681" s="5" t="s">
        <v>19</v>
      </c>
      <c r="G681" s="5" t="s">
        <v>5</v>
      </c>
      <c r="H681" s="7">
        <v>100304</v>
      </c>
      <c r="I681" s="7">
        <v>112249</v>
      </c>
      <c r="J681" s="7">
        <v>11945</v>
      </c>
      <c r="K681" s="8">
        <v>0.11908797256340724</v>
      </c>
    </row>
    <row r="682" spans="1:11" x14ac:dyDescent="0.3">
      <c r="A682" s="5" t="s">
        <v>46</v>
      </c>
      <c r="B682" s="6">
        <v>40250</v>
      </c>
      <c r="C682" s="5">
        <v>11</v>
      </c>
      <c r="D682" s="5">
        <v>3</v>
      </c>
      <c r="E682" s="5">
        <v>2010</v>
      </c>
      <c r="F682" s="5" t="s">
        <v>5</v>
      </c>
      <c r="G682" s="5" t="s">
        <v>5</v>
      </c>
      <c r="H682" s="7">
        <v>355729</v>
      </c>
      <c r="I682" s="7">
        <v>379975</v>
      </c>
      <c r="J682" s="7">
        <v>24246</v>
      </c>
      <c r="K682" s="8">
        <v>6.8158626370073847E-2</v>
      </c>
    </row>
    <row r="683" spans="1:11" x14ac:dyDescent="0.3">
      <c r="A683" s="5" t="s">
        <v>46</v>
      </c>
      <c r="B683" s="6">
        <v>40250</v>
      </c>
      <c r="C683" s="5">
        <v>11</v>
      </c>
      <c r="D683" s="5">
        <v>3</v>
      </c>
      <c r="E683" s="5">
        <v>2010</v>
      </c>
      <c r="F683" s="5" t="s">
        <v>20</v>
      </c>
      <c r="G683" s="5" t="s">
        <v>5</v>
      </c>
      <c r="H683" s="7">
        <v>116355</v>
      </c>
      <c r="I683" s="7">
        <v>130525</v>
      </c>
      <c r="J683" s="7">
        <v>14170</v>
      </c>
      <c r="K683" s="8">
        <v>0.12178247604314382</v>
      </c>
    </row>
    <row r="684" spans="1:11" x14ac:dyDescent="0.3">
      <c r="A684" s="5" t="s">
        <v>46</v>
      </c>
      <c r="B684" s="6">
        <v>40250</v>
      </c>
      <c r="C684" s="5">
        <v>11</v>
      </c>
      <c r="D684" s="5">
        <v>3</v>
      </c>
      <c r="E684" s="5">
        <v>2010</v>
      </c>
      <c r="F684" s="5" t="s">
        <v>21</v>
      </c>
      <c r="G684" s="5" t="s">
        <v>5</v>
      </c>
      <c r="H684" s="7">
        <v>139921</v>
      </c>
      <c r="I684" s="7">
        <v>154978</v>
      </c>
      <c r="J684" s="7">
        <v>15057</v>
      </c>
      <c r="K684" s="8">
        <v>0.10761072319380222</v>
      </c>
    </row>
    <row r="685" spans="1:11" x14ac:dyDescent="0.3">
      <c r="A685" s="5" t="s">
        <v>46</v>
      </c>
      <c r="B685" s="6">
        <v>40250</v>
      </c>
      <c r="C685" s="5">
        <v>11</v>
      </c>
      <c r="D685" s="5">
        <v>3</v>
      </c>
      <c r="E685" s="5">
        <v>2010</v>
      </c>
      <c r="F685" s="5" t="s">
        <v>22</v>
      </c>
      <c r="G685" s="5" t="s">
        <v>8</v>
      </c>
      <c r="H685" s="7">
        <v>367323</v>
      </c>
      <c r="I685" s="7">
        <v>396729</v>
      </c>
      <c r="J685" s="7">
        <v>29406</v>
      </c>
      <c r="K685" s="8">
        <v>8.0054883576579736E-2</v>
      </c>
    </row>
    <row r="686" spans="1:11" x14ac:dyDescent="0.3">
      <c r="A686" s="5" t="s">
        <v>46</v>
      </c>
      <c r="B686" s="6">
        <v>40250</v>
      </c>
      <c r="C686" s="5">
        <v>11</v>
      </c>
      <c r="D686" s="5">
        <v>3</v>
      </c>
      <c r="E686" s="5">
        <v>2010</v>
      </c>
      <c r="F686" s="5" t="s">
        <v>23</v>
      </c>
      <c r="G686" s="5" t="s">
        <v>8</v>
      </c>
      <c r="H686" s="7">
        <v>134785</v>
      </c>
      <c r="I686" s="7">
        <v>142726</v>
      </c>
      <c r="J686" s="7">
        <v>7941</v>
      </c>
      <c r="K686" s="8">
        <v>5.8916051489409059E-2</v>
      </c>
    </row>
    <row r="687" spans="1:11" x14ac:dyDescent="0.3">
      <c r="A687" s="5" t="s">
        <v>46</v>
      </c>
      <c r="B687" s="6">
        <v>40250</v>
      </c>
      <c r="C687" s="5">
        <v>11</v>
      </c>
      <c r="D687" s="5">
        <v>3</v>
      </c>
      <c r="E687" s="5">
        <v>2010</v>
      </c>
      <c r="F687" s="5" t="s">
        <v>24</v>
      </c>
      <c r="G687" s="5" t="s">
        <v>8</v>
      </c>
      <c r="H687" s="7">
        <v>140624</v>
      </c>
      <c r="I687" s="7">
        <v>151968</v>
      </c>
      <c r="J687" s="7">
        <v>11344</v>
      </c>
      <c r="K687" s="8">
        <v>8.0669018090795311E-2</v>
      </c>
    </row>
    <row r="688" spans="1:11" x14ac:dyDescent="0.3">
      <c r="A688" s="5" t="s">
        <v>46</v>
      </c>
      <c r="B688" s="6">
        <v>40250</v>
      </c>
      <c r="C688" s="5">
        <v>11</v>
      </c>
      <c r="D688" s="5">
        <v>3</v>
      </c>
      <c r="E688" s="5">
        <v>2010</v>
      </c>
      <c r="F688" s="5" t="s">
        <v>25</v>
      </c>
      <c r="G688" s="5" t="s">
        <v>8</v>
      </c>
      <c r="H688" s="7">
        <v>10644</v>
      </c>
      <c r="I688" s="7">
        <v>11555</v>
      </c>
      <c r="J688" s="7">
        <v>911</v>
      </c>
      <c r="K688" s="8">
        <v>8.5588124765125895E-2</v>
      </c>
    </row>
    <row r="689" spans="1:11" x14ac:dyDescent="0.3">
      <c r="A689" s="5" t="s">
        <v>46</v>
      </c>
      <c r="B689" s="6">
        <v>40250</v>
      </c>
      <c r="C689" s="5">
        <v>11</v>
      </c>
      <c r="D689" s="5">
        <v>3</v>
      </c>
      <c r="E689" s="5">
        <v>2010</v>
      </c>
      <c r="F689" s="5" t="s">
        <v>26</v>
      </c>
      <c r="G689" s="5" t="s">
        <v>10</v>
      </c>
      <c r="H689" s="7">
        <v>21113</v>
      </c>
      <c r="I689" s="7">
        <v>23505</v>
      </c>
      <c r="J689" s="7">
        <v>2392</v>
      </c>
      <c r="K689" s="8">
        <v>0.11329512622554824</v>
      </c>
    </row>
    <row r="690" spans="1:11" x14ac:dyDescent="0.3">
      <c r="A690" s="5" t="s">
        <v>46</v>
      </c>
      <c r="B690" s="6">
        <v>40250</v>
      </c>
      <c r="C690" s="5">
        <v>11</v>
      </c>
      <c r="D690" s="5">
        <v>3</v>
      </c>
      <c r="E690" s="5">
        <v>2010</v>
      </c>
      <c r="F690" s="5" t="s">
        <v>27</v>
      </c>
      <c r="G690" s="5" t="s">
        <v>10</v>
      </c>
      <c r="H690" s="7">
        <v>98786</v>
      </c>
      <c r="I690" s="7">
        <v>111858</v>
      </c>
      <c r="J690" s="7">
        <v>13072</v>
      </c>
      <c r="K690" s="8">
        <v>0.13232644301824145</v>
      </c>
    </row>
    <row r="691" spans="1:11" x14ac:dyDescent="0.3">
      <c r="A691" s="5" t="s">
        <v>46</v>
      </c>
      <c r="B691" s="6">
        <v>40250</v>
      </c>
      <c r="C691" s="5">
        <v>11</v>
      </c>
      <c r="D691" s="5">
        <v>3</v>
      </c>
      <c r="E691" s="5">
        <v>2010</v>
      </c>
      <c r="F691" s="5" t="s">
        <v>28</v>
      </c>
      <c r="G691" s="5" t="s">
        <v>10</v>
      </c>
      <c r="H691" s="7">
        <v>112475</v>
      </c>
      <c r="I691" s="7">
        <v>126157</v>
      </c>
      <c r="J691" s="7">
        <v>13682</v>
      </c>
      <c r="K691" s="8">
        <v>0.1216448099577684</v>
      </c>
    </row>
    <row r="692" spans="1:11" x14ac:dyDescent="0.3">
      <c r="A692" s="5" t="s">
        <v>46</v>
      </c>
      <c r="B692" s="6">
        <v>40250</v>
      </c>
      <c r="C692" s="5">
        <v>11</v>
      </c>
      <c r="D692" s="5">
        <v>3</v>
      </c>
      <c r="E692" s="5">
        <v>2010</v>
      </c>
      <c r="F692" s="5" t="s">
        <v>29</v>
      </c>
      <c r="G692" s="5" t="s">
        <v>10</v>
      </c>
      <c r="H692" s="7">
        <v>519216</v>
      </c>
      <c r="I692" s="7">
        <v>569720</v>
      </c>
      <c r="J692" s="7">
        <v>50504</v>
      </c>
      <c r="K692" s="8">
        <v>9.7269729746386854E-2</v>
      </c>
    </row>
    <row r="693" spans="1:11" x14ac:dyDescent="0.3">
      <c r="A693" s="5" t="s">
        <v>46</v>
      </c>
      <c r="B693" s="6">
        <v>40250</v>
      </c>
      <c r="C693" s="5">
        <v>11</v>
      </c>
      <c r="D693" s="5">
        <v>3</v>
      </c>
      <c r="E693" s="5">
        <v>2010</v>
      </c>
      <c r="F693" s="5" t="s">
        <v>30</v>
      </c>
      <c r="G693" s="5" t="s">
        <v>10</v>
      </c>
      <c r="H693" s="7">
        <v>99861</v>
      </c>
      <c r="I693" s="7">
        <v>112720</v>
      </c>
      <c r="J693" s="7">
        <v>12859</v>
      </c>
      <c r="K693" s="8">
        <v>0.12876898889456345</v>
      </c>
    </row>
    <row r="694" spans="1:11" x14ac:dyDescent="0.3">
      <c r="A694" s="5" t="s">
        <v>46</v>
      </c>
      <c r="B694" s="6">
        <v>40250</v>
      </c>
      <c r="C694" s="5">
        <v>11</v>
      </c>
      <c r="D694" s="5">
        <v>3</v>
      </c>
      <c r="E694" s="5">
        <v>2010</v>
      </c>
      <c r="F694" s="5" t="s">
        <v>9</v>
      </c>
      <c r="G694" s="5" t="s">
        <v>9</v>
      </c>
      <c r="H694" s="7">
        <v>568449</v>
      </c>
      <c r="I694" s="7">
        <v>693142</v>
      </c>
      <c r="J694" s="7">
        <v>124693</v>
      </c>
      <c r="K694" s="8">
        <v>0.21935652978543368</v>
      </c>
    </row>
    <row r="695" spans="1:11" x14ac:dyDescent="0.3">
      <c r="A695" s="5" t="s">
        <v>46</v>
      </c>
      <c r="B695" s="6">
        <v>40250</v>
      </c>
      <c r="C695" s="5">
        <v>11</v>
      </c>
      <c r="D695" s="5">
        <v>3</v>
      </c>
      <c r="E695" s="5">
        <v>2010</v>
      </c>
      <c r="F695" s="5" t="s">
        <v>31</v>
      </c>
      <c r="G695" s="5" t="s">
        <v>7</v>
      </c>
      <c r="H695" s="7">
        <v>47270</v>
      </c>
      <c r="I695" s="7">
        <v>58500</v>
      </c>
      <c r="J695" s="7">
        <v>11230</v>
      </c>
      <c r="K695" s="8">
        <v>0.23757139834990479</v>
      </c>
    </row>
    <row r="696" spans="1:11" x14ac:dyDescent="0.3">
      <c r="A696" s="5" t="s">
        <v>46</v>
      </c>
      <c r="B696" s="6">
        <v>40250</v>
      </c>
      <c r="C696" s="5">
        <v>11</v>
      </c>
      <c r="D696" s="5">
        <v>3</v>
      </c>
      <c r="E696" s="5">
        <v>2010</v>
      </c>
      <c r="F696" s="5" t="s">
        <v>33</v>
      </c>
      <c r="G696" s="5" t="s">
        <v>7</v>
      </c>
      <c r="H696" s="7">
        <v>57165</v>
      </c>
      <c r="I696" s="7">
        <v>114653</v>
      </c>
      <c r="J696" s="7">
        <v>57488</v>
      </c>
      <c r="K696" s="8">
        <v>1.0056503105046795</v>
      </c>
    </row>
    <row r="697" spans="1:11" x14ac:dyDescent="0.3">
      <c r="A697" s="5" t="s">
        <v>46</v>
      </c>
      <c r="B697" s="6">
        <v>40250</v>
      </c>
      <c r="C697" s="5">
        <v>11</v>
      </c>
      <c r="D697" s="5">
        <v>3</v>
      </c>
      <c r="E697" s="5">
        <v>2010</v>
      </c>
      <c r="F697" s="5" t="s">
        <v>34</v>
      </c>
      <c r="G697" s="5" t="s">
        <v>7</v>
      </c>
      <c r="H697" s="7">
        <v>4412</v>
      </c>
      <c r="I697" s="7">
        <v>4901</v>
      </c>
      <c r="J697" s="7">
        <v>489</v>
      </c>
      <c r="K697" s="8">
        <v>0.11083408884859475</v>
      </c>
    </row>
    <row r="698" spans="1:11" x14ac:dyDescent="0.3">
      <c r="A698" s="5" t="s">
        <v>46</v>
      </c>
      <c r="B698" s="6">
        <v>40250</v>
      </c>
      <c r="C698" s="5">
        <v>11</v>
      </c>
      <c r="D698" s="5">
        <v>3</v>
      </c>
      <c r="E698" s="5">
        <v>2010</v>
      </c>
      <c r="F698" s="5" t="s">
        <v>35</v>
      </c>
      <c r="G698" s="5" t="s">
        <v>11</v>
      </c>
      <c r="H698" s="7">
        <v>4639</v>
      </c>
      <c r="I698" s="7">
        <v>5693</v>
      </c>
      <c r="J698" s="7">
        <v>1054</v>
      </c>
      <c r="K698" s="8">
        <v>0.22720413882302221</v>
      </c>
    </row>
    <row r="699" spans="1:11" x14ac:dyDescent="0.3">
      <c r="A699" s="5" t="s">
        <v>46</v>
      </c>
      <c r="B699" s="6">
        <v>40250</v>
      </c>
      <c r="C699" s="5">
        <v>11</v>
      </c>
      <c r="D699" s="5">
        <v>3</v>
      </c>
      <c r="E699" s="5">
        <v>2010</v>
      </c>
      <c r="F699" s="5" t="s">
        <v>36</v>
      </c>
      <c r="G699" s="5" t="s">
        <v>11</v>
      </c>
      <c r="H699" s="7">
        <v>143095</v>
      </c>
      <c r="I699" s="7">
        <v>149182</v>
      </c>
      <c r="J699" s="7">
        <v>6087</v>
      </c>
      <c r="K699" s="8">
        <v>4.2538173940389251E-2</v>
      </c>
    </row>
    <row r="700" spans="1:11" x14ac:dyDescent="0.3">
      <c r="A700" s="5" t="s">
        <v>46</v>
      </c>
      <c r="B700" s="6">
        <v>40250</v>
      </c>
      <c r="C700" s="5">
        <v>11</v>
      </c>
      <c r="D700" s="5">
        <v>3</v>
      </c>
      <c r="E700" s="5">
        <v>2010</v>
      </c>
      <c r="F700" s="5" t="s">
        <v>37</v>
      </c>
      <c r="G700" s="5" t="s">
        <v>11</v>
      </c>
      <c r="H700" s="7">
        <v>236191</v>
      </c>
      <c r="I700" s="7">
        <v>255393</v>
      </c>
      <c r="J700" s="7">
        <v>19202</v>
      </c>
      <c r="K700" s="8">
        <v>8.12986100232439E-2</v>
      </c>
    </row>
    <row r="701" spans="1:11" x14ac:dyDescent="0.3">
      <c r="A701" s="5" t="s">
        <v>46</v>
      </c>
      <c r="B701" s="6">
        <v>40250</v>
      </c>
      <c r="C701" s="5">
        <v>11</v>
      </c>
      <c r="D701" s="5">
        <v>3</v>
      </c>
      <c r="E701" s="5">
        <v>2010</v>
      </c>
      <c r="F701" s="5" t="s">
        <v>38</v>
      </c>
      <c r="G701" s="5" t="s">
        <v>11</v>
      </c>
      <c r="H701" s="7">
        <v>412685</v>
      </c>
      <c r="I701" s="7">
        <v>424840</v>
      </c>
      <c r="J701" s="7">
        <v>12155</v>
      </c>
      <c r="K701" s="8">
        <v>2.9453457237360214E-2</v>
      </c>
    </row>
    <row r="702" spans="1:11" x14ac:dyDescent="0.3">
      <c r="A702" s="5" t="s">
        <v>46</v>
      </c>
      <c r="B702" s="6">
        <v>40251</v>
      </c>
      <c r="C702" s="5">
        <v>12</v>
      </c>
      <c r="D702" s="5">
        <v>3</v>
      </c>
      <c r="E702" s="5">
        <v>2010</v>
      </c>
      <c r="F702" s="5" t="s">
        <v>14</v>
      </c>
      <c r="G702" s="5" t="s">
        <v>6</v>
      </c>
      <c r="H702" s="7">
        <v>3314</v>
      </c>
      <c r="I702" s="7">
        <v>3965</v>
      </c>
      <c r="J702" s="7">
        <v>651</v>
      </c>
      <c r="K702" s="8">
        <v>0.1964393482196741</v>
      </c>
    </row>
    <row r="703" spans="1:11" x14ac:dyDescent="0.3">
      <c r="A703" s="5" t="s">
        <v>46</v>
      </c>
      <c r="B703" s="6">
        <v>40251</v>
      </c>
      <c r="C703" s="5">
        <v>12</v>
      </c>
      <c r="D703" s="5">
        <v>3</v>
      </c>
      <c r="E703" s="5">
        <v>2010</v>
      </c>
      <c r="F703" s="5" t="s">
        <v>15</v>
      </c>
      <c r="G703" s="5" t="s">
        <v>6</v>
      </c>
      <c r="H703" s="7">
        <v>120958</v>
      </c>
      <c r="I703" s="7">
        <v>146055</v>
      </c>
      <c r="J703" s="7">
        <v>25097</v>
      </c>
      <c r="K703" s="8">
        <v>0.20748524281155442</v>
      </c>
    </row>
    <row r="704" spans="1:11" x14ac:dyDescent="0.3">
      <c r="A704" s="5" t="s">
        <v>46</v>
      </c>
      <c r="B704" s="6">
        <v>40251</v>
      </c>
      <c r="C704" s="5">
        <v>12</v>
      </c>
      <c r="D704" s="5">
        <v>3</v>
      </c>
      <c r="E704" s="5">
        <v>2010</v>
      </c>
      <c r="F704" s="5" t="s">
        <v>16</v>
      </c>
      <c r="G704" s="5" t="s">
        <v>6</v>
      </c>
      <c r="H704" s="7">
        <v>62712</v>
      </c>
      <c r="I704" s="7">
        <v>70548</v>
      </c>
      <c r="J704" s="7">
        <v>7836</v>
      </c>
      <c r="K704" s="8">
        <v>0.12495216226559511</v>
      </c>
    </row>
    <row r="705" spans="1:11" x14ac:dyDescent="0.3">
      <c r="A705" s="5" t="s">
        <v>46</v>
      </c>
      <c r="B705" s="6">
        <v>40251</v>
      </c>
      <c r="C705" s="5">
        <v>12</v>
      </c>
      <c r="D705" s="5">
        <v>3</v>
      </c>
      <c r="E705" s="5">
        <v>2010</v>
      </c>
      <c r="F705" s="5" t="s">
        <v>17</v>
      </c>
      <c r="G705" s="5" t="s">
        <v>6</v>
      </c>
      <c r="H705" s="7">
        <v>788</v>
      </c>
      <c r="I705" s="7">
        <v>1015</v>
      </c>
      <c r="J705" s="7">
        <v>227</v>
      </c>
      <c r="K705" s="8">
        <v>0.28807106598984772</v>
      </c>
    </row>
    <row r="706" spans="1:11" x14ac:dyDescent="0.3">
      <c r="A706" s="5" t="s">
        <v>46</v>
      </c>
      <c r="B706" s="6">
        <v>40251</v>
      </c>
      <c r="C706" s="5">
        <v>12</v>
      </c>
      <c r="D706" s="5">
        <v>3</v>
      </c>
      <c r="E706" s="5">
        <v>2010</v>
      </c>
      <c r="F706" s="5" t="s">
        <v>18</v>
      </c>
      <c r="G706" s="5" t="s">
        <v>6</v>
      </c>
      <c r="H706" s="7">
        <v>15367</v>
      </c>
      <c r="I706" s="7">
        <v>17615</v>
      </c>
      <c r="J706" s="7">
        <v>2248</v>
      </c>
      <c r="K706" s="8">
        <v>0.14628749918656861</v>
      </c>
    </row>
    <row r="707" spans="1:11" x14ac:dyDescent="0.3">
      <c r="A707" s="5" t="s">
        <v>46</v>
      </c>
      <c r="B707" s="6">
        <v>40251</v>
      </c>
      <c r="C707" s="5">
        <v>12</v>
      </c>
      <c r="D707" s="5">
        <v>3</v>
      </c>
      <c r="E707" s="5">
        <v>2010</v>
      </c>
      <c r="F707" s="5" t="s">
        <v>19</v>
      </c>
      <c r="G707" s="5" t="s">
        <v>5</v>
      </c>
      <c r="H707" s="7">
        <v>106264</v>
      </c>
      <c r="I707" s="7">
        <v>118478</v>
      </c>
      <c r="J707" s="7">
        <v>12214</v>
      </c>
      <c r="K707" s="8">
        <v>0.11494014906271173</v>
      </c>
    </row>
    <row r="708" spans="1:11" x14ac:dyDescent="0.3">
      <c r="A708" s="5" t="s">
        <v>46</v>
      </c>
      <c r="B708" s="6">
        <v>40251</v>
      </c>
      <c r="C708" s="5">
        <v>12</v>
      </c>
      <c r="D708" s="5">
        <v>3</v>
      </c>
      <c r="E708" s="5">
        <v>2010</v>
      </c>
      <c r="F708" s="5" t="s">
        <v>5</v>
      </c>
      <c r="G708" s="5" t="s">
        <v>5</v>
      </c>
      <c r="H708" s="7">
        <v>280999</v>
      </c>
      <c r="I708" s="7">
        <v>298385</v>
      </c>
      <c r="J708" s="7">
        <v>17386</v>
      </c>
      <c r="K708" s="8">
        <v>6.1872106306428136E-2</v>
      </c>
    </row>
    <row r="709" spans="1:11" x14ac:dyDescent="0.3">
      <c r="A709" s="5" t="s">
        <v>46</v>
      </c>
      <c r="B709" s="6">
        <v>40251</v>
      </c>
      <c r="C709" s="5">
        <v>12</v>
      </c>
      <c r="D709" s="5">
        <v>3</v>
      </c>
      <c r="E709" s="5">
        <v>2010</v>
      </c>
      <c r="F709" s="5" t="s">
        <v>20</v>
      </c>
      <c r="G709" s="5" t="s">
        <v>5</v>
      </c>
      <c r="H709" s="7">
        <v>107798</v>
      </c>
      <c r="I709" s="7">
        <v>118227</v>
      </c>
      <c r="J709" s="7">
        <v>10429</v>
      </c>
      <c r="K709" s="8">
        <v>9.6745765227555236E-2</v>
      </c>
    </row>
    <row r="710" spans="1:11" x14ac:dyDescent="0.3">
      <c r="A710" s="5" t="s">
        <v>46</v>
      </c>
      <c r="B710" s="6">
        <v>40251</v>
      </c>
      <c r="C710" s="5">
        <v>12</v>
      </c>
      <c r="D710" s="5">
        <v>3</v>
      </c>
      <c r="E710" s="5">
        <v>2010</v>
      </c>
      <c r="F710" s="5" t="s">
        <v>21</v>
      </c>
      <c r="G710" s="5" t="s">
        <v>5</v>
      </c>
      <c r="H710" s="7">
        <v>102505</v>
      </c>
      <c r="I710" s="7">
        <v>111296</v>
      </c>
      <c r="J710" s="7">
        <v>8791</v>
      </c>
      <c r="K710" s="8">
        <v>8.5761670162431095E-2</v>
      </c>
    </row>
    <row r="711" spans="1:11" x14ac:dyDescent="0.3">
      <c r="A711" s="5" t="s">
        <v>46</v>
      </c>
      <c r="B711" s="6">
        <v>40251</v>
      </c>
      <c r="C711" s="5">
        <v>12</v>
      </c>
      <c r="D711" s="5">
        <v>3</v>
      </c>
      <c r="E711" s="5">
        <v>2010</v>
      </c>
      <c r="F711" s="5" t="s">
        <v>22</v>
      </c>
      <c r="G711" s="5" t="s">
        <v>8</v>
      </c>
      <c r="H711" s="7">
        <v>381883</v>
      </c>
      <c r="I711" s="7">
        <v>404808</v>
      </c>
      <c r="J711" s="7">
        <v>22925</v>
      </c>
      <c r="K711" s="8">
        <v>6.0031475609021612E-2</v>
      </c>
    </row>
    <row r="712" spans="1:11" x14ac:dyDescent="0.3">
      <c r="A712" s="5" t="s">
        <v>46</v>
      </c>
      <c r="B712" s="6">
        <v>40251</v>
      </c>
      <c r="C712" s="5">
        <v>12</v>
      </c>
      <c r="D712" s="5">
        <v>3</v>
      </c>
      <c r="E712" s="5">
        <v>2010</v>
      </c>
      <c r="F712" s="5" t="s">
        <v>23</v>
      </c>
      <c r="G712" s="5" t="s">
        <v>8</v>
      </c>
      <c r="H712" s="7">
        <v>133406</v>
      </c>
      <c r="I712" s="7">
        <v>139076</v>
      </c>
      <c r="J712" s="7">
        <v>5670</v>
      </c>
      <c r="K712" s="8">
        <v>4.2501836499107985E-2</v>
      </c>
    </row>
    <row r="713" spans="1:11" x14ac:dyDescent="0.3">
      <c r="A713" s="5" t="s">
        <v>46</v>
      </c>
      <c r="B713" s="6">
        <v>40251</v>
      </c>
      <c r="C713" s="5">
        <v>12</v>
      </c>
      <c r="D713" s="5">
        <v>3</v>
      </c>
      <c r="E713" s="5">
        <v>2010</v>
      </c>
      <c r="F713" s="5" t="s">
        <v>24</v>
      </c>
      <c r="G713" s="5" t="s">
        <v>8</v>
      </c>
      <c r="H713" s="7">
        <v>138518</v>
      </c>
      <c r="I713" s="7">
        <v>147434</v>
      </c>
      <c r="J713" s="7">
        <v>8916</v>
      </c>
      <c r="K713" s="8">
        <v>6.4367085866096824E-2</v>
      </c>
    </row>
    <row r="714" spans="1:11" x14ac:dyDescent="0.3">
      <c r="A714" s="5" t="s">
        <v>46</v>
      </c>
      <c r="B714" s="6">
        <v>40251</v>
      </c>
      <c r="C714" s="5">
        <v>12</v>
      </c>
      <c r="D714" s="5">
        <v>3</v>
      </c>
      <c r="E714" s="5">
        <v>2010</v>
      </c>
      <c r="F714" s="5" t="s">
        <v>25</v>
      </c>
      <c r="G714" s="5" t="s">
        <v>8</v>
      </c>
      <c r="H714" s="7">
        <v>13260</v>
      </c>
      <c r="I714" s="7">
        <v>13753</v>
      </c>
      <c r="J714" s="7">
        <v>493</v>
      </c>
      <c r="K714" s="8">
        <v>3.7179487179487179E-2</v>
      </c>
    </row>
    <row r="715" spans="1:11" x14ac:dyDescent="0.3">
      <c r="A715" s="5" t="s">
        <v>46</v>
      </c>
      <c r="B715" s="6">
        <v>40251</v>
      </c>
      <c r="C715" s="5">
        <v>12</v>
      </c>
      <c r="D715" s="5">
        <v>3</v>
      </c>
      <c r="E715" s="5">
        <v>2010</v>
      </c>
      <c r="F715" s="5" t="s">
        <v>26</v>
      </c>
      <c r="G715" s="5" t="s">
        <v>10</v>
      </c>
      <c r="H715" s="7">
        <v>16759</v>
      </c>
      <c r="I715" s="7">
        <v>18678</v>
      </c>
      <c r="J715" s="7">
        <v>1919</v>
      </c>
      <c r="K715" s="8">
        <v>0.1145056387612626</v>
      </c>
    </row>
    <row r="716" spans="1:11" x14ac:dyDescent="0.3">
      <c r="A716" s="5" t="s">
        <v>46</v>
      </c>
      <c r="B716" s="6">
        <v>40251</v>
      </c>
      <c r="C716" s="5">
        <v>12</v>
      </c>
      <c r="D716" s="5">
        <v>3</v>
      </c>
      <c r="E716" s="5">
        <v>2010</v>
      </c>
      <c r="F716" s="5" t="s">
        <v>27</v>
      </c>
      <c r="G716" s="5" t="s">
        <v>10</v>
      </c>
      <c r="H716" s="7">
        <v>65170</v>
      </c>
      <c r="I716" s="7">
        <v>73671</v>
      </c>
      <c r="J716" s="7">
        <v>8501</v>
      </c>
      <c r="K716" s="8">
        <v>0.1304434555777198</v>
      </c>
    </row>
    <row r="717" spans="1:11" x14ac:dyDescent="0.3">
      <c r="A717" s="5" t="s">
        <v>46</v>
      </c>
      <c r="B717" s="6">
        <v>40251</v>
      </c>
      <c r="C717" s="5">
        <v>12</v>
      </c>
      <c r="D717" s="5">
        <v>3</v>
      </c>
      <c r="E717" s="5">
        <v>2010</v>
      </c>
      <c r="F717" s="5" t="s">
        <v>28</v>
      </c>
      <c r="G717" s="5" t="s">
        <v>10</v>
      </c>
      <c r="H717" s="7">
        <v>78447</v>
      </c>
      <c r="I717" s="7">
        <v>87572</v>
      </c>
      <c r="J717" s="7">
        <v>9125</v>
      </c>
      <c r="K717" s="8">
        <v>0.11632057312580468</v>
      </c>
    </row>
    <row r="718" spans="1:11" x14ac:dyDescent="0.3">
      <c r="A718" s="5" t="s">
        <v>46</v>
      </c>
      <c r="B718" s="6">
        <v>40251</v>
      </c>
      <c r="C718" s="5">
        <v>12</v>
      </c>
      <c r="D718" s="5">
        <v>3</v>
      </c>
      <c r="E718" s="5">
        <v>2010</v>
      </c>
      <c r="F718" s="5" t="s">
        <v>29</v>
      </c>
      <c r="G718" s="5" t="s">
        <v>10</v>
      </c>
      <c r="H718" s="7">
        <v>441463</v>
      </c>
      <c r="I718" s="7">
        <v>484538</v>
      </c>
      <c r="J718" s="7">
        <v>43075</v>
      </c>
      <c r="K718" s="8">
        <v>9.7573296063316745E-2</v>
      </c>
    </row>
    <row r="719" spans="1:11" x14ac:dyDescent="0.3">
      <c r="A719" s="5" t="s">
        <v>46</v>
      </c>
      <c r="B719" s="6">
        <v>40251</v>
      </c>
      <c r="C719" s="5">
        <v>12</v>
      </c>
      <c r="D719" s="5">
        <v>3</v>
      </c>
      <c r="E719" s="5">
        <v>2010</v>
      </c>
      <c r="F719" s="5" t="s">
        <v>30</v>
      </c>
      <c r="G719" s="5" t="s">
        <v>10</v>
      </c>
      <c r="H719" s="7">
        <v>83536</v>
      </c>
      <c r="I719" s="7">
        <v>94442</v>
      </c>
      <c r="J719" s="7">
        <v>10906</v>
      </c>
      <c r="K719" s="8">
        <v>0.1305544914767286</v>
      </c>
    </row>
    <row r="720" spans="1:11" x14ac:dyDescent="0.3">
      <c r="A720" s="5" t="s">
        <v>46</v>
      </c>
      <c r="B720" s="6">
        <v>40251</v>
      </c>
      <c r="C720" s="5">
        <v>12</v>
      </c>
      <c r="D720" s="5">
        <v>3</v>
      </c>
      <c r="E720" s="5">
        <v>2010</v>
      </c>
      <c r="F720" s="5" t="s">
        <v>9</v>
      </c>
      <c r="G720" s="5" t="s">
        <v>9</v>
      </c>
      <c r="H720" s="7">
        <v>394410</v>
      </c>
      <c r="I720" s="7">
        <v>483189</v>
      </c>
      <c r="J720" s="7">
        <v>88779</v>
      </c>
      <c r="K720" s="8">
        <v>0.22509317715068075</v>
      </c>
    </row>
    <row r="721" spans="1:11" x14ac:dyDescent="0.3">
      <c r="A721" s="5" t="s">
        <v>46</v>
      </c>
      <c r="B721" s="6">
        <v>40251</v>
      </c>
      <c r="C721" s="5">
        <v>12</v>
      </c>
      <c r="D721" s="5">
        <v>3</v>
      </c>
      <c r="E721" s="5">
        <v>2010</v>
      </c>
      <c r="F721" s="5" t="s">
        <v>31</v>
      </c>
      <c r="G721" s="5" t="s">
        <v>7</v>
      </c>
      <c r="H721" s="7">
        <v>66822</v>
      </c>
      <c r="I721" s="7">
        <v>80532</v>
      </c>
      <c r="J721" s="7">
        <v>13710</v>
      </c>
      <c r="K721" s="8">
        <v>0.20517194935799588</v>
      </c>
    </row>
    <row r="722" spans="1:11" x14ac:dyDescent="0.3">
      <c r="A722" s="5" t="s">
        <v>46</v>
      </c>
      <c r="B722" s="6">
        <v>40251</v>
      </c>
      <c r="C722" s="5">
        <v>12</v>
      </c>
      <c r="D722" s="5">
        <v>3</v>
      </c>
      <c r="E722" s="5">
        <v>2010</v>
      </c>
      <c r="F722" s="5" t="s">
        <v>33</v>
      </c>
      <c r="G722" s="5" t="s">
        <v>7</v>
      </c>
      <c r="H722" s="7">
        <v>42533</v>
      </c>
      <c r="I722" s="7">
        <v>85924</v>
      </c>
      <c r="J722" s="7">
        <v>43391</v>
      </c>
      <c r="K722" s="8">
        <v>1.0201725718853596</v>
      </c>
    </row>
    <row r="723" spans="1:11" x14ac:dyDescent="0.3">
      <c r="A723" s="5" t="s">
        <v>46</v>
      </c>
      <c r="B723" s="6">
        <v>40251</v>
      </c>
      <c r="C723" s="5">
        <v>12</v>
      </c>
      <c r="D723" s="5">
        <v>3</v>
      </c>
      <c r="E723" s="5">
        <v>2010</v>
      </c>
      <c r="F723" s="5" t="s">
        <v>35</v>
      </c>
      <c r="G723" s="5" t="s">
        <v>11</v>
      </c>
      <c r="H723" s="7">
        <v>2997</v>
      </c>
      <c r="I723" s="7">
        <v>3713</v>
      </c>
      <c r="J723" s="7">
        <v>716</v>
      </c>
      <c r="K723" s="8">
        <v>0.23890557223890557</v>
      </c>
    </row>
    <row r="724" spans="1:11" x14ac:dyDescent="0.3">
      <c r="A724" s="5" t="s">
        <v>46</v>
      </c>
      <c r="B724" s="6">
        <v>40251</v>
      </c>
      <c r="C724" s="5">
        <v>12</v>
      </c>
      <c r="D724" s="5">
        <v>3</v>
      </c>
      <c r="E724" s="5">
        <v>2010</v>
      </c>
      <c r="F724" s="5" t="s">
        <v>36</v>
      </c>
      <c r="G724" s="5" t="s">
        <v>11</v>
      </c>
      <c r="H724" s="7">
        <v>123548</v>
      </c>
      <c r="I724" s="7">
        <v>130204</v>
      </c>
      <c r="J724" s="7">
        <v>6656</v>
      </c>
      <c r="K724" s="8">
        <v>5.387379803800952E-2</v>
      </c>
    </row>
    <row r="725" spans="1:11" x14ac:dyDescent="0.3">
      <c r="A725" s="5" t="s">
        <v>46</v>
      </c>
      <c r="B725" s="6">
        <v>40251</v>
      </c>
      <c r="C725" s="5">
        <v>12</v>
      </c>
      <c r="D725" s="5">
        <v>3</v>
      </c>
      <c r="E725" s="5">
        <v>2010</v>
      </c>
      <c r="F725" s="5" t="s">
        <v>37</v>
      </c>
      <c r="G725" s="5" t="s">
        <v>11</v>
      </c>
      <c r="H725" s="7">
        <v>203912</v>
      </c>
      <c r="I725" s="7">
        <v>218474</v>
      </c>
      <c r="J725" s="7">
        <v>14562</v>
      </c>
      <c r="K725" s="8">
        <v>7.1413158617442823E-2</v>
      </c>
    </row>
    <row r="726" spans="1:11" x14ac:dyDescent="0.3">
      <c r="A726" s="5" t="s">
        <v>46</v>
      </c>
      <c r="B726" s="6">
        <v>40251</v>
      </c>
      <c r="C726" s="5">
        <v>12</v>
      </c>
      <c r="D726" s="5">
        <v>3</v>
      </c>
      <c r="E726" s="5">
        <v>2010</v>
      </c>
      <c r="F726" s="5" t="s">
        <v>38</v>
      </c>
      <c r="G726" s="5" t="s">
        <v>11</v>
      </c>
      <c r="H726" s="7">
        <v>296422</v>
      </c>
      <c r="I726" s="7">
        <v>308068</v>
      </c>
      <c r="J726" s="7">
        <v>11646</v>
      </c>
      <c r="K726" s="8">
        <v>3.9288581819163219E-2</v>
      </c>
    </row>
    <row r="727" spans="1:11" x14ac:dyDescent="0.3">
      <c r="A727" s="5" t="s">
        <v>46</v>
      </c>
      <c r="B727" s="6">
        <v>40252</v>
      </c>
      <c r="C727" s="5">
        <v>12</v>
      </c>
      <c r="D727" s="5">
        <v>3</v>
      </c>
      <c r="E727" s="5">
        <v>2010</v>
      </c>
      <c r="F727" s="5" t="s">
        <v>14</v>
      </c>
      <c r="G727" s="5" t="s">
        <v>6</v>
      </c>
      <c r="H727" s="7">
        <v>3315</v>
      </c>
      <c r="I727" s="7">
        <v>4065</v>
      </c>
      <c r="J727" s="7">
        <v>750</v>
      </c>
      <c r="K727" s="8">
        <v>0.22624434389140272</v>
      </c>
    </row>
    <row r="728" spans="1:11" x14ac:dyDescent="0.3">
      <c r="A728" s="5" t="s">
        <v>46</v>
      </c>
      <c r="B728" s="6">
        <v>40252</v>
      </c>
      <c r="C728" s="5">
        <v>12</v>
      </c>
      <c r="D728" s="5">
        <v>3</v>
      </c>
      <c r="E728" s="5">
        <v>2010</v>
      </c>
      <c r="F728" s="5" t="s">
        <v>15</v>
      </c>
      <c r="G728" s="5" t="s">
        <v>6</v>
      </c>
      <c r="H728" s="7">
        <v>119547</v>
      </c>
      <c r="I728" s="7">
        <v>146989</v>
      </c>
      <c r="J728" s="7">
        <v>27442</v>
      </c>
      <c r="K728" s="8">
        <v>0.22954988414598443</v>
      </c>
    </row>
    <row r="729" spans="1:11" x14ac:dyDescent="0.3">
      <c r="A729" s="5" t="s">
        <v>46</v>
      </c>
      <c r="B729" s="6">
        <v>40252</v>
      </c>
      <c r="C729" s="5">
        <v>12</v>
      </c>
      <c r="D729" s="5">
        <v>3</v>
      </c>
      <c r="E729" s="5">
        <v>2010</v>
      </c>
      <c r="F729" s="5" t="s">
        <v>16</v>
      </c>
      <c r="G729" s="5" t="s">
        <v>6</v>
      </c>
      <c r="H729" s="7">
        <v>64474</v>
      </c>
      <c r="I729" s="7">
        <v>72970</v>
      </c>
      <c r="J729" s="7">
        <v>8496</v>
      </c>
      <c r="K729" s="8">
        <v>0.13177404845364021</v>
      </c>
    </row>
    <row r="730" spans="1:11" x14ac:dyDescent="0.3">
      <c r="A730" s="5" t="s">
        <v>46</v>
      </c>
      <c r="B730" s="6">
        <v>40252</v>
      </c>
      <c r="C730" s="5">
        <v>12</v>
      </c>
      <c r="D730" s="5">
        <v>3</v>
      </c>
      <c r="E730" s="5">
        <v>2010</v>
      </c>
      <c r="F730" s="5" t="s">
        <v>17</v>
      </c>
      <c r="G730" s="5" t="s">
        <v>6</v>
      </c>
      <c r="H730" s="7">
        <v>435</v>
      </c>
      <c r="I730" s="7">
        <v>500</v>
      </c>
      <c r="J730" s="7">
        <v>65</v>
      </c>
      <c r="K730" s="8">
        <v>0.14942528735632185</v>
      </c>
    </row>
    <row r="731" spans="1:11" x14ac:dyDescent="0.3">
      <c r="A731" s="5" t="s">
        <v>46</v>
      </c>
      <c r="B731" s="6">
        <v>40252</v>
      </c>
      <c r="C731" s="5">
        <v>12</v>
      </c>
      <c r="D731" s="5">
        <v>3</v>
      </c>
      <c r="E731" s="5">
        <v>2010</v>
      </c>
      <c r="F731" s="5" t="s">
        <v>18</v>
      </c>
      <c r="G731" s="5" t="s">
        <v>6</v>
      </c>
      <c r="H731" s="7">
        <v>18122</v>
      </c>
      <c r="I731" s="7">
        <v>20413</v>
      </c>
      <c r="J731" s="7">
        <v>2291</v>
      </c>
      <c r="K731" s="8">
        <v>0.1264209248427326</v>
      </c>
    </row>
    <row r="732" spans="1:11" x14ac:dyDescent="0.3">
      <c r="A732" s="5" t="s">
        <v>46</v>
      </c>
      <c r="B732" s="6">
        <v>40252</v>
      </c>
      <c r="C732" s="5">
        <v>12</v>
      </c>
      <c r="D732" s="5">
        <v>3</v>
      </c>
      <c r="E732" s="5">
        <v>2010</v>
      </c>
      <c r="F732" s="5" t="s">
        <v>19</v>
      </c>
      <c r="G732" s="5" t="s">
        <v>5</v>
      </c>
      <c r="H732" s="7">
        <v>89424</v>
      </c>
      <c r="I732" s="7">
        <v>100524</v>
      </c>
      <c r="J732" s="7">
        <v>11100</v>
      </c>
      <c r="K732" s="8">
        <v>0.12412775093934514</v>
      </c>
    </row>
    <row r="733" spans="1:11" x14ac:dyDescent="0.3">
      <c r="A733" s="5" t="s">
        <v>46</v>
      </c>
      <c r="B733" s="6">
        <v>40252</v>
      </c>
      <c r="C733" s="5">
        <v>12</v>
      </c>
      <c r="D733" s="5">
        <v>3</v>
      </c>
      <c r="E733" s="5">
        <v>2010</v>
      </c>
      <c r="F733" s="5" t="s">
        <v>5</v>
      </c>
      <c r="G733" s="5" t="s">
        <v>5</v>
      </c>
      <c r="H733" s="7">
        <v>243047</v>
      </c>
      <c r="I733" s="7">
        <v>253607</v>
      </c>
      <c r="J733" s="7">
        <v>10560</v>
      </c>
      <c r="K733" s="8">
        <v>4.3448386526062859E-2</v>
      </c>
    </row>
    <row r="734" spans="1:11" x14ac:dyDescent="0.3">
      <c r="A734" s="5" t="s">
        <v>46</v>
      </c>
      <c r="B734" s="6">
        <v>40252</v>
      </c>
      <c r="C734" s="5">
        <v>12</v>
      </c>
      <c r="D734" s="5">
        <v>3</v>
      </c>
      <c r="E734" s="5">
        <v>2010</v>
      </c>
      <c r="F734" s="5" t="s">
        <v>20</v>
      </c>
      <c r="G734" s="5" t="s">
        <v>5</v>
      </c>
      <c r="H734" s="7">
        <v>68299</v>
      </c>
      <c r="I734" s="7">
        <v>75546</v>
      </c>
      <c r="J734" s="7">
        <v>7247</v>
      </c>
      <c r="K734" s="8">
        <v>0.10610697081948491</v>
      </c>
    </row>
    <row r="735" spans="1:11" x14ac:dyDescent="0.3">
      <c r="A735" s="5" t="s">
        <v>46</v>
      </c>
      <c r="B735" s="6">
        <v>40252</v>
      </c>
      <c r="C735" s="5">
        <v>12</v>
      </c>
      <c r="D735" s="5">
        <v>3</v>
      </c>
      <c r="E735" s="5">
        <v>2010</v>
      </c>
      <c r="F735" s="5" t="s">
        <v>21</v>
      </c>
      <c r="G735" s="5" t="s">
        <v>5</v>
      </c>
      <c r="H735" s="7">
        <v>71274</v>
      </c>
      <c r="I735" s="7">
        <v>76929</v>
      </c>
      <c r="J735" s="7">
        <v>5655</v>
      </c>
      <c r="K735" s="8">
        <v>7.9341695428908163E-2</v>
      </c>
    </row>
    <row r="736" spans="1:11" x14ac:dyDescent="0.3">
      <c r="A736" s="5" t="s">
        <v>46</v>
      </c>
      <c r="B736" s="6">
        <v>40252</v>
      </c>
      <c r="C736" s="5">
        <v>12</v>
      </c>
      <c r="D736" s="5">
        <v>3</v>
      </c>
      <c r="E736" s="5">
        <v>2010</v>
      </c>
      <c r="F736" s="5" t="s">
        <v>22</v>
      </c>
      <c r="G736" s="5" t="s">
        <v>8</v>
      </c>
      <c r="H736" s="7">
        <v>261795</v>
      </c>
      <c r="I736" s="7">
        <v>280302</v>
      </c>
      <c r="J736" s="7">
        <v>18507</v>
      </c>
      <c r="K736" s="8">
        <v>7.0692717584369444E-2</v>
      </c>
    </row>
    <row r="737" spans="1:11" x14ac:dyDescent="0.3">
      <c r="A737" s="5" t="s">
        <v>46</v>
      </c>
      <c r="B737" s="6">
        <v>40252</v>
      </c>
      <c r="C737" s="5">
        <v>12</v>
      </c>
      <c r="D737" s="5">
        <v>3</v>
      </c>
      <c r="E737" s="5">
        <v>2010</v>
      </c>
      <c r="F737" s="5" t="s">
        <v>23</v>
      </c>
      <c r="G737" s="5" t="s">
        <v>8</v>
      </c>
      <c r="H737" s="7">
        <v>169603</v>
      </c>
      <c r="I737" s="7">
        <v>178336</v>
      </c>
      <c r="J737" s="7">
        <v>8733</v>
      </c>
      <c r="K737" s="8">
        <v>5.1490834478163709E-2</v>
      </c>
    </row>
    <row r="738" spans="1:11" x14ac:dyDescent="0.3">
      <c r="A738" s="5" t="s">
        <v>46</v>
      </c>
      <c r="B738" s="6">
        <v>40252</v>
      </c>
      <c r="C738" s="5">
        <v>12</v>
      </c>
      <c r="D738" s="5">
        <v>3</v>
      </c>
      <c r="E738" s="5">
        <v>2010</v>
      </c>
      <c r="F738" s="5" t="s">
        <v>24</v>
      </c>
      <c r="G738" s="5" t="s">
        <v>8</v>
      </c>
      <c r="H738" s="7">
        <v>99457</v>
      </c>
      <c r="I738" s="7">
        <v>107353</v>
      </c>
      <c r="J738" s="7">
        <v>7896</v>
      </c>
      <c r="K738" s="8">
        <v>7.9391093638456825E-2</v>
      </c>
    </row>
    <row r="739" spans="1:11" x14ac:dyDescent="0.3">
      <c r="A739" s="5" t="s">
        <v>46</v>
      </c>
      <c r="B739" s="6">
        <v>40252</v>
      </c>
      <c r="C739" s="5">
        <v>12</v>
      </c>
      <c r="D739" s="5">
        <v>3</v>
      </c>
      <c r="E739" s="5">
        <v>2010</v>
      </c>
      <c r="F739" s="5" t="s">
        <v>25</v>
      </c>
      <c r="G739" s="5" t="s">
        <v>8</v>
      </c>
      <c r="H739" s="7">
        <v>11344</v>
      </c>
      <c r="I739" s="7">
        <v>11951</v>
      </c>
      <c r="J739" s="7">
        <v>607</v>
      </c>
      <c r="K739" s="8">
        <v>5.3508462623413258E-2</v>
      </c>
    </row>
    <row r="740" spans="1:11" x14ac:dyDescent="0.3">
      <c r="A740" s="5" t="s">
        <v>46</v>
      </c>
      <c r="B740" s="6">
        <v>40252</v>
      </c>
      <c r="C740" s="5">
        <v>12</v>
      </c>
      <c r="D740" s="5">
        <v>3</v>
      </c>
      <c r="E740" s="5">
        <v>2010</v>
      </c>
      <c r="F740" s="5" t="s">
        <v>26</v>
      </c>
      <c r="G740" s="5" t="s">
        <v>10</v>
      </c>
      <c r="H740" s="7">
        <v>11894</v>
      </c>
      <c r="I740" s="7">
        <v>13291</v>
      </c>
      <c r="J740" s="7">
        <v>1397</v>
      </c>
      <c r="K740" s="8">
        <v>0.117454178577434</v>
      </c>
    </row>
    <row r="741" spans="1:11" x14ac:dyDescent="0.3">
      <c r="A741" s="5" t="s">
        <v>46</v>
      </c>
      <c r="B741" s="6">
        <v>40252</v>
      </c>
      <c r="C741" s="5">
        <v>12</v>
      </c>
      <c r="D741" s="5">
        <v>3</v>
      </c>
      <c r="E741" s="5">
        <v>2010</v>
      </c>
      <c r="F741" s="5" t="s">
        <v>27</v>
      </c>
      <c r="G741" s="5" t="s">
        <v>10</v>
      </c>
      <c r="H741" s="7">
        <v>59981</v>
      </c>
      <c r="I741" s="7">
        <v>67795</v>
      </c>
      <c r="J741" s="7">
        <v>7814</v>
      </c>
      <c r="K741" s="8">
        <v>0.13027458695253497</v>
      </c>
    </row>
    <row r="742" spans="1:11" x14ac:dyDescent="0.3">
      <c r="A742" s="5" t="s">
        <v>46</v>
      </c>
      <c r="B742" s="6">
        <v>40252</v>
      </c>
      <c r="C742" s="5">
        <v>12</v>
      </c>
      <c r="D742" s="5">
        <v>3</v>
      </c>
      <c r="E742" s="5">
        <v>2010</v>
      </c>
      <c r="F742" s="5" t="s">
        <v>28</v>
      </c>
      <c r="G742" s="5" t="s">
        <v>10</v>
      </c>
      <c r="H742" s="7">
        <v>63256</v>
      </c>
      <c r="I742" s="7">
        <v>70896</v>
      </c>
      <c r="J742" s="7">
        <v>7640</v>
      </c>
      <c r="K742" s="8">
        <v>0.12077905653218667</v>
      </c>
    </row>
    <row r="743" spans="1:11" x14ac:dyDescent="0.3">
      <c r="A743" s="5" t="s">
        <v>46</v>
      </c>
      <c r="B743" s="6">
        <v>40252</v>
      </c>
      <c r="C743" s="5">
        <v>12</v>
      </c>
      <c r="D743" s="5">
        <v>3</v>
      </c>
      <c r="E743" s="5">
        <v>2010</v>
      </c>
      <c r="F743" s="5" t="s">
        <v>29</v>
      </c>
      <c r="G743" s="5" t="s">
        <v>10</v>
      </c>
      <c r="H743" s="7">
        <v>334111</v>
      </c>
      <c r="I743" s="7">
        <v>368999</v>
      </c>
      <c r="J743" s="7">
        <v>34888</v>
      </c>
      <c r="K743" s="8">
        <v>0.10442038723657707</v>
      </c>
    </row>
    <row r="744" spans="1:11" x14ac:dyDescent="0.3">
      <c r="A744" s="5" t="s">
        <v>46</v>
      </c>
      <c r="B744" s="6">
        <v>40252</v>
      </c>
      <c r="C744" s="5">
        <v>12</v>
      </c>
      <c r="D744" s="5">
        <v>3</v>
      </c>
      <c r="E744" s="5">
        <v>2010</v>
      </c>
      <c r="F744" s="5" t="s">
        <v>30</v>
      </c>
      <c r="G744" s="5" t="s">
        <v>10</v>
      </c>
      <c r="H744" s="7">
        <v>57216</v>
      </c>
      <c r="I744" s="7">
        <v>64864</v>
      </c>
      <c r="J744" s="7">
        <v>7648</v>
      </c>
      <c r="K744" s="8">
        <v>0.13366890380313198</v>
      </c>
    </row>
    <row r="745" spans="1:11" x14ac:dyDescent="0.3">
      <c r="A745" s="5" t="s">
        <v>46</v>
      </c>
      <c r="B745" s="6">
        <v>40252</v>
      </c>
      <c r="C745" s="5">
        <v>12</v>
      </c>
      <c r="D745" s="5">
        <v>3</v>
      </c>
      <c r="E745" s="5">
        <v>2010</v>
      </c>
      <c r="F745" s="5" t="s">
        <v>9</v>
      </c>
      <c r="G745" s="5" t="s">
        <v>9</v>
      </c>
      <c r="H745" s="7">
        <v>347093</v>
      </c>
      <c r="I745" s="7">
        <v>410872</v>
      </c>
      <c r="J745" s="7">
        <v>63779</v>
      </c>
      <c r="K745" s="8">
        <v>0.18375190510900538</v>
      </c>
    </row>
    <row r="746" spans="1:11" x14ac:dyDescent="0.3">
      <c r="A746" s="5" t="s">
        <v>46</v>
      </c>
      <c r="B746" s="6">
        <v>40252</v>
      </c>
      <c r="C746" s="5">
        <v>12</v>
      </c>
      <c r="D746" s="5">
        <v>3</v>
      </c>
      <c r="E746" s="5">
        <v>2010</v>
      </c>
      <c r="F746" s="5" t="s">
        <v>31</v>
      </c>
      <c r="G746" s="5" t="s">
        <v>7</v>
      </c>
      <c r="H746" s="7">
        <v>45158</v>
      </c>
      <c r="I746" s="7">
        <v>57045</v>
      </c>
      <c r="J746" s="7">
        <v>11887</v>
      </c>
      <c r="K746" s="8">
        <v>0.26323132113911157</v>
      </c>
    </row>
    <row r="747" spans="1:11" x14ac:dyDescent="0.3">
      <c r="A747" s="5" t="s">
        <v>46</v>
      </c>
      <c r="B747" s="6">
        <v>40252</v>
      </c>
      <c r="C747" s="5">
        <v>12</v>
      </c>
      <c r="D747" s="5">
        <v>3</v>
      </c>
      <c r="E747" s="5">
        <v>2010</v>
      </c>
      <c r="F747" s="5" t="s">
        <v>33</v>
      </c>
      <c r="G747" s="5" t="s">
        <v>7</v>
      </c>
      <c r="H747" s="7">
        <v>48609</v>
      </c>
      <c r="I747" s="7">
        <v>94509</v>
      </c>
      <c r="J747" s="7">
        <v>45900</v>
      </c>
      <c r="K747" s="8">
        <v>0.94426957970746161</v>
      </c>
    </row>
    <row r="748" spans="1:11" x14ac:dyDescent="0.3">
      <c r="A748" s="5" t="s">
        <v>46</v>
      </c>
      <c r="B748" s="6">
        <v>40252</v>
      </c>
      <c r="C748" s="5">
        <v>12</v>
      </c>
      <c r="D748" s="5">
        <v>3</v>
      </c>
      <c r="E748" s="5">
        <v>2010</v>
      </c>
      <c r="F748" s="5" t="s">
        <v>34</v>
      </c>
      <c r="G748" s="5" t="s">
        <v>7</v>
      </c>
      <c r="H748" s="7">
        <v>10954</v>
      </c>
      <c r="I748" s="7">
        <v>12171</v>
      </c>
      <c r="J748" s="7">
        <v>1217</v>
      </c>
      <c r="K748" s="8">
        <v>0.11110096768303816</v>
      </c>
    </row>
    <row r="749" spans="1:11" x14ac:dyDescent="0.3">
      <c r="A749" s="5" t="s">
        <v>46</v>
      </c>
      <c r="B749" s="6">
        <v>40252</v>
      </c>
      <c r="C749" s="5">
        <v>12</v>
      </c>
      <c r="D749" s="5">
        <v>3</v>
      </c>
      <c r="E749" s="5">
        <v>2010</v>
      </c>
      <c r="F749" s="5" t="s">
        <v>35</v>
      </c>
      <c r="G749" s="5" t="s">
        <v>11</v>
      </c>
      <c r="H749" s="7">
        <v>1783</v>
      </c>
      <c r="I749" s="7">
        <v>2238</v>
      </c>
      <c r="J749" s="7">
        <v>455</v>
      </c>
      <c r="K749" s="8">
        <v>0.25518788558609085</v>
      </c>
    </row>
    <row r="750" spans="1:11" x14ac:dyDescent="0.3">
      <c r="A750" s="5" t="s">
        <v>46</v>
      </c>
      <c r="B750" s="6">
        <v>40252</v>
      </c>
      <c r="C750" s="5">
        <v>12</v>
      </c>
      <c r="D750" s="5">
        <v>3</v>
      </c>
      <c r="E750" s="5">
        <v>2010</v>
      </c>
      <c r="F750" s="5" t="s">
        <v>36</v>
      </c>
      <c r="G750" s="5" t="s">
        <v>11</v>
      </c>
      <c r="H750" s="7">
        <v>90237</v>
      </c>
      <c r="I750" s="7">
        <v>88880</v>
      </c>
      <c r="J750" s="7">
        <v>-1357</v>
      </c>
      <c r="K750" s="8">
        <v>-1.5038177244367609E-2</v>
      </c>
    </row>
    <row r="751" spans="1:11" x14ac:dyDescent="0.3">
      <c r="A751" s="5" t="s">
        <v>46</v>
      </c>
      <c r="B751" s="6">
        <v>40252</v>
      </c>
      <c r="C751" s="5">
        <v>12</v>
      </c>
      <c r="D751" s="5">
        <v>3</v>
      </c>
      <c r="E751" s="5">
        <v>2010</v>
      </c>
      <c r="F751" s="5" t="s">
        <v>37</v>
      </c>
      <c r="G751" s="5" t="s">
        <v>11</v>
      </c>
      <c r="H751" s="7">
        <v>142322</v>
      </c>
      <c r="I751" s="7">
        <v>154191</v>
      </c>
      <c r="J751" s="7">
        <v>11869</v>
      </c>
      <c r="K751" s="8">
        <v>8.339539916527311E-2</v>
      </c>
    </row>
    <row r="752" spans="1:11" x14ac:dyDescent="0.3">
      <c r="A752" s="5" t="s">
        <v>46</v>
      </c>
      <c r="B752" s="6">
        <v>40252</v>
      </c>
      <c r="C752" s="5">
        <v>12</v>
      </c>
      <c r="D752" s="5">
        <v>3</v>
      </c>
      <c r="E752" s="5">
        <v>2010</v>
      </c>
      <c r="F752" s="5" t="s">
        <v>38</v>
      </c>
      <c r="G752" s="5" t="s">
        <v>11</v>
      </c>
      <c r="H752" s="7">
        <v>224923</v>
      </c>
      <c r="I752" s="7">
        <v>226263</v>
      </c>
      <c r="J752" s="7">
        <v>1340</v>
      </c>
      <c r="K752" s="8">
        <v>5.9575943767422633E-3</v>
      </c>
    </row>
    <row r="753" spans="1:11" x14ac:dyDescent="0.3">
      <c r="A753" s="5" t="s">
        <v>46</v>
      </c>
      <c r="B753" s="6">
        <v>40253</v>
      </c>
      <c r="C753" s="5">
        <v>12</v>
      </c>
      <c r="D753" s="5">
        <v>3</v>
      </c>
      <c r="E753" s="5">
        <v>2010</v>
      </c>
      <c r="F753" s="5" t="s">
        <v>14</v>
      </c>
      <c r="G753" s="5" t="s">
        <v>6</v>
      </c>
      <c r="H753" s="7">
        <v>2841.55</v>
      </c>
      <c r="I753" s="7">
        <v>3853.23</v>
      </c>
      <c r="J753" s="7">
        <v>1011.6799999999998</v>
      </c>
      <c r="K753" s="8">
        <v>0.35603103939751185</v>
      </c>
    </row>
    <row r="754" spans="1:11" x14ac:dyDescent="0.3">
      <c r="A754" s="5" t="s">
        <v>46</v>
      </c>
      <c r="B754" s="6">
        <v>40253</v>
      </c>
      <c r="C754" s="5">
        <v>12</v>
      </c>
      <c r="D754" s="5">
        <v>3</v>
      </c>
      <c r="E754" s="5">
        <v>2010</v>
      </c>
      <c r="F754" s="5" t="s">
        <v>15</v>
      </c>
      <c r="G754" s="5" t="s">
        <v>6</v>
      </c>
      <c r="H754" s="7">
        <v>84275.87</v>
      </c>
      <c r="I754" s="7">
        <v>107098.21</v>
      </c>
      <c r="J754" s="7">
        <v>22822.340000000011</v>
      </c>
      <c r="K754" s="8">
        <v>0.27080515454779658</v>
      </c>
    </row>
    <row r="755" spans="1:11" x14ac:dyDescent="0.3">
      <c r="A755" s="5" t="s">
        <v>46</v>
      </c>
      <c r="B755" s="6">
        <v>40253</v>
      </c>
      <c r="C755" s="5">
        <v>12</v>
      </c>
      <c r="D755" s="5">
        <v>3</v>
      </c>
      <c r="E755" s="5">
        <v>2010</v>
      </c>
      <c r="F755" s="5" t="s">
        <v>16</v>
      </c>
      <c r="G755" s="5" t="s">
        <v>6</v>
      </c>
      <c r="H755" s="7">
        <v>59530.91</v>
      </c>
      <c r="I755" s="7">
        <v>65616.39</v>
      </c>
      <c r="J755" s="7">
        <v>6085.4799999999959</v>
      </c>
      <c r="K755" s="8">
        <v>0.10222386991900503</v>
      </c>
    </row>
    <row r="756" spans="1:11" x14ac:dyDescent="0.3">
      <c r="A756" s="5" t="s">
        <v>46</v>
      </c>
      <c r="B756" s="6">
        <v>40253</v>
      </c>
      <c r="C756" s="5">
        <v>12</v>
      </c>
      <c r="D756" s="5">
        <v>3</v>
      </c>
      <c r="E756" s="5">
        <v>2010</v>
      </c>
      <c r="F756" s="5" t="s">
        <v>17</v>
      </c>
      <c r="G756" s="5" t="s">
        <v>6</v>
      </c>
      <c r="H756" s="7">
        <v>744</v>
      </c>
      <c r="I756" s="7">
        <v>838.92</v>
      </c>
      <c r="J756" s="7">
        <v>94.919999999999959</v>
      </c>
      <c r="K756" s="8">
        <v>0.12758064516129028</v>
      </c>
    </row>
    <row r="757" spans="1:11" x14ac:dyDescent="0.3">
      <c r="A757" s="5" t="s">
        <v>46</v>
      </c>
      <c r="B757" s="6">
        <v>40253</v>
      </c>
      <c r="C757" s="5">
        <v>12</v>
      </c>
      <c r="D757" s="5">
        <v>3</v>
      </c>
      <c r="E757" s="5">
        <v>2010</v>
      </c>
      <c r="F757" s="5" t="s">
        <v>18</v>
      </c>
      <c r="G757" s="5" t="s">
        <v>6</v>
      </c>
      <c r="H757" s="7">
        <v>8532.6</v>
      </c>
      <c r="I757" s="7">
        <v>9391.14</v>
      </c>
      <c r="J757" s="7">
        <v>858.53999999999905</v>
      </c>
      <c r="K757" s="8">
        <v>0.10061880317839803</v>
      </c>
    </row>
    <row r="758" spans="1:11" x14ac:dyDescent="0.3">
      <c r="A758" s="5" t="s">
        <v>46</v>
      </c>
      <c r="B758" s="6">
        <v>40253</v>
      </c>
      <c r="C758" s="5">
        <v>12</v>
      </c>
      <c r="D758" s="5">
        <v>3</v>
      </c>
      <c r="E758" s="5">
        <v>2010</v>
      </c>
      <c r="F758" s="5" t="s">
        <v>19</v>
      </c>
      <c r="G758" s="5" t="s">
        <v>5</v>
      </c>
      <c r="H758" s="7">
        <v>73948.899999999994</v>
      </c>
      <c r="I758" s="7">
        <v>82557.7</v>
      </c>
      <c r="J758" s="7">
        <v>8608.8000000000029</v>
      </c>
      <c r="K758" s="8">
        <v>0.1164155247745403</v>
      </c>
    </row>
    <row r="759" spans="1:11" x14ac:dyDescent="0.3">
      <c r="A759" s="5" t="s">
        <v>46</v>
      </c>
      <c r="B759" s="6">
        <v>40253</v>
      </c>
      <c r="C759" s="5">
        <v>12</v>
      </c>
      <c r="D759" s="5">
        <v>3</v>
      </c>
      <c r="E759" s="5">
        <v>2010</v>
      </c>
      <c r="F759" s="5" t="s">
        <v>5</v>
      </c>
      <c r="G759" s="5" t="s">
        <v>5</v>
      </c>
      <c r="H759" s="7">
        <v>189371.02</v>
      </c>
      <c r="I759" s="7">
        <v>205264.43</v>
      </c>
      <c r="J759" s="7">
        <v>15893.410000000003</v>
      </c>
      <c r="K759" s="8">
        <v>8.3927361219261559E-2</v>
      </c>
    </row>
    <row r="760" spans="1:11" x14ac:dyDescent="0.3">
      <c r="A760" s="5" t="s">
        <v>46</v>
      </c>
      <c r="B760" s="6">
        <v>40253</v>
      </c>
      <c r="C760" s="5">
        <v>12</v>
      </c>
      <c r="D760" s="5">
        <v>3</v>
      </c>
      <c r="E760" s="5">
        <v>2010</v>
      </c>
      <c r="F760" s="5" t="s">
        <v>20</v>
      </c>
      <c r="G760" s="5" t="s">
        <v>5</v>
      </c>
      <c r="H760" s="7">
        <v>44972.21</v>
      </c>
      <c r="I760" s="7">
        <v>50223.87</v>
      </c>
      <c r="J760" s="7">
        <v>5251.6600000000035</v>
      </c>
      <c r="K760" s="8">
        <v>0.11677567101994774</v>
      </c>
    </row>
    <row r="761" spans="1:11" x14ac:dyDescent="0.3">
      <c r="A761" s="5" t="s">
        <v>46</v>
      </c>
      <c r="B761" s="6">
        <v>40253</v>
      </c>
      <c r="C761" s="5">
        <v>12</v>
      </c>
      <c r="D761" s="5">
        <v>3</v>
      </c>
      <c r="E761" s="5">
        <v>2010</v>
      </c>
      <c r="F761" s="5" t="s">
        <v>21</v>
      </c>
      <c r="G761" s="5" t="s">
        <v>5</v>
      </c>
      <c r="H761" s="7">
        <v>67126.929999999993</v>
      </c>
      <c r="I761" s="7">
        <v>73004.539999999994</v>
      </c>
      <c r="J761" s="7">
        <v>5877.6100000000006</v>
      </c>
      <c r="K761" s="8">
        <v>8.7559642605434224E-2</v>
      </c>
    </row>
    <row r="762" spans="1:11" x14ac:dyDescent="0.3">
      <c r="A762" s="5" t="s">
        <v>46</v>
      </c>
      <c r="B762" s="6">
        <v>40253</v>
      </c>
      <c r="C762" s="5">
        <v>12</v>
      </c>
      <c r="D762" s="5">
        <v>3</v>
      </c>
      <c r="E762" s="5">
        <v>2010</v>
      </c>
      <c r="F762" s="5" t="s">
        <v>22</v>
      </c>
      <c r="G762" s="5" t="s">
        <v>8</v>
      </c>
      <c r="H762" s="7">
        <v>206294.96</v>
      </c>
      <c r="I762" s="7">
        <v>220652.46</v>
      </c>
      <c r="J762" s="7">
        <v>14357.5</v>
      </c>
      <c r="K762" s="8">
        <v>6.9596949920637904E-2</v>
      </c>
    </row>
    <row r="763" spans="1:11" x14ac:dyDescent="0.3">
      <c r="A763" s="5" t="s">
        <v>46</v>
      </c>
      <c r="B763" s="6">
        <v>40253</v>
      </c>
      <c r="C763" s="5">
        <v>12</v>
      </c>
      <c r="D763" s="5">
        <v>3</v>
      </c>
      <c r="E763" s="5">
        <v>2010</v>
      </c>
      <c r="F763" s="5" t="s">
        <v>23</v>
      </c>
      <c r="G763" s="5" t="s">
        <v>8</v>
      </c>
      <c r="H763" s="7">
        <v>97813.27</v>
      </c>
      <c r="I763" s="7">
        <v>102733.7</v>
      </c>
      <c r="J763" s="7">
        <v>4920.429999999993</v>
      </c>
      <c r="K763" s="8">
        <v>5.030431964906186E-2</v>
      </c>
    </row>
    <row r="764" spans="1:11" x14ac:dyDescent="0.3">
      <c r="A764" s="5" t="s">
        <v>46</v>
      </c>
      <c r="B764" s="6">
        <v>40253</v>
      </c>
      <c r="C764" s="5">
        <v>12</v>
      </c>
      <c r="D764" s="5">
        <v>3</v>
      </c>
      <c r="E764" s="5">
        <v>2010</v>
      </c>
      <c r="F764" s="5" t="s">
        <v>24</v>
      </c>
      <c r="G764" s="5" t="s">
        <v>8</v>
      </c>
      <c r="H764" s="7">
        <v>98083</v>
      </c>
      <c r="I764" s="7">
        <v>105329.11</v>
      </c>
      <c r="J764" s="7">
        <v>7246.1100000000006</v>
      </c>
      <c r="K764" s="8">
        <v>7.3877328385143201E-2</v>
      </c>
    </row>
    <row r="765" spans="1:11" x14ac:dyDescent="0.3">
      <c r="A765" s="5" t="s">
        <v>46</v>
      </c>
      <c r="B765" s="6">
        <v>40253</v>
      </c>
      <c r="C765" s="5">
        <v>12</v>
      </c>
      <c r="D765" s="5">
        <v>3</v>
      </c>
      <c r="E765" s="5">
        <v>2010</v>
      </c>
      <c r="F765" s="5" t="s">
        <v>25</v>
      </c>
      <c r="G765" s="5" t="s">
        <v>8</v>
      </c>
      <c r="H765" s="7">
        <v>12206</v>
      </c>
      <c r="I765" s="7">
        <v>12841.98</v>
      </c>
      <c r="J765" s="7">
        <v>635.97999999999956</v>
      </c>
      <c r="K765" s="8">
        <v>5.2103883336064194E-2</v>
      </c>
    </row>
    <row r="766" spans="1:11" x14ac:dyDescent="0.3">
      <c r="A766" s="5" t="s">
        <v>46</v>
      </c>
      <c r="B766" s="6">
        <v>40253</v>
      </c>
      <c r="C766" s="5">
        <v>12</v>
      </c>
      <c r="D766" s="5">
        <v>3</v>
      </c>
      <c r="E766" s="5">
        <v>2010</v>
      </c>
      <c r="F766" s="5" t="s">
        <v>26</v>
      </c>
      <c r="G766" s="5" t="s">
        <v>10</v>
      </c>
      <c r="H766" s="7">
        <v>5238.45</v>
      </c>
      <c r="I766" s="7">
        <v>5820.8</v>
      </c>
      <c r="J766" s="7">
        <v>582.35000000000036</v>
      </c>
      <c r="K766" s="8">
        <v>0.11116837995972098</v>
      </c>
    </row>
    <row r="767" spans="1:11" x14ac:dyDescent="0.3">
      <c r="A767" s="5" t="s">
        <v>46</v>
      </c>
      <c r="B767" s="6">
        <v>40253</v>
      </c>
      <c r="C767" s="5">
        <v>12</v>
      </c>
      <c r="D767" s="5">
        <v>3</v>
      </c>
      <c r="E767" s="5">
        <v>2010</v>
      </c>
      <c r="F767" s="5" t="s">
        <v>27</v>
      </c>
      <c r="G767" s="5" t="s">
        <v>10</v>
      </c>
      <c r="H767" s="7">
        <v>38828.089999999997</v>
      </c>
      <c r="I767" s="7">
        <v>44006.66</v>
      </c>
      <c r="J767" s="7">
        <v>5178.570000000007</v>
      </c>
      <c r="K767" s="8">
        <v>0.13337174195279777</v>
      </c>
    </row>
    <row r="768" spans="1:11" x14ac:dyDescent="0.3">
      <c r="A768" s="5" t="s">
        <v>46</v>
      </c>
      <c r="B768" s="6">
        <v>40253</v>
      </c>
      <c r="C768" s="5">
        <v>12</v>
      </c>
      <c r="D768" s="5">
        <v>3</v>
      </c>
      <c r="E768" s="5">
        <v>2010</v>
      </c>
      <c r="F768" s="5" t="s">
        <v>28</v>
      </c>
      <c r="G768" s="5" t="s">
        <v>10</v>
      </c>
      <c r="H768" s="7">
        <v>63265.03</v>
      </c>
      <c r="I768" s="7">
        <v>68783.73</v>
      </c>
      <c r="J768" s="7">
        <v>5518.6999999999971</v>
      </c>
      <c r="K768" s="8">
        <v>8.7231445239178695E-2</v>
      </c>
    </row>
    <row r="769" spans="1:11" x14ac:dyDescent="0.3">
      <c r="A769" s="5" t="s">
        <v>46</v>
      </c>
      <c r="B769" s="6">
        <v>40253</v>
      </c>
      <c r="C769" s="5">
        <v>12</v>
      </c>
      <c r="D769" s="5">
        <v>3</v>
      </c>
      <c r="E769" s="5">
        <v>2010</v>
      </c>
      <c r="F769" s="5" t="s">
        <v>29</v>
      </c>
      <c r="G769" s="5" t="s">
        <v>10</v>
      </c>
      <c r="H769" s="7">
        <v>263216.86</v>
      </c>
      <c r="I769" s="7">
        <v>288861.57</v>
      </c>
      <c r="J769" s="7">
        <v>25644.710000000021</v>
      </c>
      <c r="K769" s="8">
        <v>9.7428067487774231E-2</v>
      </c>
    </row>
    <row r="770" spans="1:11" x14ac:dyDescent="0.3">
      <c r="A770" s="5" t="s">
        <v>46</v>
      </c>
      <c r="B770" s="6">
        <v>40253</v>
      </c>
      <c r="C770" s="5">
        <v>12</v>
      </c>
      <c r="D770" s="5">
        <v>3</v>
      </c>
      <c r="E770" s="5">
        <v>2010</v>
      </c>
      <c r="F770" s="5" t="s">
        <v>30</v>
      </c>
      <c r="G770" s="5" t="s">
        <v>10</v>
      </c>
      <c r="H770" s="7">
        <v>51087.78</v>
      </c>
      <c r="I770" s="7">
        <v>57920.25</v>
      </c>
      <c r="J770" s="7">
        <v>6832.4700000000012</v>
      </c>
      <c r="K770" s="8">
        <v>0.13373981018552775</v>
      </c>
    </row>
    <row r="771" spans="1:11" x14ac:dyDescent="0.3">
      <c r="A771" s="5" t="s">
        <v>46</v>
      </c>
      <c r="B771" s="6">
        <v>40253</v>
      </c>
      <c r="C771" s="5">
        <v>12</v>
      </c>
      <c r="D771" s="5">
        <v>3</v>
      </c>
      <c r="E771" s="5">
        <v>2010</v>
      </c>
      <c r="F771" s="5" t="s">
        <v>9</v>
      </c>
      <c r="G771" s="5" t="s">
        <v>9</v>
      </c>
      <c r="H771" s="7">
        <v>276988.5</v>
      </c>
      <c r="I771" s="7">
        <v>328044.27</v>
      </c>
      <c r="J771" s="7">
        <v>51055.770000000019</v>
      </c>
      <c r="K771" s="8">
        <v>0.18432451166745195</v>
      </c>
    </row>
    <row r="772" spans="1:11" x14ac:dyDescent="0.3">
      <c r="A772" s="5" t="s">
        <v>46</v>
      </c>
      <c r="B772" s="6">
        <v>40253</v>
      </c>
      <c r="C772" s="5">
        <v>12</v>
      </c>
      <c r="D772" s="5">
        <v>3</v>
      </c>
      <c r="E772" s="5">
        <v>2010</v>
      </c>
      <c r="F772" s="5" t="s">
        <v>31</v>
      </c>
      <c r="G772" s="5" t="s">
        <v>7</v>
      </c>
      <c r="H772" s="7">
        <v>28974.59</v>
      </c>
      <c r="I772" s="7">
        <v>35322.74</v>
      </c>
      <c r="J772" s="7">
        <v>6348.1499999999978</v>
      </c>
      <c r="K772" s="8">
        <v>0.21909369554495844</v>
      </c>
    </row>
    <row r="773" spans="1:11" x14ac:dyDescent="0.3">
      <c r="A773" s="5" t="s">
        <v>46</v>
      </c>
      <c r="B773" s="6">
        <v>40253</v>
      </c>
      <c r="C773" s="5">
        <v>12</v>
      </c>
      <c r="D773" s="5">
        <v>3</v>
      </c>
      <c r="E773" s="5">
        <v>2010</v>
      </c>
      <c r="F773" s="5" t="s">
        <v>33</v>
      </c>
      <c r="G773" s="5" t="s">
        <v>7</v>
      </c>
      <c r="H773" s="7">
        <v>31823.63</v>
      </c>
      <c r="I773" s="7">
        <v>61443.29</v>
      </c>
      <c r="J773" s="7">
        <v>29619.66</v>
      </c>
      <c r="K773" s="8">
        <v>0.93074422999513251</v>
      </c>
    </row>
    <row r="774" spans="1:11" x14ac:dyDescent="0.3">
      <c r="A774" s="5" t="s">
        <v>46</v>
      </c>
      <c r="B774" s="6">
        <v>40253</v>
      </c>
      <c r="C774" s="5">
        <v>12</v>
      </c>
      <c r="D774" s="5">
        <v>3</v>
      </c>
      <c r="E774" s="5">
        <v>2010</v>
      </c>
      <c r="F774" s="5" t="s">
        <v>34</v>
      </c>
      <c r="G774" s="5" t="s">
        <v>7</v>
      </c>
      <c r="H774" s="7">
        <v>3522.31</v>
      </c>
      <c r="I774" s="7">
        <v>3913.04</v>
      </c>
      <c r="J774" s="7">
        <v>390.73</v>
      </c>
      <c r="K774" s="8">
        <v>0.11093004306832732</v>
      </c>
    </row>
    <row r="775" spans="1:11" x14ac:dyDescent="0.3">
      <c r="A775" s="5" t="s">
        <v>46</v>
      </c>
      <c r="B775" s="6">
        <v>40253</v>
      </c>
      <c r="C775" s="5">
        <v>12</v>
      </c>
      <c r="D775" s="5">
        <v>3</v>
      </c>
      <c r="E775" s="5">
        <v>2010</v>
      </c>
      <c r="F775" s="5" t="s">
        <v>35</v>
      </c>
      <c r="G775" s="5" t="s">
        <v>11</v>
      </c>
      <c r="H775" s="7">
        <v>1110</v>
      </c>
      <c r="I775" s="7">
        <v>1390.06</v>
      </c>
      <c r="J775" s="7">
        <v>280.05999999999995</v>
      </c>
      <c r="K775" s="8">
        <v>0.25230630630630624</v>
      </c>
    </row>
    <row r="776" spans="1:11" x14ac:dyDescent="0.3">
      <c r="A776" s="5" t="s">
        <v>46</v>
      </c>
      <c r="B776" s="6">
        <v>40253</v>
      </c>
      <c r="C776" s="5">
        <v>12</v>
      </c>
      <c r="D776" s="5">
        <v>3</v>
      </c>
      <c r="E776" s="5">
        <v>2010</v>
      </c>
      <c r="F776" s="5" t="s">
        <v>36</v>
      </c>
      <c r="G776" s="5" t="s">
        <v>11</v>
      </c>
      <c r="H776" s="7">
        <v>67505.440000000002</v>
      </c>
      <c r="I776" s="7">
        <v>71387.360000000001</v>
      </c>
      <c r="J776" s="7">
        <v>3881.9199999999983</v>
      </c>
      <c r="K776" s="8">
        <v>5.750529142540213E-2</v>
      </c>
    </row>
    <row r="777" spans="1:11" x14ac:dyDescent="0.3">
      <c r="A777" s="5" t="s">
        <v>46</v>
      </c>
      <c r="B777" s="6">
        <v>40253</v>
      </c>
      <c r="C777" s="5">
        <v>12</v>
      </c>
      <c r="D777" s="5">
        <v>3</v>
      </c>
      <c r="E777" s="5">
        <v>2010</v>
      </c>
      <c r="F777" s="5" t="s">
        <v>37</v>
      </c>
      <c r="G777" s="5" t="s">
        <v>11</v>
      </c>
      <c r="H777" s="7">
        <v>136180.81</v>
      </c>
      <c r="I777" s="7">
        <v>145451.31</v>
      </c>
      <c r="J777" s="7">
        <v>9270.5</v>
      </c>
      <c r="K777" s="8">
        <v>6.8074936549430129E-2</v>
      </c>
    </row>
    <row r="778" spans="1:11" x14ac:dyDescent="0.3">
      <c r="A778" s="5" t="s">
        <v>46</v>
      </c>
      <c r="B778" s="6">
        <v>40253</v>
      </c>
      <c r="C778" s="5">
        <v>12</v>
      </c>
      <c r="D778" s="5">
        <v>3</v>
      </c>
      <c r="E778" s="5">
        <v>2010</v>
      </c>
      <c r="F778" s="5" t="s">
        <v>38</v>
      </c>
      <c r="G778" s="5" t="s">
        <v>11</v>
      </c>
      <c r="H778" s="7">
        <v>141142.94</v>
      </c>
      <c r="I778" s="7">
        <v>145464.32000000001</v>
      </c>
      <c r="J778" s="7">
        <v>4321.3800000000047</v>
      </c>
      <c r="K778" s="8">
        <v>3.0617046803757982E-2</v>
      </c>
    </row>
    <row r="779" spans="1:11" x14ac:dyDescent="0.3">
      <c r="A779" s="5" t="s">
        <v>46</v>
      </c>
      <c r="B779" s="6">
        <v>40254</v>
      </c>
      <c r="C779" s="5">
        <v>12</v>
      </c>
      <c r="D779" s="5">
        <v>3</v>
      </c>
      <c r="E779" s="5">
        <v>2010</v>
      </c>
      <c r="F779" s="5" t="s">
        <v>14</v>
      </c>
      <c r="G779" s="5" t="s">
        <v>6</v>
      </c>
      <c r="H779" s="7">
        <v>8203</v>
      </c>
      <c r="I779" s="7">
        <v>9523</v>
      </c>
      <c r="J779" s="7">
        <v>1320</v>
      </c>
      <c r="K779" s="8">
        <v>0.1609167377788614</v>
      </c>
    </row>
    <row r="780" spans="1:11" x14ac:dyDescent="0.3">
      <c r="A780" s="5" t="s">
        <v>46</v>
      </c>
      <c r="B780" s="6">
        <v>40254</v>
      </c>
      <c r="C780" s="5">
        <v>12</v>
      </c>
      <c r="D780" s="5">
        <v>3</v>
      </c>
      <c r="E780" s="5">
        <v>2010</v>
      </c>
      <c r="F780" s="5" t="s">
        <v>15</v>
      </c>
      <c r="G780" s="5" t="s">
        <v>6</v>
      </c>
      <c r="H780" s="7">
        <v>92660</v>
      </c>
      <c r="I780" s="7">
        <v>118278</v>
      </c>
      <c r="J780" s="7">
        <v>25618</v>
      </c>
      <c r="K780" s="8">
        <v>0.27647312756313402</v>
      </c>
    </row>
    <row r="781" spans="1:11" x14ac:dyDescent="0.3">
      <c r="A781" s="5" t="s">
        <v>46</v>
      </c>
      <c r="B781" s="6">
        <v>40254</v>
      </c>
      <c r="C781" s="5">
        <v>12</v>
      </c>
      <c r="D781" s="5">
        <v>3</v>
      </c>
      <c r="E781" s="5">
        <v>2010</v>
      </c>
      <c r="F781" s="5" t="s">
        <v>16</v>
      </c>
      <c r="G781" s="5" t="s">
        <v>6</v>
      </c>
      <c r="H781" s="7">
        <v>134735</v>
      </c>
      <c r="I781" s="7">
        <v>144340</v>
      </c>
      <c r="J781" s="7">
        <v>9605</v>
      </c>
      <c r="K781" s="8">
        <v>7.1288084016773667E-2</v>
      </c>
    </row>
    <row r="782" spans="1:11" x14ac:dyDescent="0.3">
      <c r="A782" s="5" t="s">
        <v>46</v>
      </c>
      <c r="B782" s="6">
        <v>40254</v>
      </c>
      <c r="C782" s="5">
        <v>12</v>
      </c>
      <c r="D782" s="5">
        <v>3</v>
      </c>
      <c r="E782" s="5">
        <v>2010</v>
      </c>
      <c r="F782" s="5" t="s">
        <v>18</v>
      </c>
      <c r="G782" s="5" t="s">
        <v>6</v>
      </c>
      <c r="H782" s="7">
        <v>3581</v>
      </c>
      <c r="I782" s="7">
        <v>3906</v>
      </c>
      <c r="J782" s="7">
        <v>325</v>
      </c>
      <c r="K782" s="8">
        <v>9.0756771851438142E-2</v>
      </c>
    </row>
    <row r="783" spans="1:11" x14ac:dyDescent="0.3">
      <c r="A783" s="5" t="s">
        <v>46</v>
      </c>
      <c r="B783" s="6">
        <v>40254</v>
      </c>
      <c r="C783" s="5">
        <v>12</v>
      </c>
      <c r="D783" s="5">
        <v>3</v>
      </c>
      <c r="E783" s="5">
        <v>2010</v>
      </c>
      <c r="F783" s="5" t="s">
        <v>19</v>
      </c>
      <c r="G783" s="5" t="s">
        <v>5</v>
      </c>
      <c r="H783" s="7">
        <v>57058</v>
      </c>
      <c r="I783" s="7">
        <v>65387</v>
      </c>
      <c r="J783" s="7">
        <v>8329</v>
      </c>
      <c r="K783" s="8">
        <v>0.14597427179361352</v>
      </c>
    </row>
    <row r="784" spans="1:11" x14ac:dyDescent="0.3">
      <c r="A784" s="5" t="s">
        <v>46</v>
      </c>
      <c r="B784" s="6">
        <v>40254</v>
      </c>
      <c r="C784" s="5">
        <v>12</v>
      </c>
      <c r="D784" s="5">
        <v>3</v>
      </c>
      <c r="E784" s="5">
        <v>2010</v>
      </c>
      <c r="F784" s="5" t="s">
        <v>5</v>
      </c>
      <c r="G784" s="5" t="s">
        <v>5</v>
      </c>
      <c r="H784" s="7">
        <v>248750</v>
      </c>
      <c r="I784" s="7">
        <v>262958</v>
      </c>
      <c r="J784" s="7">
        <v>14208</v>
      </c>
      <c r="K784" s="8">
        <v>5.711758793969849E-2</v>
      </c>
    </row>
    <row r="785" spans="1:11" x14ac:dyDescent="0.3">
      <c r="A785" s="5" t="s">
        <v>46</v>
      </c>
      <c r="B785" s="6">
        <v>40254</v>
      </c>
      <c r="C785" s="5">
        <v>12</v>
      </c>
      <c r="D785" s="5">
        <v>3</v>
      </c>
      <c r="E785" s="5">
        <v>2010</v>
      </c>
      <c r="F785" s="5" t="s">
        <v>20</v>
      </c>
      <c r="G785" s="5" t="s">
        <v>5</v>
      </c>
      <c r="H785" s="7">
        <v>69728</v>
      </c>
      <c r="I785" s="7">
        <v>75804</v>
      </c>
      <c r="J785" s="7">
        <v>6076</v>
      </c>
      <c r="K785" s="8">
        <v>8.7138595686094542E-2</v>
      </c>
    </row>
    <row r="786" spans="1:11" x14ac:dyDescent="0.3">
      <c r="A786" s="5" t="s">
        <v>46</v>
      </c>
      <c r="B786" s="6">
        <v>40254</v>
      </c>
      <c r="C786" s="5">
        <v>12</v>
      </c>
      <c r="D786" s="5">
        <v>3</v>
      </c>
      <c r="E786" s="5">
        <v>2010</v>
      </c>
      <c r="F786" s="5" t="s">
        <v>21</v>
      </c>
      <c r="G786" s="5" t="s">
        <v>5</v>
      </c>
      <c r="H786" s="7">
        <v>69203</v>
      </c>
      <c r="I786" s="7">
        <v>75567</v>
      </c>
      <c r="J786" s="7">
        <v>6364</v>
      </c>
      <c r="K786" s="8">
        <v>9.1961331156163756E-2</v>
      </c>
    </row>
    <row r="787" spans="1:11" x14ac:dyDescent="0.3">
      <c r="A787" s="5" t="s">
        <v>46</v>
      </c>
      <c r="B787" s="6">
        <v>40254</v>
      </c>
      <c r="C787" s="5">
        <v>12</v>
      </c>
      <c r="D787" s="5">
        <v>3</v>
      </c>
      <c r="E787" s="5">
        <v>2010</v>
      </c>
      <c r="F787" s="5" t="s">
        <v>22</v>
      </c>
      <c r="G787" s="5" t="s">
        <v>8</v>
      </c>
      <c r="H787" s="7">
        <v>217560</v>
      </c>
      <c r="I787" s="7">
        <v>237534</v>
      </c>
      <c r="J787" s="7">
        <v>19974</v>
      </c>
      <c r="K787" s="8">
        <v>9.1809156094870378E-2</v>
      </c>
    </row>
    <row r="788" spans="1:11" x14ac:dyDescent="0.3">
      <c r="A788" s="5" t="s">
        <v>46</v>
      </c>
      <c r="B788" s="6">
        <v>40254</v>
      </c>
      <c r="C788" s="5">
        <v>12</v>
      </c>
      <c r="D788" s="5">
        <v>3</v>
      </c>
      <c r="E788" s="5">
        <v>2010</v>
      </c>
      <c r="F788" s="5" t="s">
        <v>23</v>
      </c>
      <c r="G788" s="5" t="s">
        <v>8</v>
      </c>
      <c r="H788" s="7">
        <v>135530</v>
      </c>
      <c r="I788" s="7">
        <v>142201</v>
      </c>
      <c r="J788" s="7">
        <v>6671</v>
      </c>
      <c r="K788" s="8">
        <v>4.9221574559138198E-2</v>
      </c>
    </row>
    <row r="789" spans="1:11" x14ac:dyDescent="0.3">
      <c r="A789" s="5" t="s">
        <v>46</v>
      </c>
      <c r="B789" s="6">
        <v>40254</v>
      </c>
      <c r="C789" s="5">
        <v>12</v>
      </c>
      <c r="D789" s="5">
        <v>3</v>
      </c>
      <c r="E789" s="5">
        <v>2010</v>
      </c>
      <c r="F789" s="5" t="s">
        <v>24</v>
      </c>
      <c r="G789" s="5" t="s">
        <v>8</v>
      </c>
      <c r="H789" s="7">
        <v>121136</v>
      </c>
      <c r="I789" s="7">
        <v>129928</v>
      </c>
      <c r="J789" s="7">
        <v>8792</v>
      </c>
      <c r="K789" s="8">
        <v>7.2579579976225064E-2</v>
      </c>
    </row>
    <row r="790" spans="1:11" x14ac:dyDescent="0.3">
      <c r="A790" s="5" t="s">
        <v>46</v>
      </c>
      <c r="B790" s="6">
        <v>40254</v>
      </c>
      <c r="C790" s="5">
        <v>12</v>
      </c>
      <c r="D790" s="5">
        <v>3</v>
      </c>
      <c r="E790" s="5">
        <v>2010</v>
      </c>
      <c r="F790" s="5" t="s">
        <v>25</v>
      </c>
      <c r="G790" s="5" t="s">
        <v>8</v>
      </c>
      <c r="H790" s="7">
        <v>12214</v>
      </c>
      <c r="I790" s="7">
        <v>12956</v>
      </c>
      <c r="J790" s="7">
        <v>742</v>
      </c>
      <c r="K790" s="8">
        <v>6.0749959063369906E-2</v>
      </c>
    </row>
    <row r="791" spans="1:11" x14ac:dyDescent="0.3">
      <c r="A791" s="5" t="s">
        <v>46</v>
      </c>
      <c r="B791" s="6">
        <v>40254</v>
      </c>
      <c r="C791" s="5">
        <v>12</v>
      </c>
      <c r="D791" s="5">
        <v>3</v>
      </c>
      <c r="E791" s="5">
        <v>2010</v>
      </c>
      <c r="F791" s="5" t="s">
        <v>26</v>
      </c>
      <c r="G791" s="5" t="s">
        <v>10</v>
      </c>
      <c r="H791" s="7">
        <v>5693</v>
      </c>
      <c r="I791" s="7">
        <v>6365</v>
      </c>
      <c r="J791" s="7">
        <v>672</v>
      </c>
      <c r="K791" s="8">
        <v>0.11803969787458282</v>
      </c>
    </row>
    <row r="792" spans="1:11" x14ac:dyDescent="0.3">
      <c r="A792" s="5" t="s">
        <v>46</v>
      </c>
      <c r="B792" s="6">
        <v>40254</v>
      </c>
      <c r="C792" s="5">
        <v>12</v>
      </c>
      <c r="D792" s="5">
        <v>3</v>
      </c>
      <c r="E792" s="5">
        <v>2010</v>
      </c>
      <c r="F792" s="5" t="s">
        <v>27</v>
      </c>
      <c r="G792" s="5" t="s">
        <v>10</v>
      </c>
      <c r="H792" s="7">
        <v>32564</v>
      </c>
      <c r="I792" s="7">
        <v>36845</v>
      </c>
      <c r="J792" s="7">
        <v>4281</v>
      </c>
      <c r="K792" s="8">
        <v>0.13146419358801131</v>
      </c>
    </row>
    <row r="793" spans="1:11" x14ac:dyDescent="0.3">
      <c r="A793" s="5" t="s">
        <v>46</v>
      </c>
      <c r="B793" s="6">
        <v>40254</v>
      </c>
      <c r="C793" s="5">
        <v>12</v>
      </c>
      <c r="D793" s="5">
        <v>3</v>
      </c>
      <c r="E793" s="5">
        <v>2010</v>
      </c>
      <c r="F793" s="5" t="s">
        <v>28</v>
      </c>
      <c r="G793" s="5" t="s">
        <v>10</v>
      </c>
      <c r="H793" s="7">
        <v>48392</v>
      </c>
      <c r="I793" s="7">
        <v>54443</v>
      </c>
      <c r="J793" s="7">
        <v>6051</v>
      </c>
      <c r="K793" s="8">
        <v>0.12504132914531327</v>
      </c>
    </row>
    <row r="794" spans="1:11" x14ac:dyDescent="0.3">
      <c r="A794" s="5" t="s">
        <v>46</v>
      </c>
      <c r="B794" s="6">
        <v>40254</v>
      </c>
      <c r="C794" s="5">
        <v>12</v>
      </c>
      <c r="D794" s="5">
        <v>3</v>
      </c>
      <c r="E794" s="5">
        <v>2010</v>
      </c>
      <c r="F794" s="5" t="s">
        <v>29</v>
      </c>
      <c r="G794" s="5" t="s">
        <v>10</v>
      </c>
      <c r="H794" s="7">
        <v>296724</v>
      </c>
      <c r="I794" s="7">
        <v>324337</v>
      </c>
      <c r="J794" s="7">
        <v>27613</v>
      </c>
      <c r="K794" s="8">
        <v>9.305954354888718E-2</v>
      </c>
    </row>
    <row r="795" spans="1:11" x14ac:dyDescent="0.3">
      <c r="A795" s="5" t="s">
        <v>46</v>
      </c>
      <c r="B795" s="6">
        <v>40254</v>
      </c>
      <c r="C795" s="5">
        <v>12</v>
      </c>
      <c r="D795" s="5">
        <v>3</v>
      </c>
      <c r="E795" s="5">
        <v>2010</v>
      </c>
      <c r="F795" s="5" t="s">
        <v>30</v>
      </c>
      <c r="G795" s="5" t="s">
        <v>10</v>
      </c>
      <c r="H795" s="7">
        <v>60529</v>
      </c>
      <c r="I795" s="7">
        <v>67070</v>
      </c>
      <c r="J795" s="7">
        <v>6541</v>
      </c>
      <c r="K795" s="8">
        <v>0.10806390325298618</v>
      </c>
    </row>
    <row r="796" spans="1:11" x14ac:dyDescent="0.3">
      <c r="A796" s="5" t="s">
        <v>46</v>
      </c>
      <c r="B796" s="6">
        <v>40254</v>
      </c>
      <c r="C796" s="5">
        <v>12</v>
      </c>
      <c r="D796" s="5">
        <v>3</v>
      </c>
      <c r="E796" s="5">
        <v>2010</v>
      </c>
      <c r="F796" s="5" t="s">
        <v>9</v>
      </c>
      <c r="G796" s="5" t="s">
        <v>9</v>
      </c>
      <c r="H796" s="7">
        <v>312852</v>
      </c>
      <c r="I796" s="7">
        <v>373705</v>
      </c>
      <c r="J796" s="7">
        <v>60853</v>
      </c>
      <c r="K796" s="8">
        <v>0.19451050336900516</v>
      </c>
    </row>
    <row r="797" spans="1:11" x14ac:dyDescent="0.3">
      <c r="A797" s="5" t="s">
        <v>46</v>
      </c>
      <c r="B797" s="6">
        <v>40254</v>
      </c>
      <c r="C797" s="5">
        <v>12</v>
      </c>
      <c r="D797" s="5">
        <v>3</v>
      </c>
      <c r="E797" s="5">
        <v>2010</v>
      </c>
      <c r="F797" s="5" t="s">
        <v>31</v>
      </c>
      <c r="G797" s="5" t="s">
        <v>7</v>
      </c>
      <c r="H797" s="7">
        <v>24339</v>
      </c>
      <c r="I797" s="7">
        <v>30137</v>
      </c>
      <c r="J797" s="7">
        <v>5798</v>
      </c>
      <c r="K797" s="8">
        <v>0.23821849706232795</v>
      </c>
    </row>
    <row r="798" spans="1:11" x14ac:dyDescent="0.3">
      <c r="A798" s="5" t="s">
        <v>46</v>
      </c>
      <c r="B798" s="6">
        <v>40254</v>
      </c>
      <c r="C798" s="5">
        <v>12</v>
      </c>
      <c r="D798" s="5">
        <v>3</v>
      </c>
      <c r="E798" s="5">
        <v>2010</v>
      </c>
      <c r="F798" s="5" t="s">
        <v>33</v>
      </c>
      <c r="G798" s="5" t="s">
        <v>7</v>
      </c>
      <c r="H798" s="7">
        <v>39882</v>
      </c>
      <c r="I798" s="7">
        <v>76086</v>
      </c>
      <c r="J798" s="7">
        <v>36204</v>
      </c>
      <c r="K798" s="8">
        <v>0.90777794493756581</v>
      </c>
    </row>
    <row r="799" spans="1:11" x14ac:dyDescent="0.3">
      <c r="A799" s="5" t="s">
        <v>46</v>
      </c>
      <c r="B799" s="6">
        <v>40254</v>
      </c>
      <c r="C799" s="5">
        <v>12</v>
      </c>
      <c r="D799" s="5">
        <v>3</v>
      </c>
      <c r="E799" s="5">
        <v>2010</v>
      </c>
      <c r="F799" s="5" t="s">
        <v>34</v>
      </c>
      <c r="G799" s="5" t="s">
        <v>7</v>
      </c>
      <c r="H799" s="7">
        <v>1175</v>
      </c>
      <c r="I799" s="7">
        <v>1305</v>
      </c>
      <c r="J799" s="7">
        <v>130</v>
      </c>
      <c r="K799" s="8">
        <v>0.11063829787234042</v>
      </c>
    </row>
    <row r="800" spans="1:11" x14ac:dyDescent="0.3">
      <c r="A800" s="5" t="s">
        <v>46</v>
      </c>
      <c r="B800" s="6">
        <v>40254</v>
      </c>
      <c r="C800" s="5">
        <v>12</v>
      </c>
      <c r="D800" s="5">
        <v>3</v>
      </c>
      <c r="E800" s="5">
        <v>2010</v>
      </c>
      <c r="F800" s="5" t="s">
        <v>35</v>
      </c>
      <c r="G800" s="5" t="s">
        <v>11</v>
      </c>
      <c r="H800" s="7">
        <v>2991</v>
      </c>
      <c r="I800" s="7">
        <v>3457</v>
      </c>
      <c r="J800" s="7">
        <v>466</v>
      </c>
      <c r="K800" s="8">
        <v>0.15580073553995319</v>
      </c>
    </row>
    <row r="801" spans="1:11" x14ac:dyDescent="0.3">
      <c r="A801" s="5" t="s">
        <v>46</v>
      </c>
      <c r="B801" s="6">
        <v>40254</v>
      </c>
      <c r="C801" s="5">
        <v>12</v>
      </c>
      <c r="D801" s="5">
        <v>3</v>
      </c>
      <c r="E801" s="5">
        <v>2010</v>
      </c>
      <c r="F801" s="5" t="s">
        <v>36</v>
      </c>
      <c r="G801" s="5" t="s">
        <v>11</v>
      </c>
      <c r="H801" s="7">
        <v>146437</v>
      </c>
      <c r="I801" s="7">
        <v>152466</v>
      </c>
      <c r="J801" s="7">
        <v>6029</v>
      </c>
      <c r="K801" s="8">
        <v>4.1171288677042006E-2</v>
      </c>
    </row>
    <row r="802" spans="1:11" x14ac:dyDescent="0.3">
      <c r="A802" s="5" t="s">
        <v>46</v>
      </c>
      <c r="B802" s="6">
        <v>40254</v>
      </c>
      <c r="C802" s="5">
        <v>12</v>
      </c>
      <c r="D802" s="5">
        <v>3</v>
      </c>
      <c r="E802" s="5">
        <v>2010</v>
      </c>
      <c r="F802" s="5" t="s">
        <v>37</v>
      </c>
      <c r="G802" s="5" t="s">
        <v>11</v>
      </c>
      <c r="H802" s="7">
        <v>145622</v>
      </c>
      <c r="I802" s="7">
        <v>159343</v>
      </c>
      <c r="J802" s="7">
        <v>13721</v>
      </c>
      <c r="K802" s="8">
        <v>9.4223400310392655E-2</v>
      </c>
    </row>
    <row r="803" spans="1:11" x14ac:dyDescent="0.3">
      <c r="A803" s="5" t="s">
        <v>46</v>
      </c>
      <c r="B803" s="6">
        <v>40254</v>
      </c>
      <c r="C803" s="5">
        <v>12</v>
      </c>
      <c r="D803" s="5">
        <v>3</v>
      </c>
      <c r="E803" s="5">
        <v>2010</v>
      </c>
      <c r="F803" s="5" t="s">
        <v>38</v>
      </c>
      <c r="G803" s="5" t="s">
        <v>11</v>
      </c>
      <c r="H803" s="7">
        <v>219633</v>
      </c>
      <c r="I803" s="7">
        <v>225627</v>
      </c>
      <c r="J803" s="7">
        <v>5994</v>
      </c>
      <c r="K803" s="8">
        <v>2.7290980863531437E-2</v>
      </c>
    </row>
    <row r="804" spans="1:11" x14ac:dyDescent="0.3">
      <c r="A804" s="5" t="s">
        <v>46</v>
      </c>
      <c r="B804" s="6">
        <v>40255</v>
      </c>
      <c r="C804" s="5">
        <v>12</v>
      </c>
      <c r="D804" s="5">
        <v>3</v>
      </c>
      <c r="E804" s="5">
        <v>2010</v>
      </c>
      <c r="F804" s="5" t="s">
        <v>14</v>
      </c>
      <c r="G804" s="5" t="s">
        <v>6</v>
      </c>
      <c r="H804" s="7">
        <v>10854</v>
      </c>
      <c r="I804" s="7">
        <v>12493</v>
      </c>
      <c r="J804" s="7">
        <v>1639</v>
      </c>
      <c r="K804" s="8">
        <v>0.15100423806891469</v>
      </c>
    </row>
    <row r="805" spans="1:11" x14ac:dyDescent="0.3">
      <c r="A805" s="5" t="s">
        <v>46</v>
      </c>
      <c r="B805" s="6">
        <v>40255</v>
      </c>
      <c r="C805" s="5">
        <v>12</v>
      </c>
      <c r="D805" s="5">
        <v>3</v>
      </c>
      <c r="E805" s="5">
        <v>2010</v>
      </c>
      <c r="F805" s="5" t="s">
        <v>15</v>
      </c>
      <c r="G805" s="5" t="s">
        <v>6</v>
      </c>
      <c r="H805" s="7">
        <v>120953</v>
      </c>
      <c r="I805" s="7">
        <v>147869</v>
      </c>
      <c r="J805" s="7">
        <v>26916</v>
      </c>
      <c r="K805" s="8">
        <v>0.22253271932072788</v>
      </c>
    </row>
    <row r="806" spans="1:11" x14ac:dyDescent="0.3">
      <c r="A806" s="5" t="s">
        <v>46</v>
      </c>
      <c r="B806" s="6">
        <v>40255</v>
      </c>
      <c r="C806" s="5">
        <v>12</v>
      </c>
      <c r="D806" s="5">
        <v>3</v>
      </c>
      <c r="E806" s="5">
        <v>2010</v>
      </c>
      <c r="F806" s="5" t="s">
        <v>16</v>
      </c>
      <c r="G806" s="5" t="s">
        <v>6</v>
      </c>
      <c r="H806" s="7">
        <v>89508</v>
      </c>
      <c r="I806" s="7">
        <v>98934</v>
      </c>
      <c r="J806" s="7">
        <v>9426</v>
      </c>
      <c r="K806" s="8">
        <v>0.10530902265719265</v>
      </c>
    </row>
    <row r="807" spans="1:11" x14ac:dyDescent="0.3">
      <c r="A807" s="5" t="s">
        <v>46</v>
      </c>
      <c r="B807" s="6">
        <v>40255</v>
      </c>
      <c r="C807" s="5">
        <v>12</v>
      </c>
      <c r="D807" s="5">
        <v>3</v>
      </c>
      <c r="E807" s="5">
        <v>2010</v>
      </c>
      <c r="F807" s="5" t="s">
        <v>17</v>
      </c>
      <c r="G807" s="5" t="s">
        <v>6</v>
      </c>
      <c r="H807" s="7">
        <v>870</v>
      </c>
      <c r="I807" s="7">
        <v>877</v>
      </c>
      <c r="J807" s="7">
        <v>7</v>
      </c>
      <c r="K807" s="8">
        <v>8.0459770114942528E-3</v>
      </c>
    </row>
    <row r="808" spans="1:11" x14ac:dyDescent="0.3">
      <c r="A808" s="5" t="s">
        <v>46</v>
      </c>
      <c r="B808" s="6">
        <v>40255</v>
      </c>
      <c r="C808" s="5">
        <v>12</v>
      </c>
      <c r="D808" s="5">
        <v>3</v>
      </c>
      <c r="E808" s="5">
        <v>2010</v>
      </c>
      <c r="F808" s="5" t="s">
        <v>18</v>
      </c>
      <c r="G808" s="5" t="s">
        <v>6</v>
      </c>
      <c r="H808" s="7">
        <v>6765</v>
      </c>
      <c r="I808" s="7">
        <v>7556</v>
      </c>
      <c r="J808" s="7">
        <v>791</v>
      </c>
      <c r="K808" s="8">
        <v>0.11692535107169254</v>
      </c>
    </row>
    <row r="809" spans="1:11" x14ac:dyDescent="0.3">
      <c r="A809" s="5" t="s">
        <v>46</v>
      </c>
      <c r="B809" s="6">
        <v>40255</v>
      </c>
      <c r="C809" s="5">
        <v>12</v>
      </c>
      <c r="D809" s="5">
        <v>3</v>
      </c>
      <c r="E809" s="5">
        <v>2010</v>
      </c>
      <c r="F809" s="5" t="s">
        <v>19</v>
      </c>
      <c r="G809" s="5" t="s">
        <v>5</v>
      </c>
      <c r="H809" s="7">
        <v>58956</v>
      </c>
      <c r="I809" s="7">
        <v>66453</v>
      </c>
      <c r="J809" s="7">
        <v>7497</v>
      </c>
      <c r="K809" s="8">
        <v>0.12716262975778547</v>
      </c>
    </row>
    <row r="810" spans="1:11" x14ac:dyDescent="0.3">
      <c r="A810" s="5" t="s">
        <v>46</v>
      </c>
      <c r="B810" s="6">
        <v>40255</v>
      </c>
      <c r="C810" s="5">
        <v>12</v>
      </c>
      <c r="D810" s="5">
        <v>3</v>
      </c>
      <c r="E810" s="5">
        <v>2010</v>
      </c>
      <c r="F810" s="5" t="s">
        <v>5</v>
      </c>
      <c r="G810" s="5" t="s">
        <v>5</v>
      </c>
      <c r="H810" s="7">
        <v>371186</v>
      </c>
      <c r="I810" s="7">
        <v>383253</v>
      </c>
      <c r="J810" s="7">
        <v>12067</v>
      </c>
      <c r="K810" s="8">
        <v>3.2509308001918175E-2</v>
      </c>
    </row>
    <row r="811" spans="1:11" x14ac:dyDescent="0.3">
      <c r="A811" s="5" t="s">
        <v>46</v>
      </c>
      <c r="B811" s="6">
        <v>40255</v>
      </c>
      <c r="C811" s="5">
        <v>12</v>
      </c>
      <c r="D811" s="5">
        <v>3</v>
      </c>
      <c r="E811" s="5">
        <v>2010</v>
      </c>
      <c r="F811" s="5" t="s">
        <v>20</v>
      </c>
      <c r="G811" s="5" t="s">
        <v>5</v>
      </c>
      <c r="H811" s="7">
        <v>86102</v>
      </c>
      <c r="I811" s="7">
        <v>96456</v>
      </c>
      <c r="J811" s="7">
        <v>10354</v>
      </c>
      <c r="K811" s="8">
        <v>0.1202527235139718</v>
      </c>
    </row>
    <row r="812" spans="1:11" x14ac:dyDescent="0.3">
      <c r="A812" s="5" t="s">
        <v>46</v>
      </c>
      <c r="B812" s="6">
        <v>40255</v>
      </c>
      <c r="C812" s="5">
        <v>12</v>
      </c>
      <c r="D812" s="5">
        <v>3</v>
      </c>
      <c r="E812" s="5">
        <v>2010</v>
      </c>
      <c r="F812" s="5" t="s">
        <v>21</v>
      </c>
      <c r="G812" s="5" t="s">
        <v>5</v>
      </c>
      <c r="H812" s="7">
        <v>96426</v>
      </c>
      <c r="I812" s="7">
        <v>101799</v>
      </c>
      <c r="J812" s="7">
        <v>5373</v>
      </c>
      <c r="K812" s="8">
        <v>5.5721485906290835E-2</v>
      </c>
    </row>
    <row r="813" spans="1:11" x14ac:dyDescent="0.3">
      <c r="A813" s="5" t="s">
        <v>46</v>
      </c>
      <c r="B813" s="6">
        <v>40255</v>
      </c>
      <c r="C813" s="5">
        <v>12</v>
      </c>
      <c r="D813" s="5">
        <v>3</v>
      </c>
      <c r="E813" s="5">
        <v>2010</v>
      </c>
      <c r="F813" s="5" t="s">
        <v>22</v>
      </c>
      <c r="G813" s="5" t="s">
        <v>8</v>
      </c>
      <c r="H813" s="7">
        <v>220122</v>
      </c>
      <c r="I813" s="7">
        <v>248674</v>
      </c>
      <c r="J813" s="7">
        <v>28552</v>
      </c>
      <c r="K813" s="8">
        <v>0.12970988815293338</v>
      </c>
    </row>
    <row r="814" spans="1:11" x14ac:dyDescent="0.3">
      <c r="A814" s="5" t="s">
        <v>46</v>
      </c>
      <c r="B814" s="6">
        <v>40255</v>
      </c>
      <c r="C814" s="5">
        <v>12</v>
      </c>
      <c r="D814" s="5">
        <v>3</v>
      </c>
      <c r="E814" s="5">
        <v>2010</v>
      </c>
      <c r="F814" s="5" t="s">
        <v>23</v>
      </c>
      <c r="G814" s="5" t="s">
        <v>8</v>
      </c>
      <c r="H814" s="7">
        <v>91438</v>
      </c>
      <c r="I814" s="7">
        <v>97026</v>
      </c>
      <c r="J814" s="7">
        <v>5588</v>
      </c>
      <c r="K814" s="8">
        <v>6.1112447778822812E-2</v>
      </c>
    </row>
    <row r="815" spans="1:11" x14ac:dyDescent="0.3">
      <c r="A815" s="5" t="s">
        <v>46</v>
      </c>
      <c r="B815" s="6">
        <v>40255</v>
      </c>
      <c r="C815" s="5">
        <v>12</v>
      </c>
      <c r="D815" s="5">
        <v>3</v>
      </c>
      <c r="E815" s="5">
        <v>2010</v>
      </c>
      <c r="F815" s="5" t="s">
        <v>24</v>
      </c>
      <c r="G815" s="5" t="s">
        <v>8</v>
      </c>
      <c r="H815" s="7">
        <v>92511</v>
      </c>
      <c r="I815" s="7">
        <v>102481</v>
      </c>
      <c r="J815" s="7">
        <v>9970</v>
      </c>
      <c r="K815" s="8">
        <v>0.10777096777680492</v>
      </c>
    </row>
    <row r="816" spans="1:11" x14ac:dyDescent="0.3">
      <c r="A816" s="5" t="s">
        <v>46</v>
      </c>
      <c r="B816" s="6">
        <v>40255</v>
      </c>
      <c r="C816" s="5">
        <v>12</v>
      </c>
      <c r="D816" s="5">
        <v>3</v>
      </c>
      <c r="E816" s="5">
        <v>2010</v>
      </c>
      <c r="F816" s="5" t="s">
        <v>25</v>
      </c>
      <c r="G816" s="5" t="s">
        <v>8</v>
      </c>
      <c r="H816" s="7">
        <v>4630</v>
      </c>
      <c r="I816" s="7">
        <v>4963</v>
      </c>
      <c r="J816" s="7">
        <v>333</v>
      </c>
      <c r="K816" s="8">
        <v>7.1922246220302383E-2</v>
      </c>
    </row>
    <row r="817" spans="1:11" x14ac:dyDescent="0.3">
      <c r="A817" s="5" t="s">
        <v>46</v>
      </c>
      <c r="B817" s="6">
        <v>40255</v>
      </c>
      <c r="C817" s="5">
        <v>12</v>
      </c>
      <c r="D817" s="5">
        <v>3</v>
      </c>
      <c r="E817" s="5">
        <v>2010</v>
      </c>
      <c r="F817" s="5" t="s">
        <v>26</v>
      </c>
      <c r="G817" s="5" t="s">
        <v>10</v>
      </c>
      <c r="H817" s="7">
        <v>7943</v>
      </c>
      <c r="I817" s="7">
        <v>8906</v>
      </c>
      <c r="J817" s="7">
        <v>963</v>
      </c>
      <c r="K817" s="8">
        <v>0.12123882663980863</v>
      </c>
    </row>
    <row r="818" spans="1:11" x14ac:dyDescent="0.3">
      <c r="A818" s="5" t="s">
        <v>46</v>
      </c>
      <c r="B818" s="6">
        <v>40255</v>
      </c>
      <c r="C818" s="5">
        <v>12</v>
      </c>
      <c r="D818" s="5">
        <v>3</v>
      </c>
      <c r="E818" s="5">
        <v>2010</v>
      </c>
      <c r="F818" s="5" t="s">
        <v>27</v>
      </c>
      <c r="G818" s="5" t="s">
        <v>10</v>
      </c>
      <c r="H818" s="7">
        <v>64807</v>
      </c>
      <c r="I818" s="7">
        <v>72769</v>
      </c>
      <c r="J818" s="7">
        <v>7962</v>
      </c>
      <c r="K818" s="8">
        <v>0.12285709877019457</v>
      </c>
    </row>
    <row r="819" spans="1:11" x14ac:dyDescent="0.3">
      <c r="A819" s="5" t="s">
        <v>46</v>
      </c>
      <c r="B819" s="6">
        <v>40255</v>
      </c>
      <c r="C819" s="5">
        <v>12</v>
      </c>
      <c r="D819" s="5">
        <v>3</v>
      </c>
      <c r="E819" s="5">
        <v>2010</v>
      </c>
      <c r="F819" s="5" t="s">
        <v>28</v>
      </c>
      <c r="G819" s="5" t="s">
        <v>10</v>
      </c>
      <c r="H819" s="7">
        <v>55889</v>
      </c>
      <c r="I819" s="7">
        <v>64117</v>
      </c>
      <c r="J819" s="7">
        <v>8228</v>
      </c>
      <c r="K819" s="8">
        <v>0.14722038325967543</v>
      </c>
    </row>
    <row r="820" spans="1:11" x14ac:dyDescent="0.3">
      <c r="A820" s="5" t="s">
        <v>46</v>
      </c>
      <c r="B820" s="6">
        <v>40255</v>
      </c>
      <c r="C820" s="5">
        <v>12</v>
      </c>
      <c r="D820" s="5">
        <v>3</v>
      </c>
      <c r="E820" s="5">
        <v>2010</v>
      </c>
      <c r="F820" s="5" t="s">
        <v>29</v>
      </c>
      <c r="G820" s="5" t="s">
        <v>10</v>
      </c>
      <c r="H820" s="7">
        <v>372500</v>
      </c>
      <c r="I820" s="7">
        <v>406335</v>
      </c>
      <c r="J820" s="7">
        <v>33835</v>
      </c>
      <c r="K820" s="8">
        <v>9.0832214765100672E-2</v>
      </c>
    </row>
    <row r="821" spans="1:11" x14ac:dyDescent="0.3">
      <c r="A821" s="5" t="s">
        <v>46</v>
      </c>
      <c r="B821" s="6">
        <v>40255</v>
      </c>
      <c r="C821" s="5">
        <v>12</v>
      </c>
      <c r="D821" s="5">
        <v>3</v>
      </c>
      <c r="E821" s="5">
        <v>2010</v>
      </c>
      <c r="F821" s="5" t="s">
        <v>30</v>
      </c>
      <c r="G821" s="5" t="s">
        <v>10</v>
      </c>
      <c r="H821" s="7">
        <v>62079</v>
      </c>
      <c r="I821" s="7">
        <v>70469</v>
      </c>
      <c r="J821" s="7">
        <v>8390</v>
      </c>
      <c r="K821" s="8">
        <v>0.1351503729119348</v>
      </c>
    </row>
    <row r="822" spans="1:11" x14ac:dyDescent="0.3">
      <c r="A822" s="5" t="s">
        <v>46</v>
      </c>
      <c r="B822" s="6">
        <v>40255</v>
      </c>
      <c r="C822" s="5">
        <v>12</v>
      </c>
      <c r="D822" s="5">
        <v>3</v>
      </c>
      <c r="E822" s="5">
        <v>2010</v>
      </c>
      <c r="F822" s="5" t="s">
        <v>9</v>
      </c>
      <c r="G822" s="5" t="s">
        <v>9</v>
      </c>
      <c r="H822" s="7">
        <v>381735</v>
      </c>
      <c r="I822" s="7">
        <v>456795</v>
      </c>
      <c r="J822" s="7">
        <v>75060</v>
      </c>
      <c r="K822" s="8">
        <v>0.19662855122008724</v>
      </c>
    </row>
    <row r="823" spans="1:11" x14ac:dyDescent="0.3">
      <c r="A823" s="5" t="s">
        <v>46</v>
      </c>
      <c r="B823" s="6">
        <v>40255</v>
      </c>
      <c r="C823" s="5">
        <v>12</v>
      </c>
      <c r="D823" s="5">
        <v>3</v>
      </c>
      <c r="E823" s="5">
        <v>2010</v>
      </c>
      <c r="F823" s="5" t="s">
        <v>31</v>
      </c>
      <c r="G823" s="5" t="s">
        <v>7</v>
      </c>
      <c r="H823" s="7">
        <v>31265</v>
      </c>
      <c r="I823" s="7">
        <v>39322</v>
      </c>
      <c r="J823" s="7">
        <v>8057</v>
      </c>
      <c r="K823" s="8">
        <v>0.25770030385414999</v>
      </c>
    </row>
    <row r="824" spans="1:11" x14ac:dyDescent="0.3">
      <c r="A824" s="5" t="s">
        <v>46</v>
      </c>
      <c r="B824" s="6">
        <v>40255</v>
      </c>
      <c r="C824" s="5">
        <v>12</v>
      </c>
      <c r="D824" s="5">
        <v>3</v>
      </c>
      <c r="E824" s="5">
        <v>2010</v>
      </c>
      <c r="F824" s="5" t="s">
        <v>33</v>
      </c>
      <c r="G824" s="5" t="s">
        <v>7</v>
      </c>
      <c r="H824" s="7">
        <v>44703</v>
      </c>
      <c r="I824" s="7">
        <v>82629</v>
      </c>
      <c r="J824" s="7">
        <v>37926</v>
      </c>
      <c r="K824" s="8">
        <v>0.84839943627944436</v>
      </c>
    </row>
    <row r="825" spans="1:11" x14ac:dyDescent="0.3">
      <c r="A825" s="5" t="s">
        <v>46</v>
      </c>
      <c r="B825" s="6">
        <v>40255</v>
      </c>
      <c r="C825" s="5">
        <v>12</v>
      </c>
      <c r="D825" s="5">
        <v>3</v>
      </c>
      <c r="E825" s="5">
        <v>2010</v>
      </c>
      <c r="F825" s="5" t="s">
        <v>34</v>
      </c>
      <c r="G825" s="5" t="s">
        <v>7</v>
      </c>
      <c r="H825" s="7">
        <v>4255</v>
      </c>
      <c r="I825" s="7">
        <v>4728</v>
      </c>
      <c r="J825" s="7">
        <v>473</v>
      </c>
      <c r="K825" s="8">
        <v>0.11116333725029377</v>
      </c>
    </row>
    <row r="826" spans="1:11" x14ac:dyDescent="0.3">
      <c r="A826" s="5" t="s">
        <v>46</v>
      </c>
      <c r="B826" s="6">
        <v>40255</v>
      </c>
      <c r="C826" s="5">
        <v>12</v>
      </c>
      <c r="D826" s="5">
        <v>3</v>
      </c>
      <c r="E826" s="5">
        <v>2010</v>
      </c>
      <c r="F826" s="5" t="s">
        <v>35</v>
      </c>
      <c r="G826" s="5" t="s">
        <v>11</v>
      </c>
      <c r="H826" s="7">
        <v>1553</v>
      </c>
      <c r="I826" s="7">
        <v>1941</v>
      </c>
      <c r="J826" s="7">
        <v>388</v>
      </c>
      <c r="K826" s="8">
        <v>0.2498390212491951</v>
      </c>
    </row>
    <row r="827" spans="1:11" x14ac:dyDescent="0.3">
      <c r="A827" s="5" t="s">
        <v>46</v>
      </c>
      <c r="B827" s="6">
        <v>40255</v>
      </c>
      <c r="C827" s="5">
        <v>12</v>
      </c>
      <c r="D827" s="5">
        <v>3</v>
      </c>
      <c r="E827" s="5">
        <v>2010</v>
      </c>
      <c r="F827" s="5" t="s">
        <v>36</v>
      </c>
      <c r="G827" s="5" t="s">
        <v>11</v>
      </c>
      <c r="H827" s="7">
        <v>81837</v>
      </c>
      <c r="I827" s="7">
        <v>87097</v>
      </c>
      <c r="J827" s="7">
        <v>5260</v>
      </c>
      <c r="K827" s="8">
        <v>6.4274105844544641E-2</v>
      </c>
    </row>
    <row r="828" spans="1:11" x14ac:dyDescent="0.3">
      <c r="A828" s="5" t="s">
        <v>46</v>
      </c>
      <c r="B828" s="6">
        <v>40255</v>
      </c>
      <c r="C828" s="5">
        <v>12</v>
      </c>
      <c r="D828" s="5">
        <v>3</v>
      </c>
      <c r="E828" s="5">
        <v>2010</v>
      </c>
      <c r="F828" s="5" t="s">
        <v>37</v>
      </c>
      <c r="G828" s="5" t="s">
        <v>11</v>
      </c>
      <c r="H828" s="7">
        <v>197813</v>
      </c>
      <c r="I828" s="7">
        <v>211838</v>
      </c>
      <c r="J828" s="7">
        <v>14025</v>
      </c>
      <c r="K828" s="8">
        <v>7.0900294722793744E-2</v>
      </c>
    </row>
    <row r="829" spans="1:11" x14ac:dyDescent="0.3">
      <c r="A829" s="5" t="s">
        <v>46</v>
      </c>
      <c r="B829" s="6">
        <v>40255</v>
      </c>
      <c r="C829" s="5">
        <v>12</v>
      </c>
      <c r="D829" s="5">
        <v>3</v>
      </c>
      <c r="E829" s="5">
        <v>2010</v>
      </c>
      <c r="F829" s="5" t="s">
        <v>38</v>
      </c>
      <c r="G829" s="5" t="s">
        <v>11</v>
      </c>
      <c r="H829" s="7">
        <v>203876</v>
      </c>
      <c r="I829" s="7">
        <v>211848</v>
      </c>
      <c r="J829" s="7">
        <v>7972</v>
      </c>
      <c r="K829" s="8">
        <v>3.910219937609135E-2</v>
      </c>
    </row>
    <row r="830" spans="1:11" x14ac:dyDescent="0.3">
      <c r="A830" s="5" t="s">
        <v>46</v>
      </c>
      <c r="B830" s="6">
        <v>40256</v>
      </c>
      <c r="C830" s="5">
        <v>12</v>
      </c>
      <c r="D830" s="5">
        <v>3</v>
      </c>
      <c r="E830" s="5">
        <v>2010</v>
      </c>
      <c r="F830" s="5" t="s">
        <v>14</v>
      </c>
      <c r="G830" s="5" t="s">
        <v>6</v>
      </c>
      <c r="H830" s="7">
        <v>7744</v>
      </c>
      <c r="I830" s="7">
        <v>8950</v>
      </c>
      <c r="J830" s="7">
        <v>1206</v>
      </c>
      <c r="K830" s="8">
        <v>0.15573347107438015</v>
      </c>
    </row>
    <row r="831" spans="1:11" x14ac:dyDescent="0.3">
      <c r="A831" s="5" t="s">
        <v>46</v>
      </c>
      <c r="B831" s="6">
        <v>40256</v>
      </c>
      <c r="C831" s="5">
        <v>12</v>
      </c>
      <c r="D831" s="5">
        <v>3</v>
      </c>
      <c r="E831" s="5">
        <v>2010</v>
      </c>
      <c r="F831" s="5" t="s">
        <v>15</v>
      </c>
      <c r="G831" s="5" t="s">
        <v>6</v>
      </c>
      <c r="H831" s="7">
        <v>157211</v>
      </c>
      <c r="I831" s="7">
        <v>195094</v>
      </c>
      <c r="J831" s="7">
        <v>37883</v>
      </c>
      <c r="K831" s="8">
        <v>0.24096914338055225</v>
      </c>
    </row>
    <row r="832" spans="1:11" x14ac:dyDescent="0.3">
      <c r="A832" s="5" t="s">
        <v>46</v>
      </c>
      <c r="B832" s="6">
        <v>40256</v>
      </c>
      <c r="C832" s="5">
        <v>12</v>
      </c>
      <c r="D832" s="5">
        <v>3</v>
      </c>
      <c r="E832" s="5">
        <v>2010</v>
      </c>
      <c r="F832" s="5" t="s">
        <v>16</v>
      </c>
      <c r="G832" s="5" t="s">
        <v>6</v>
      </c>
      <c r="H832" s="7">
        <v>100435</v>
      </c>
      <c r="I832" s="7">
        <v>111961</v>
      </c>
      <c r="J832" s="7">
        <v>11526</v>
      </c>
      <c r="K832" s="8">
        <v>0.11476079056105939</v>
      </c>
    </row>
    <row r="833" spans="1:11" x14ac:dyDescent="0.3">
      <c r="A833" s="5" t="s">
        <v>46</v>
      </c>
      <c r="B833" s="6">
        <v>40256</v>
      </c>
      <c r="C833" s="5">
        <v>12</v>
      </c>
      <c r="D833" s="5">
        <v>3</v>
      </c>
      <c r="E833" s="5">
        <v>2010</v>
      </c>
      <c r="F833" s="5" t="s">
        <v>17</v>
      </c>
      <c r="G833" s="5" t="s">
        <v>6</v>
      </c>
      <c r="H833" s="7">
        <v>309</v>
      </c>
      <c r="I833" s="7">
        <v>355</v>
      </c>
      <c r="J833" s="7">
        <v>46</v>
      </c>
      <c r="K833" s="8">
        <v>0.14886731391585761</v>
      </c>
    </row>
    <row r="834" spans="1:11" x14ac:dyDescent="0.3">
      <c r="A834" s="5" t="s">
        <v>46</v>
      </c>
      <c r="B834" s="6">
        <v>40256</v>
      </c>
      <c r="C834" s="5">
        <v>12</v>
      </c>
      <c r="D834" s="5">
        <v>3</v>
      </c>
      <c r="E834" s="5">
        <v>2010</v>
      </c>
      <c r="F834" s="5" t="s">
        <v>18</v>
      </c>
      <c r="G834" s="5" t="s">
        <v>6</v>
      </c>
      <c r="H834" s="7">
        <v>6025</v>
      </c>
      <c r="I834" s="7">
        <v>6783</v>
      </c>
      <c r="J834" s="7">
        <v>758</v>
      </c>
      <c r="K834" s="8">
        <v>0.1258091286307054</v>
      </c>
    </row>
    <row r="835" spans="1:11" x14ac:dyDescent="0.3">
      <c r="A835" s="5" t="s">
        <v>46</v>
      </c>
      <c r="B835" s="6">
        <v>40256</v>
      </c>
      <c r="C835" s="5">
        <v>12</v>
      </c>
      <c r="D835" s="5">
        <v>3</v>
      </c>
      <c r="E835" s="5">
        <v>2010</v>
      </c>
      <c r="F835" s="5" t="s">
        <v>19</v>
      </c>
      <c r="G835" s="5" t="s">
        <v>5</v>
      </c>
      <c r="H835" s="7">
        <v>95512</v>
      </c>
      <c r="I835" s="7">
        <v>107424</v>
      </c>
      <c r="J835" s="7">
        <v>11912</v>
      </c>
      <c r="K835" s="8">
        <v>0.1247173130077896</v>
      </c>
    </row>
    <row r="836" spans="1:11" x14ac:dyDescent="0.3">
      <c r="A836" s="5" t="s">
        <v>46</v>
      </c>
      <c r="B836" s="6">
        <v>40256</v>
      </c>
      <c r="C836" s="5">
        <v>12</v>
      </c>
      <c r="D836" s="5">
        <v>3</v>
      </c>
      <c r="E836" s="5">
        <v>2010</v>
      </c>
      <c r="F836" s="5" t="s">
        <v>5</v>
      </c>
      <c r="G836" s="5" t="s">
        <v>5</v>
      </c>
      <c r="H836" s="7">
        <v>394184</v>
      </c>
      <c r="I836" s="7">
        <v>415092</v>
      </c>
      <c r="J836" s="7">
        <v>20908</v>
      </c>
      <c r="K836" s="8">
        <v>5.3041219329044306E-2</v>
      </c>
    </row>
    <row r="837" spans="1:11" x14ac:dyDescent="0.3">
      <c r="A837" s="5" t="s">
        <v>46</v>
      </c>
      <c r="B837" s="6">
        <v>40256</v>
      </c>
      <c r="C837" s="5">
        <v>12</v>
      </c>
      <c r="D837" s="5">
        <v>3</v>
      </c>
      <c r="E837" s="5">
        <v>2010</v>
      </c>
      <c r="F837" s="5" t="s">
        <v>20</v>
      </c>
      <c r="G837" s="5" t="s">
        <v>5</v>
      </c>
      <c r="H837" s="7">
        <v>101110</v>
      </c>
      <c r="I837" s="7">
        <v>112216</v>
      </c>
      <c r="J837" s="7">
        <v>11106</v>
      </c>
      <c r="K837" s="8">
        <v>0.10984076748096133</v>
      </c>
    </row>
    <row r="838" spans="1:11" x14ac:dyDescent="0.3">
      <c r="A838" s="5" t="s">
        <v>46</v>
      </c>
      <c r="B838" s="6">
        <v>40256</v>
      </c>
      <c r="C838" s="5">
        <v>12</v>
      </c>
      <c r="D838" s="5">
        <v>3</v>
      </c>
      <c r="E838" s="5">
        <v>2010</v>
      </c>
      <c r="F838" s="5" t="s">
        <v>21</v>
      </c>
      <c r="G838" s="5" t="s">
        <v>5</v>
      </c>
      <c r="H838" s="7">
        <v>138177</v>
      </c>
      <c r="I838" s="7">
        <v>146763</v>
      </c>
      <c r="J838" s="7">
        <v>8586</v>
      </c>
      <c r="K838" s="8">
        <v>6.2137692959030807E-2</v>
      </c>
    </row>
    <row r="839" spans="1:11" x14ac:dyDescent="0.3">
      <c r="A839" s="5" t="s">
        <v>46</v>
      </c>
      <c r="B839" s="6">
        <v>40256</v>
      </c>
      <c r="C839" s="5">
        <v>12</v>
      </c>
      <c r="D839" s="5">
        <v>3</v>
      </c>
      <c r="E839" s="5">
        <v>2010</v>
      </c>
      <c r="F839" s="5" t="s">
        <v>22</v>
      </c>
      <c r="G839" s="5" t="s">
        <v>8</v>
      </c>
      <c r="H839" s="7">
        <v>435845</v>
      </c>
      <c r="I839" s="7">
        <v>469653</v>
      </c>
      <c r="J839" s="7">
        <v>33808</v>
      </c>
      <c r="K839" s="8">
        <v>7.7568860489394167E-2</v>
      </c>
    </row>
    <row r="840" spans="1:11" x14ac:dyDescent="0.3">
      <c r="A840" s="5" t="s">
        <v>46</v>
      </c>
      <c r="B840" s="6">
        <v>40256</v>
      </c>
      <c r="C840" s="5">
        <v>12</v>
      </c>
      <c r="D840" s="5">
        <v>3</v>
      </c>
      <c r="E840" s="5">
        <v>2010</v>
      </c>
      <c r="F840" s="5" t="s">
        <v>23</v>
      </c>
      <c r="G840" s="5" t="s">
        <v>8</v>
      </c>
      <c r="H840" s="7">
        <v>168436</v>
      </c>
      <c r="I840" s="7">
        <v>175664</v>
      </c>
      <c r="J840" s="7">
        <v>7228</v>
      </c>
      <c r="K840" s="8">
        <v>4.2912441520815026E-2</v>
      </c>
    </row>
    <row r="841" spans="1:11" x14ac:dyDescent="0.3">
      <c r="A841" s="5" t="s">
        <v>46</v>
      </c>
      <c r="B841" s="6">
        <v>40256</v>
      </c>
      <c r="C841" s="5">
        <v>12</v>
      </c>
      <c r="D841" s="5">
        <v>3</v>
      </c>
      <c r="E841" s="5">
        <v>2010</v>
      </c>
      <c r="F841" s="5" t="s">
        <v>24</v>
      </c>
      <c r="G841" s="5" t="s">
        <v>8</v>
      </c>
      <c r="H841" s="7">
        <v>152900</v>
      </c>
      <c r="I841" s="7">
        <v>166570</v>
      </c>
      <c r="J841" s="7">
        <v>13670</v>
      </c>
      <c r="K841" s="8">
        <v>8.9404839764551991E-2</v>
      </c>
    </row>
    <row r="842" spans="1:11" x14ac:dyDescent="0.3">
      <c r="A842" s="5" t="s">
        <v>46</v>
      </c>
      <c r="B842" s="6">
        <v>40256</v>
      </c>
      <c r="C842" s="5">
        <v>12</v>
      </c>
      <c r="D842" s="5">
        <v>3</v>
      </c>
      <c r="E842" s="5">
        <v>2010</v>
      </c>
      <c r="F842" s="5" t="s">
        <v>25</v>
      </c>
      <c r="G842" s="5" t="s">
        <v>8</v>
      </c>
      <c r="H842" s="7">
        <v>6098</v>
      </c>
      <c r="I842" s="7">
        <v>6481</v>
      </c>
      <c r="J842" s="7">
        <v>383</v>
      </c>
      <c r="K842" s="8">
        <v>6.2807477861593963E-2</v>
      </c>
    </row>
    <row r="843" spans="1:11" x14ac:dyDescent="0.3">
      <c r="A843" s="5" t="s">
        <v>46</v>
      </c>
      <c r="B843" s="6">
        <v>40256</v>
      </c>
      <c r="C843" s="5">
        <v>12</v>
      </c>
      <c r="D843" s="5">
        <v>3</v>
      </c>
      <c r="E843" s="5">
        <v>2010</v>
      </c>
      <c r="F843" s="5" t="s">
        <v>26</v>
      </c>
      <c r="G843" s="5" t="s">
        <v>10</v>
      </c>
      <c r="H843" s="7">
        <v>14306</v>
      </c>
      <c r="I843" s="7">
        <v>16107</v>
      </c>
      <c r="J843" s="7">
        <v>1801</v>
      </c>
      <c r="K843" s="8">
        <v>0.12589123444708514</v>
      </c>
    </row>
    <row r="844" spans="1:11" x14ac:dyDescent="0.3">
      <c r="A844" s="5" t="s">
        <v>46</v>
      </c>
      <c r="B844" s="6">
        <v>40256</v>
      </c>
      <c r="C844" s="5">
        <v>12</v>
      </c>
      <c r="D844" s="5">
        <v>3</v>
      </c>
      <c r="E844" s="5">
        <v>2010</v>
      </c>
      <c r="F844" s="5" t="s">
        <v>27</v>
      </c>
      <c r="G844" s="5" t="s">
        <v>10</v>
      </c>
      <c r="H844" s="7">
        <v>52423</v>
      </c>
      <c r="I844" s="7">
        <v>58993</v>
      </c>
      <c r="J844" s="7">
        <v>6570</v>
      </c>
      <c r="K844" s="8">
        <v>0.12532666959159147</v>
      </c>
    </row>
    <row r="845" spans="1:11" x14ac:dyDescent="0.3">
      <c r="A845" s="5" t="s">
        <v>46</v>
      </c>
      <c r="B845" s="6">
        <v>40256</v>
      </c>
      <c r="C845" s="5">
        <v>12</v>
      </c>
      <c r="D845" s="5">
        <v>3</v>
      </c>
      <c r="E845" s="5">
        <v>2010</v>
      </c>
      <c r="F845" s="5" t="s">
        <v>28</v>
      </c>
      <c r="G845" s="5" t="s">
        <v>10</v>
      </c>
      <c r="H845" s="7">
        <v>61712</v>
      </c>
      <c r="I845" s="7">
        <v>72004</v>
      </c>
      <c r="J845" s="7">
        <v>10292</v>
      </c>
      <c r="K845" s="8">
        <v>0.16677469535908737</v>
      </c>
    </row>
    <row r="846" spans="1:11" x14ac:dyDescent="0.3">
      <c r="A846" s="5" t="s">
        <v>46</v>
      </c>
      <c r="B846" s="6">
        <v>40256</v>
      </c>
      <c r="C846" s="5">
        <v>12</v>
      </c>
      <c r="D846" s="5">
        <v>3</v>
      </c>
      <c r="E846" s="5">
        <v>2010</v>
      </c>
      <c r="F846" s="5" t="s">
        <v>29</v>
      </c>
      <c r="G846" s="5" t="s">
        <v>10</v>
      </c>
      <c r="H846" s="7">
        <v>391731</v>
      </c>
      <c r="I846" s="7">
        <v>428221</v>
      </c>
      <c r="J846" s="7">
        <v>36490</v>
      </c>
      <c r="K846" s="8">
        <v>9.3150656955921285E-2</v>
      </c>
    </row>
    <row r="847" spans="1:11" x14ac:dyDescent="0.3">
      <c r="A847" s="5" t="s">
        <v>46</v>
      </c>
      <c r="B847" s="6">
        <v>40256</v>
      </c>
      <c r="C847" s="5">
        <v>12</v>
      </c>
      <c r="D847" s="5">
        <v>3</v>
      </c>
      <c r="E847" s="5">
        <v>2010</v>
      </c>
      <c r="F847" s="5" t="s">
        <v>30</v>
      </c>
      <c r="G847" s="5" t="s">
        <v>10</v>
      </c>
      <c r="H847" s="7">
        <v>73037</v>
      </c>
      <c r="I847" s="7">
        <v>82706</v>
      </c>
      <c r="J847" s="7">
        <v>9669</v>
      </c>
      <c r="K847" s="8">
        <v>0.13238495557046429</v>
      </c>
    </row>
    <row r="848" spans="1:11" x14ac:dyDescent="0.3">
      <c r="A848" s="5" t="s">
        <v>46</v>
      </c>
      <c r="B848" s="6">
        <v>40256</v>
      </c>
      <c r="C848" s="5">
        <v>12</v>
      </c>
      <c r="D848" s="5">
        <v>3</v>
      </c>
      <c r="E848" s="5">
        <v>2010</v>
      </c>
      <c r="F848" s="5" t="s">
        <v>9</v>
      </c>
      <c r="G848" s="5" t="s">
        <v>9</v>
      </c>
      <c r="H848" s="7">
        <v>427785</v>
      </c>
      <c r="I848" s="7">
        <v>499582</v>
      </c>
      <c r="J848" s="7">
        <v>71797</v>
      </c>
      <c r="K848" s="8">
        <v>0.16783430929088211</v>
      </c>
    </row>
    <row r="849" spans="1:11" x14ac:dyDescent="0.3">
      <c r="A849" s="5" t="s">
        <v>46</v>
      </c>
      <c r="B849" s="6">
        <v>40256</v>
      </c>
      <c r="C849" s="5">
        <v>12</v>
      </c>
      <c r="D849" s="5">
        <v>3</v>
      </c>
      <c r="E849" s="5">
        <v>2010</v>
      </c>
      <c r="F849" s="5" t="s">
        <v>31</v>
      </c>
      <c r="G849" s="5" t="s">
        <v>7</v>
      </c>
      <c r="H849" s="7">
        <v>47146</v>
      </c>
      <c r="I849" s="7">
        <v>58611</v>
      </c>
      <c r="J849" s="7">
        <v>11465</v>
      </c>
      <c r="K849" s="8">
        <v>0.24318075764645994</v>
      </c>
    </row>
    <row r="850" spans="1:11" x14ac:dyDescent="0.3">
      <c r="A850" s="5" t="s">
        <v>46</v>
      </c>
      <c r="B850" s="6">
        <v>40256</v>
      </c>
      <c r="C850" s="5">
        <v>12</v>
      </c>
      <c r="D850" s="5">
        <v>3</v>
      </c>
      <c r="E850" s="5">
        <v>2010</v>
      </c>
      <c r="F850" s="5" t="s">
        <v>33</v>
      </c>
      <c r="G850" s="5" t="s">
        <v>7</v>
      </c>
      <c r="H850" s="7">
        <v>51528</v>
      </c>
      <c r="I850" s="7">
        <v>96521</v>
      </c>
      <c r="J850" s="7">
        <v>44993</v>
      </c>
      <c r="K850" s="8">
        <v>0.87317574910728146</v>
      </c>
    </row>
    <row r="851" spans="1:11" x14ac:dyDescent="0.3">
      <c r="A851" s="5" t="s">
        <v>46</v>
      </c>
      <c r="B851" s="6">
        <v>40256</v>
      </c>
      <c r="C851" s="5">
        <v>12</v>
      </c>
      <c r="D851" s="5">
        <v>3</v>
      </c>
      <c r="E851" s="5">
        <v>2010</v>
      </c>
      <c r="F851" s="5" t="s">
        <v>34</v>
      </c>
      <c r="G851" s="5" t="s">
        <v>7</v>
      </c>
      <c r="H851" s="7">
        <v>3994</v>
      </c>
      <c r="I851" s="7">
        <v>4437</v>
      </c>
      <c r="J851" s="7">
        <v>443</v>
      </c>
      <c r="K851" s="8">
        <v>0.11091637456184276</v>
      </c>
    </row>
    <row r="852" spans="1:11" x14ac:dyDescent="0.3">
      <c r="A852" s="5" t="s">
        <v>46</v>
      </c>
      <c r="B852" s="6">
        <v>40256</v>
      </c>
      <c r="C852" s="5">
        <v>12</v>
      </c>
      <c r="D852" s="5">
        <v>3</v>
      </c>
      <c r="E852" s="5">
        <v>2010</v>
      </c>
      <c r="F852" s="5" t="s">
        <v>35</v>
      </c>
      <c r="G852" s="5" t="s">
        <v>11</v>
      </c>
      <c r="H852" s="7">
        <v>823</v>
      </c>
      <c r="I852" s="7">
        <v>1009</v>
      </c>
      <c r="J852" s="7">
        <v>186</v>
      </c>
      <c r="K852" s="8">
        <v>0.22600243013365734</v>
      </c>
    </row>
    <row r="853" spans="1:11" x14ac:dyDescent="0.3">
      <c r="A853" s="5" t="s">
        <v>46</v>
      </c>
      <c r="B853" s="6">
        <v>40256</v>
      </c>
      <c r="C853" s="5">
        <v>12</v>
      </c>
      <c r="D853" s="5">
        <v>3</v>
      </c>
      <c r="E853" s="5">
        <v>2010</v>
      </c>
      <c r="F853" s="5" t="s">
        <v>36</v>
      </c>
      <c r="G853" s="5" t="s">
        <v>11</v>
      </c>
      <c r="H853" s="7">
        <v>92853</v>
      </c>
      <c r="I853" s="7">
        <v>100371</v>
      </c>
      <c r="J853" s="7">
        <v>7518</v>
      </c>
      <c r="K853" s="8">
        <v>8.096668928306032E-2</v>
      </c>
    </row>
    <row r="854" spans="1:11" x14ac:dyDescent="0.3">
      <c r="A854" s="5" t="s">
        <v>46</v>
      </c>
      <c r="B854" s="6">
        <v>40256</v>
      </c>
      <c r="C854" s="5">
        <v>12</v>
      </c>
      <c r="D854" s="5">
        <v>3</v>
      </c>
      <c r="E854" s="5">
        <v>2010</v>
      </c>
      <c r="F854" s="5" t="s">
        <v>37</v>
      </c>
      <c r="G854" s="5" t="s">
        <v>11</v>
      </c>
      <c r="H854" s="7">
        <v>500950</v>
      </c>
      <c r="I854" s="7">
        <v>358810</v>
      </c>
      <c r="J854" s="7">
        <v>-142140</v>
      </c>
      <c r="K854" s="8">
        <v>-0.28374089230462124</v>
      </c>
    </row>
    <row r="855" spans="1:11" x14ac:dyDescent="0.3">
      <c r="A855" s="5" t="s">
        <v>46</v>
      </c>
      <c r="B855" s="6">
        <v>40256</v>
      </c>
      <c r="C855" s="5">
        <v>12</v>
      </c>
      <c r="D855" s="5">
        <v>3</v>
      </c>
      <c r="E855" s="5">
        <v>2010</v>
      </c>
      <c r="F855" s="5" t="s">
        <v>38</v>
      </c>
      <c r="G855" s="5" t="s">
        <v>11</v>
      </c>
      <c r="H855" s="7">
        <v>242025</v>
      </c>
      <c r="I855" s="7">
        <v>255136</v>
      </c>
      <c r="J855" s="7">
        <v>13111</v>
      </c>
      <c r="K855" s="8">
        <v>5.4172089660159073E-2</v>
      </c>
    </row>
    <row r="856" spans="1:11" x14ac:dyDescent="0.3">
      <c r="A856" s="5" t="s">
        <v>46</v>
      </c>
      <c r="B856" s="6">
        <v>40257</v>
      </c>
      <c r="C856" s="5">
        <v>12</v>
      </c>
      <c r="D856" s="5">
        <v>3</v>
      </c>
      <c r="E856" s="5">
        <v>2010</v>
      </c>
      <c r="F856" s="5" t="s">
        <v>14</v>
      </c>
      <c r="G856" s="5" t="s">
        <v>6</v>
      </c>
      <c r="H856" s="7">
        <v>14375</v>
      </c>
      <c r="I856" s="7">
        <v>16635</v>
      </c>
      <c r="J856" s="7">
        <v>2260</v>
      </c>
      <c r="K856" s="8">
        <v>0.15721739130434784</v>
      </c>
    </row>
    <row r="857" spans="1:11" x14ac:dyDescent="0.3">
      <c r="A857" s="5" t="s">
        <v>46</v>
      </c>
      <c r="B857" s="6">
        <v>40257</v>
      </c>
      <c r="C857" s="5">
        <v>12</v>
      </c>
      <c r="D857" s="5">
        <v>3</v>
      </c>
      <c r="E857" s="5">
        <v>2010</v>
      </c>
      <c r="F857" s="5" t="s">
        <v>15</v>
      </c>
      <c r="G857" s="5" t="s">
        <v>6</v>
      </c>
      <c r="H857" s="7">
        <v>231849</v>
      </c>
      <c r="I857" s="7">
        <v>287760</v>
      </c>
      <c r="J857" s="7">
        <v>55911</v>
      </c>
      <c r="K857" s="8">
        <v>0.24115264676578291</v>
      </c>
    </row>
    <row r="858" spans="1:11" x14ac:dyDescent="0.3">
      <c r="A858" s="5" t="s">
        <v>46</v>
      </c>
      <c r="B858" s="6">
        <v>40257</v>
      </c>
      <c r="C858" s="5">
        <v>12</v>
      </c>
      <c r="D858" s="5">
        <v>3</v>
      </c>
      <c r="E858" s="5">
        <v>2010</v>
      </c>
      <c r="F858" s="5" t="s">
        <v>16</v>
      </c>
      <c r="G858" s="5" t="s">
        <v>6</v>
      </c>
      <c r="H858" s="7">
        <v>128233</v>
      </c>
      <c r="I858" s="7">
        <v>144741</v>
      </c>
      <c r="J858" s="7">
        <v>16508</v>
      </c>
      <c r="K858" s="8">
        <v>0.12873441313858366</v>
      </c>
    </row>
    <row r="859" spans="1:11" x14ac:dyDescent="0.3">
      <c r="A859" s="5" t="s">
        <v>46</v>
      </c>
      <c r="B859" s="6">
        <v>40257</v>
      </c>
      <c r="C859" s="5">
        <v>12</v>
      </c>
      <c r="D859" s="5">
        <v>3</v>
      </c>
      <c r="E859" s="5">
        <v>2010</v>
      </c>
      <c r="F859" s="5" t="s">
        <v>17</v>
      </c>
      <c r="G859" s="5" t="s">
        <v>6</v>
      </c>
      <c r="H859" s="7">
        <v>1740</v>
      </c>
      <c r="I859" s="7">
        <v>1845</v>
      </c>
      <c r="J859" s="7">
        <v>105</v>
      </c>
      <c r="K859" s="8">
        <v>6.0344827586206899E-2</v>
      </c>
    </row>
    <row r="860" spans="1:11" x14ac:dyDescent="0.3">
      <c r="A860" s="5" t="s">
        <v>46</v>
      </c>
      <c r="B860" s="6">
        <v>40257</v>
      </c>
      <c r="C860" s="5">
        <v>12</v>
      </c>
      <c r="D860" s="5">
        <v>3</v>
      </c>
      <c r="E860" s="5">
        <v>2010</v>
      </c>
      <c r="F860" s="5" t="s">
        <v>18</v>
      </c>
      <c r="G860" s="5" t="s">
        <v>6</v>
      </c>
      <c r="H860" s="7">
        <v>11880</v>
      </c>
      <c r="I860" s="7">
        <v>13747</v>
      </c>
      <c r="J860" s="7">
        <v>1867</v>
      </c>
      <c r="K860" s="8">
        <v>0.15715488215488216</v>
      </c>
    </row>
    <row r="861" spans="1:11" x14ac:dyDescent="0.3">
      <c r="A861" s="5" t="s">
        <v>46</v>
      </c>
      <c r="B861" s="6">
        <v>40257</v>
      </c>
      <c r="C861" s="5">
        <v>12</v>
      </c>
      <c r="D861" s="5">
        <v>3</v>
      </c>
      <c r="E861" s="5">
        <v>2010</v>
      </c>
      <c r="F861" s="5" t="s">
        <v>19</v>
      </c>
      <c r="G861" s="5" t="s">
        <v>5</v>
      </c>
      <c r="H861" s="7">
        <v>133602</v>
      </c>
      <c r="I861" s="7">
        <v>148018</v>
      </c>
      <c r="J861" s="7">
        <v>14416</v>
      </c>
      <c r="K861" s="8">
        <v>0.1079025763087379</v>
      </c>
    </row>
    <row r="862" spans="1:11" x14ac:dyDescent="0.3">
      <c r="A862" s="5" t="s">
        <v>46</v>
      </c>
      <c r="B862" s="6">
        <v>40257</v>
      </c>
      <c r="C862" s="5">
        <v>12</v>
      </c>
      <c r="D862" s="5">
        <v>3</v>
      </c>
      <c r="E862" s="5">
        <v>2010</v>
      </c>
      <c r="F862" s="5" t="s">
        <v>5</v>
      </c>
      <c r="G862" s="5" t="s">
        <v>5</v>
      </c>
      <c r="H862" s="7">
        <v>646951</v>
      </c>
      <c r="I862" s="7">
        <v>677763</v>
      </c>
      <c r="J862" s="7">
        <v>30812</v>
      </c>
      <c r="K862" s="8">
        <v>4.7626481758278445E-2</v>
      </c>
    </row>
    <row r="863" spans="1:11" x14ac:dyDescent="0.3">
      <c r="A863" s="5" t="s">
        <v>46</v>
      </c>
      <c r="B863" s="6">
        <v>40257</v>
      </c>
      <c r="C863" s="5">
        <v>12</v>
      </c>
      <c r="D863" s="5">
        <v>3</v>
      </c>
      <c r="E863" s="5">
        <v>2010</v>
      </c>
      <c r="F863" s="5" t="s">
        <v>20</v>
      </c>
      <c r="G863" s="5" t="s">
        <v>5</v>
      </c>
      <c r="H863" s="7">
        <v>163816</v>
      </c>
      <c r="I863" s="7">
        <v>182535</v>
      </c>
      <c r="J863" s="7">
        <v>18719</v>
      </c>
      <c r="K863" s="8">
        <v>0.11426844752649314</v>
      </c>
    </row>
    <row r="864" spans="1:11" x14ac:dyDescent="0.3">
      <c r="A864" s="5" t="s">
        <v>46</v>
      </c>
      <c r="B864" s="6">
        <v>40257</v>
      </c>
      <c r="C864" s="5">
        <v>12</v>
      </c>
      <c r="D864" s="5">
        <v>3</v>
      </c>
      <c r="E864" s="5">
        <v>2010</v>
      </c>
      <c r="F864" s="5" t="s">
        <v>21</v>
      </c>
      <c r="G864" s="5" t="s">
        <v>5</v>
      </c>
      <c r="H864" s="7">
        <v>225819</v>
      </c>
      <c r="I864" s="7">
        <v>240010</v>
      </c>
      <c r="J864" s="7">
        <v>14191</v>
      </c>
      <c r="K864" s="8">
        <v>6.2842364902864684E-2</v>
      </c>
    </row>
    <row r="865" spans="1:11" x14ac:dyDescent="0.3">
      <c r="A865" s="5" t="s">
        <v>46</v>
      </c>
      <c r="B865" s="6">
        <v>40257</v>
      </c>
      <c r="C865" s="5">
        <v>12</v>
      </c>
      <c r="D865" s="5">
        <v>3</v>
      </c>
      <c r="E865" s="5">
        <v>2010</v>
      </c>
      <c r="F865" s="5" t="s">
        <v>22</v>
      </c>
      <c r="G865" s="5" t="s">
        <v>8</v>
      </c>
      <c r="H865" s="7">
        <v>543762</v>
      </c>
      <c r="I865" s="7">
        <v>587939</v>
      </c>
      <c r="J865" s="7">
        <v>44177</v>
      </c>
      <c r="K865" s="8">
        <v>8.1243264516461244E-2</v>
      </c>
    </row>
    <row r="866" spans="1:11" x14ac:dyDescent="0.3">
      <c r="A866" s="5" t="s">
        <v>46</v>
      </c>
      <c r="B866" s="6">
        <v>40257</v>
      </c>
      <c r="C866" s="5">
        <v>12</v>
      </c>
      <c r="D866" s="5">
        <v>3</v>
      </c>
      <c r="E866" s="5">
        <v>2010</v>
      </c>
      <c r="F866" s="5" t="s">
        <v>23</v>
      </c>
      <c r="G866" s="5" t="s">
        <v>8</v>
      </c>
      <c r="H866" s="7">
        <v>172653</v>
      </c>
      <c r="I866" s="7">
        <v>181154</v>
      </c>
      <c r="J866" s="7">
        <v>8501</v>
      </c>
      <c r="K866" s="8">
        <v>4.9237487909274673E-2</v>
      </c>
    </row>
    <row r="867" spans="1:11" x14ac:dyDescent="0.3">
      <c r="A867" s="5" t="s">
        <v>46</v>
      </c>
      <c r="B867" s="6">
        <v>40257</v>
      </c>
      <c r="C867" s="5">
        <v>12</v>
      </c>
      <c r="D867" s="5">
        <v>3</v>
      </c>
      <c r="E867" s="5">
        <v>2010</v>
      </c>
      <c r="F867" s="5" t="s">
        <v>24</v>
      </c>
      <c r="G867" s="5" t="s">
        <v>8</v>
      </c>
      <c r="H867" s="7">
        <v>184296</v>
      </c>
      <c r="I867" s="7">
        <v>199757</v>
      </c>
      <c r="J867" s="7">
        <v>15461</v>
      </c>
      <c r="K867" s="8">
        <v>8.3892216868515862E-2</v>
      </c>
    </row>
    <row r="868" spans="1:11" x14ac:dyDescent="0.3">
      <c r="A868" s="5" t="s">
        <v>46</v>
      </c>
      <c r="B868" s="6">
        <v>40257</v>
      </c>
      <c r="C868" s="5">
        <v>12</v>
      </c>
      <c r="D868" s="5">
        <v>3</v>
      </c>
      <c r="E868" s="5">
        <v>2010</v>
      </c>
      <c r="F868" s="5" t="s">
        <v>25</v>
      </c>
      <c r="G868" s="5" t="s">
        <v>8</v>
      </c>
      <c r="H868" s="7">
        <v>905</v>
      </c>
      <c r="I868" s="7">
        <v>9849</v>
      </c>
      <c r="J868" s="7">
        <v>8944</v>
      </c>
      <c r="K868" s="8">
        <v>9.8828729281767949</v>
      </c>
    </row>
    <row r="869" spans="1:11" x14ac:dyDescent="0.3">
      <c r="A869" s="5" t="s">
        <v>46</v>
      </c>
      <c r="B869" s="6">
        <v>40257</v>
      </c>
      <c r="C869" s="5">
        <v>12</v>
      </c>
      <c r="D869" s="5">
        <v>3</v>
      </c>
      <c r="E869" s="5">
        <v>2010</v>
      </c>
      <c r="F869" s="5" t="s">
        <v>26</v>
      </c>
      <c r="G869" s="5" t="s">
        <v>10</v>
      </c>
      <c r="H869" s="7">
        <v>10665</v>
      </c>
      <c r="I869" s="7">
        <v>11990</v>
      </c>
      <c r="J869" s="7">
        <v>1325</v>
      </c>
      <c r="K869" s="8">
        <v>0.12423816221284575</v>
      </c>
    </row>
    <row r="870" spans="1:11" x14ac:dyDescent="0.3">
      <c r="A870" s="5" t="s">
        <v>46</v>
      </c>
      <c r="B870" s="6">
        <v>40257</v>
      </c>
      <c r="C870" s="5">
        <v>12</v>
      </c>
      <c r="D870" s="5">
        <v>3</v>
      </c>
      <c r="E870" s="5">
        <v>2010</v>
      </c>
      <c r="F870" s="5" t="s">
        <v>27</v>
      </c>
      <c r="G870" s="5" t="s">
        <v>10</v>
      </c>
      <c r="H870" s="7">
        <v>103793</v>
      </c>
      <c r="I870" s="7">
        <v>117728</v>
      </c>
      <c r="J870" s="7">
        <v>13935</v>
      </c>
      <c r="K870" s="8">
        <v>0.13425760889462682</v>
      </c>
    </row>
    <row r="871" spans="1:11" x14ac:dyDescent="0.3">
      <c r="A871" s="5" t="s">
        <v>46</v>
      </c>
      <c r="B871" s="6">
        <v>40257</v>
      </c>
      <c r="C871" s="5">
        <v>12</v>
      </c>
      <c r="D871" s="5">
        <v>3</v>
      </c>
      <c r="E871" s="5">
        <v>2010</v>
      </c>
      <c r="F871" s="5" t="s">
        <v>28</v>
      </c>
      <c r="G871" s="5" t="s">
        <v>10</v>
      </c>
      <c r="H871" s="7">
        <v>116045</v>
      </c>
      <c r="I871" s="7">
        <v>136949</v>
      </c>
      <c r="J871" s="7">
        <v>20904</v>
      </c>
      <c r="K871" s="8">
        <v>0.18013701581283123</v>
      </c>
    </row>
    <row r="872" spans="1:11" x14ac:dyDescent="0.3">
      <c r="A872" s="5" t="s">
        <v>46</v>
      </c>
      <c r="B872" s="6">
        <v>40257</v>
      </c>
      <c r="C872" s="5">
        <v>12</v>
      </c>
      <c r="D872" s="5">
        <v>3</v>
      </c>
      <c r="E872" s="5">
        <v>2010</v>
      </c>
      <c r="F872" s="5" t="s">
        <v>29</v>
      </c>
      <c r="G872" s="5" t="s">
        <v>10</v>
      </c>
      <c r="H872" s="7">
        <v>480643</v>
      </c>
      <c r="I872" s="7">
        <v>525391</v>
      </c>
      <c r="J872" s="7">
        <v>44748</v>
      </c>
      <c r="K872" s="8">
        <v>9.3100284410674861E-2</v>
      </c>
    </row>
    <row r="873" spans="1:11" x14ac:dyDescent="0.3">
      <c r="A873" s="5" t="s">
        <v>46</v>
      </c>
      <c r="B873" s="6">
        <v>40257</v>
      </c>
      <c r="C873" s="5">
        <v>12</v>
      </c>
      <c r="D873" s="5">
        <v>3</v>
      </c>
      <c r="E873" s="5">
        <v>2010</v>
      </c>
      <c r="F873" s="5" t="s">
        <v>30</v>
      </c>
      <c r="G873" s="5" t="s">
        <v>10</v>
      </c>
      <c r="H873" s="7">
        <v>116471</v>
      </c>
      <c r="I873" s="7">
        <v>131701</v>
      </c>
      <c r="J873" s="7">
        <v>15230</v>
      </c>
      <c r="K873" s="8">
        <v>0.13076216397214757</v>
      </c>
    </row>
    <row r="874" spans="1:11" x14ac:dyDescent="0.3">
      <c r="A874" s="5" t="s">
        <v>46</v>
      </c>
      <c r="B874" s="6">
        <v>40257</v>
      </c>
      <c r="C874" s="5">
        <v>12</v>
      </c>
      <c r="D874" s="5">
        <v>3</v>
      </c>
      <c r="E874" s="5">
        <v>2010</v>
      </c>
      <c r="F874" s="5" t="s">
        <v>9</v>
      </c>
      <c r="G874" s="5" t="s">
        <v>9</v>
      </c>
      <c r="H874" s="7">
        <v>866122</v>
      </c>
      <c r="I874" s="7">
        <v>996132</v>
      </c>
      <c r="J874" s="7">
        <v>130010</v>
      </c>
      <c r="K874" s="8">
        <v>0.15010587423018928</v>
      </c>
    </row>
    <row r="875" spans="1:11" x14ac:dyDescent="0.3">
      <c r="A875" s="5" t="s">
        <v>46</v>
      </c>
      <c r="B875" s="6">
        <v>40257</v>
      </c>
      <c r="C875" s="5">
        <v>12</v>
      </c>
      <c r="D875" s="5">
        <v>3</v>
      </c>
      <c r="E875" s="5">
        <v>2010</v>
      </c>
      <c r="F875" s="5" t="s">
        <v>31</v>
      </c>
      <c r="G875" s="5" t="s">
        <v>7</v>
      </c>
      <c r="H875" s="7">
        <v>71634</v>
      </c>
      <c r="I875" s="7">
        <v>90381</v>
      </c>
      <c r="J875" s="7">
        <v>18747</v>
      </c>
      <c r="K875" s="8">
        <v>0.26170533545523078</v>
      </c>
    </row>
    <row r="876" spans="1:11" x14ac:dyDescent="0.3">
      <c r="A876" s="5" t="s">
        <v>46</v>
      </c>
      <c r="B876" s="6">
        <v>40257</v>
      </c>
      <c r="C876" s="5">
        <v>12</v>
      </c>
      <c r="D876" s="5">
        <v>3</v>
      </c>
      <c r="E876" s="5">
        <v>2010</v>
      </c>
      <c r="F876" s="5" t="s">
        <v>33</v>
      </c>
      <c r="G876" s="5" t="s">
        <v>7</v>
      </c>
      <c r="H876" s="7">
        <v>62850</v>
      </c>
      <c r="I876" s="7">
        <v>121572</v>
      </c>
      <c r="J876" s="7">
        <v>58722</v>
      </c>
      <c r="K876" s="8">
        <v>0.93431980906921241</v>
      </c>
    </row>
    <row r="877" spans="1:11" x14ac:dyDescent="0.3">
      <c r="A877" s="5" t="s">
        <v>46</v>
      </c>
      <c r="B877" s="6">
        <v>40257</v>
      </c>
      <c r="C877" s="5">
        <v>12</v>
      </c>
      <c r="D877" s="5">
        <v>3</v>
      </c>
      <c r="E877" s="5">
        <v>2010</v>
      </c>
      <c r="F877" s="5" t="s">
        <v>34</v>
      </c>
      <c r="G877" s="5" t="s">
        <v>7</v>
      </c>
      <c r="H877" s="7">
        <v>5110</v>
      </c>
      <c r="I877" s="7">
        <v>5677</v>
      </c>
      <c r="J877" s="7">
        <v>567</v>
      </c>
      <c r="K877" s="8">
        <v>0.11095890410958904</v>
      </c>
    </row>
    <row r="878" spans="1:11" x14ac:dyDescent="0.3">
      <c r="A878" s="5" t="s">
        <v>46</v>
      </c>
      <c r="B878" s="6">
        <v>40257</v>
      </c>
      <c r="C878" s="5">
        <v>12</v>
      </c>
      <c r="D878" s="5">
        <v>3</v>
      </c>
      <c r="E878" s="5">
        <v>2010</v>
      </c>
      <c r="F878" s="5" t="s">
        <v>35</v>
      </c>
      <c r="G878" s="5" t="s">
        <v>11</v>
      </c>
      <c r="H878" s="7">
        <v>3922</v>
      </c>
      <c r="I878" s="7">
        <v>4458</v>
      </c>
      <c r="J878" s="7">
        <v>536</v>
      </c>
      <c r="K878" s="8">
        <v>0.1366649668536461</v>
      </c>
    </row>
    <row r="879" spans="1:11" x14ac:dyDescent="0.3">
      <c r="A879" s="5" t="s">
        <v>46</v>
      </c>
      <c r="B879" s="6">
        <v>40257</v>
      </c>
      <c r="C879" s="5">
        <v>12</v>
      </c>
      <c r="D879" s="5">
        <v>3</v>
      </c>
      <c r="E879" s="5">
        <v>2010</v>
      </c>
      <c r="F879" s="5" t="s">
        <v>36</v>
      </c>
      <c r="G879" s="5" t="s">
        <v>11</v>
      </c>
      <c r="H879" s="7">
        <v>138332</v>
      </c>
      <c r="I879" s="7">
        <v>151481</v>
      </c>
      <c r="J879" s="7">
        <v>13149</v>
      </c>
      <c r="K879" s="8">
        <v>9.505392823063355E-2</v>
      </c>
    </row>
    <row r="880" spans="1:11" x14ac:dyDescent="0.3">
      <c r="A880" s="5" t="s">
        <v>46</v>
      </c>
      <c r="B880" s="6">
        <v>40257</v>
      </c>
      <c r="C880" s="5">
        <v>12</v>
      </c>
      <c r="D880" s="5">
        <v>3</v>
      </c>
      <c r="E880" s="5">
        <v>2010</v>
      </c>
      <c r="F880" s="5" t="s">
        <v>37</v>
      </c>
      <c r="G880" s="5" t="s">
        <v>11</v>
      </c>
      <c r="H880" s="7">
        <v>388693</v>
      </c>
      <c r="I880" s="7">
        <v>346788</v>
      </c>
      <c r="J880" s="7">
        <v>-41905</v>
      </c>
      <c r="K880" s="8">
        <v>-0.10781001973279683</v>
      </c>
    </row>
    <row r="881" spans="1:11" x14ac:dyDescent="0.3">
      <c r="A881" s="5" t="s">
        <v>46</v>
      </c>
      <c r="B881" s="6">
        <v>40257</v>
      </c>
      <c r="C881" s="5">
        <v>12</v>
      </c>
      <c r="D881" s="5">
        <v>3</v>
      </c>
      <c r="E881" s="5">
        <v>2010</v>
      </c>
      <c r="F881" s="5" t="s">
        <v>38</v>
      </c>
      <c r="G881" s="5" t="s">
        <v>11</v>
      </c>
      <c r="H881" s="7">
        <v>338554</v>
      </c>
      <c r="I881" s="7">
        <v>360894</v>
      </c>
      <c r="J881" s="7">
        <v>22340</v>
      </c>
      <c r="K881" s="8">
        <v>6.5986519137272048E-2</v>
      </c>
    </row>
    <row r="882" spans="1:11" x14ac:dyDescent="0.3">
      <c r="A882" s="5" t="s">
        <v>46</v>
      </c>
      <c r="B882" s="6">
        <v>40258</v>
      </c>
      <c r="C882" s="5">
        <v>13</v>
      </c>
      <c r="D882" s="5">
        <v>3</v>
      </c>
      <c r="E882" s="5">
        <v>2010</v>
      </c>
      <c r="F882" s="5" t="s">
        <v>14</v>
      </c>
      <c r="G882" s="5" t="s">
        <v>6</v>
      </c>
      <c r="H882" s="7">
        <v>9563.98</v>
      </c>
      <c r="I882" s="7">
        <v>11032.89</v>
      </c>
      <c r="J882" s="7">
        <v>1468.9099999999999</v>
      </c>
      <c r="K882" s="8">
        <v>0.15358773230391531</v>
      </c>
    </row>
    <row r="883" spans="1:11" x14ac:dyDescent="0.3">
      <c r="A883" s="5" t="s">
        <v>46</v>
      </c>
      <c r="B883" s="6">
        <v>40258</v>
      </c>
      <c r="C883" s="5">
        <v>13</v>
      </c>
      <c r="D883" s="5">
        <v>3</v>
      </c>
      <c r="E883" s="5">
        <v>2010</v>
      </c>
      <c r="F883" s="5" t="s">
        <v>15</v>
      </c>
      <c r="G883" s="5" t="s">
        <v>6</v>
      </c>
      <c r="H883" s="7">
        <v>209681</v>
      </c>
      <c r="I883" s="7">
        <v>262257</v>
      </c>
      <c r="J883" s="7">
        <v>52576</v>
      </c>
      <c r="K883" s="8">
        <v>0.25074279500765451</v>
      </c>
    </row>
    <row r="884" spans="1:11" x14ac:dyDescent="0.3">
      <c r="A884" s="5" t="s">
        <v>46</v>
      </c>
      <c r="B884" s="6">
        <v>40258</v>
      </c>
      <c r="C884" s="5">
        <v>13</v>
      </c>
      <c r="D884" s="5">
        <v>3</v>
      </c>
      <c r="E884" s="5">
        <v>2010</v>
      </c>
      <c r="F884" s="5" t="s">
        <v>16</v>
      </c>
      <c r="G884" s="5" t="s">
        <v>6</v>
      </c>
      <c r="H884" s="7">
        <v>121618</v>
      </c>
      <c r="I884" s="7">
        <v>138146</v>
      </c>
      <c r="J884" s="7">
        <v>16528</v>
      </c>
      <c r="K884" s="8">
        <v>0.13590093571675246</v>
      </c>
    </row>
    <row r="885" spans="1:11" x14ac:dyDescent="0.3">
      <c r="A885" s="5" t="s">
        <v>46</v>
      </c>
      <c r="B885" s="6">
        <v>40258</v>
      </c>
      <c r="C885" s="5">
        <v>13</v>
      </c>
      <c r="D885" s="5">
        <v>3</v>
      </c>
      <c r="E885" s="5">
        <v>2010</v>
      </c>
      <c r="F885" s="5" t="s">
        <v>17</v>
      </c>
      <c r="G885" s="5" t="s">
        <v>6</v>
      </c>
      <c r="H885" s="7">
        <v>2232</v>
      </c>
      <c r="I885" s="7">
        <v>2426</v>
      </c>
      <c r="J885" s="7">
        <v>194</v>
      </c>
      <c r="K885" s="8">
        <v>8.6917562724014338E-2</v>
      </c>
    </row>
    <row r="886" spans="1:11" x14ac:dyDescent="0.3">
      <c r="A886" s="5" t="s">
        <v>46</v>
      </c>
      <c r="B886" s="6">
        <v>40258</v>
      </c>
      <c r="C886" s="5">
        <v>13</v>
      </c>
      <c r="D886" s="5">
        <v>3</v>
      </c>
      <c r="E886" s="5">
        <v>2010</v>
      </c>
      <c r="F886" s="5" t="s">
        <v>18</v>
      </c>
      <c r="G886" s="5" t="s">
        <v>6</v>
      </c>
      <c r="H886" s="7">
        <v>8474.5499999999993</v>
      </c>
      <c r="I886" s="7">
        <v>9488.48</v>
      </c>
      <c r="J886" s="7">
        <v>1013.9300000000003</v>
      </c>
      <c r="K886" s="8">
        <v>0.11964411089674383</v>
      </c>
    </row>
    <row r="887" spans="1:11" x14ac:dyDescent="0.3">
      <c r="A887" s="5" t="s">
        <v>46</v>
      </c>
      <c r="B887" s="6">
        <v>40258</v>
      </c>
      <c r="C887" s="5">
        <v>13</v>
      </c>
      <c r="D887" s="5">
        <v>3</v>
      </c>
      <c r="E887" s="5">
        <v>2010</v>
      </c>
      <c r="F887" s="5" t="s">
        <v>19</v>
      </c>
      <c r="G887" s="5" t="s">
        <v>5</v>
      </c>
      <c r="H887" s="7">
        <v>134757</v>
      </c>
      <c r="I887" s="7">
        <v>150741</v>
      </c>
      <c r="J887" s="7">
        <v>15984</v>
      </c>
      <c r="K887" s="8">
        <v>0.11861350430775396</v>
      </c>
    </row>
    <row r="888" spans="1:11" x14ac:dyDescent="0.3">
      <c r="A888" s="5" t="s">
        <v>46</v>
      </c>
      <c r="B888" s="6">
        <v>40258</v>
      </c>
      <c r="C888" s="5">
        <v>13</v>
      </c>
      <c r="D888" s="5">
        <v>3</v>
      </c>
      <c r="E888" s="5">
        <v>2010</v>
      </c>
      <c r="F888" s="5" t="s">
        <v>5</v>
      </c>
      <c r="G888" s="5" t="s">
        <v>5</v>
      </c>
      <c r="H888" s="7">
        <v>496487</v>
      </c>
      <c r="I888" s="7">
        <v>521870</v>
      </c>
      <c r="J888" s="7">
        <v>25383</v>
      </c>
      <c r="K888" s="8">
        <v>5.112520569521458E-2</v>
      </c>
    </row>
    <row r="889" spans="1:11" x14ac:dyDescent="0.3">
      <c r="A889" s="5" t="s">
        <v>46</v>
      </c>
      <c r="B889" s="6">
        <v>40258</v>
      </c>
      <c r="C889" s="5">
        <v>13</v>
      </c>
      <c r="D889" s="5">
        <v>3</v>
      </c>
      <c r="E889" s="5">
        <v>2010</v>
      </c>
      <c r="F889" s="5" t="s">
        <v>20</v>
      </c>
      <c r="G889" s="5" t="s">
        <v>5</v>
      </c>
      <c r="H889" s="7">
        <v>132293</v>
      </c>
      <c r="I889" s="7">
        <v>147508</v>
      </c>
      <c r="J889" s="7">
        <v>15215</v>
      </c>
      <c r="K889" s="8">
        <v>0.11500986446750773</v>
      </c>
    </row>
    <row r="890" spans="1:11" x14ac:dyDescent="0.3">
      <c r="A890" s="5" t="s">
        <v>46</v>
      </c>
      <c r="B890" s="6">
        <v>40258</v>
      </c>
      <c r="C890" s="5">
        <v>13</v>
      </c>
      <c r="D890" s="5">
        <v>3</v>
      </c>
      <c r="E890" s="5">
        <v>2010</v>
      </c>
      <c r="F890" s="5" t="s">
        <v>21</v>
      </c>
      <c r="G890" s="5" t="s">
        <v>5</v>
      </c>
      <c r="H890" s="7">
        <v>204868</v>
      </c>
      <c r="I890" s="7">
        <v>217190</v>
      </c>
      <c r="J890" s="7">
        <v>12322</v>
      </c>
      <c r="K890" s="8">
        <v>6.0146045258410295E-2</v>
      </c>
    </row>
    <row r="891" spans="1:11" x14ac:dyDescent="0.3">
      <c r="A891" s="5" t="s">
        <v>46</v>
      </c>
      <c r="B891" s="6">
        <v>40258</v>
      </c>
      <c r="C891" s="5">
        <v>13</v>
      </c>
      <c r="D891" s="5">
        <v>3</v>
      </c>
      <c r="E891" s="5">
        <v>2010</v>
      </c>
      <c r="F891" s="5" t="s">
        <v>22</v>
      </c>
      <c r="G891" s="5" t="s">
        <v>8</v>
      </c>
      <c r="H891" s="7">
        <v>417718</v>
      </c>
      <c r="I891" s="7">
        <v>457824</v>
      </c>
      <c r="J891" s="7">
        <v>40106</v>
      </c>
      <c r="K891" s="8">
        <v>9.6012142162894581E-2</v>
      </c>
    </row>
    <row r="892" spans="1:11" x14ac:dyDescent="0.3">
      <c r="A892" s="5" t="s">
        <v>46</v>
      </c>
      <c r="B892" s="6">
        <v>40258</v>
      </c>
      <c r="C892" s="5">
        <v>13</v>
      </c>
      <c r="D892" s="5">
        <v>3</v>
      </c>
      <c r="E892" s="5">
        <v>2010</v>
      </c>
      <c r="F892" s="5" t="s">
        <v>23</v>
      </c>
      <c r="G892" s="5" t="s">
        <v>8</v>
      </c>
      <c r="H892" s="7">
        <v>122595</v>
      </c>
      <c r="I892" s="7">
        <v>130932</v>
      </c>
      <c r="J892" s="7">
        <v>8337</v>
      </c>
      <c r="K892" s="8">
        <v>6.8004404747338792E-2</v>
      </c>
    </row>
    <row r="893" spans="1:11" x14ac:dyDescent="0.3">
      <c r="A893" s="5" t="s">
        <v>46</v>
      </c>
      <c r="B893" s="6">
        <v>40258</v>
      </c>
      <c r="C893" s="5">
        <v>13</v>
      </c>
      <c r="D893" s="5">
        <v>3</v>
      </c>
      <c r="E893" s="5">
        <v>2010</v>
      </c>
      <c r="F893" s="5" t="s">
        <v>24</v>
      </c>
      <c r="G893" s="5" t="s">
        <v>8</v>
      </c>
      <c r="H893" s="7">
        <v>154873</v>
      </c>
      <c r="I893" s="7">
        <v>167741</v>
      </c>
      <c r="J893" s="7">
        <v>12868</v>
      </c>
      <c r="K893" s="8">
        <v>8.3087432928915947E-2</v>
      </c>
    </row>
    <row r="894" spans="1:11" x14ac:dyDescent="0.3">
      <c r="A894" s="5" t="s">
        <v>46</v>
      </c>
      <c r="B894" s="6">
        <v>40258</v>
      </c>
      <c r="C894" s="5">
        <v>13</v>
      </c>
      <c r="D894" s="5">
        <v>3</v>
      </c>
      <c r="E894" s="5">
        <v>2010</v>
      </c>
      <c r="F894" s="5" t="s">
        <v>25</v>
      </c>
      <c r="G894" s="5" t="s">
        <v>8</v>
      </c>
      <c r="H894" s="7">
        <v>5822</v>
      </c>
      <c r="I894" s="7">
        <v>6466.54</v>
      </c>
      <c r="J894" s="7">
        <v>644.54</v>
      </c>
      <c r="K894" s="8">
        <v>0.11070766059773274</v>
      </c>
    </row>
    <row r="895" spans="1:11" x14ac:dyDescent="0.3">
      <c r="A895" s="5" t="s">
        <v>46</v>
      </c>
      <c r="B895" s="6">
        <v>40258</v>
      </c>
      <c r="C895" s="5">
        <v>13</v>
      </c>
      <c r="D895" s="5">
        <v>3</v>
      </c>
      <c r="E895" s="5">
        <v>2010</v>
      </c>
      <c r="F895" s="5" t="s">
        <v>26</v>
      </c>
      <c r="G895" s="5" t="s">
        <v>10</v>
      </c>
      <c r="H895" s="7">
        <v>3331</v>
      </c>
      <c r="I895" s="7">
        <v>3764</v>
      </c>
      <c r="J895" s="7">
        <v>433</v>
      </c>
      <c r="K895" s="8">
        <v>0.12999099369558692</v>
      </c>
    </row>
    <row r="896" spans="1:11" x14ac:dyDescent="0.3">
      <c r="A896" s="5" t="s">
        <v>46</v>
      </c>
      <c r="B896" s="6">
        <v>40258</v>
      </c>
      <c r="C896" s="5">
        <v>13</v>
      </c>
      <c r="D896" s="5">
        <v>3</v>
      </c>
      <c r="E896" s="5">
        <v>2010</v>
      </c>
      <c r="F896" s="5" t="s">
        <v>27</v>
      </c>
      <c r="G896" s="5" t="s">
        <v>10</v>
      </c>
      <c r="H896" s="7">
        <v>103679</v>
      </c>
      <c r="I896" s="7">
        <v>117972</v>
      </c>
      <c r="J896" s="7">
        <v>14293</v>
      </c>
      <c r="K896" s="8">
        <v>0.13785819693476981</v>
      </c>
    </row>
    <row r="897" spans="1:11" x14ac:dyDescent="0.3">
      <c r="A897" s="5" t="s">
        <v>46</v>
      </c>
      <c r="B897" s="6">
        <v>40258</v>
      </c>
      <c r="C897" s="5">
        <v>13</v>
      </c>
      <c r="D897" s="5">
        <v>3</v>
      </c>
      <c r="E897" s="5">
        <v>2010</v>
      </c>
      <c r="F897" s="5" t="s">
        <v>28</v>
      </c>
      <c r="G897" s="5" t="s">
        <v>10</v>
      </c>
      <c r="H897" s="7">
        <v>94954</v>
      </c>
      <c r="I897" s="7">
        <v>111876</v>
      </c>
      <c r="J897" s="7">
        <v>16922</v>
      </c>
      <c r="K897" s="8">
        <v>0.17821260821029131</v>
      </c>
    </row>
    <row r="898" spans="1:11" x14ac:dyDescent="0.3">
      <c r="A898" s="5" t="s">
        <v>46</v>
      </c>
      <c r="B898" s="6">
        <v>40258</v>
      </c>
      <c r="C898" s="5">
        <v>13</v>
      </c>
      <c r="D898" s="5">
        <v>3</v>
      </c>
      <c r="E898" s="5">
        <v>2010</v>
      </c>
      <c r="F898" s="5" t="s">
        <v>29</v>
      </c>
      <c r="G898" s="5" t="s">
        <v>10</v>
      </c>
      <c r="H898" s="7">
        <v>425912</v>
      </c>
      <c r="I898" s="7">
        <v>463064</v>
      </c>
      <c r="J898" s="7">
        <v>37152</v>
      </c>
      <c r="K898" s="8">
        <v>8.7229286801029315E-2</v>
      </c>
    </row>
    <row r="899" spans="1:11" x14ac:dyDescent="0.3">
      <c r="A899" s="5" t="s">
        <v>46</v>
      </c>
      <c r="B899" s="6">
        <v>40258</v>
      </c>
      <c r="C899" s="5">
        <v>13</v>
      </c>
      <c r="D899" s="5">
        <v>3</v>
      </c>
      <c r="E899" s="5">
        <v>2010</v>
      </c>
      <c r="F899" s="5" t="s">
        <v>30</v>
      </c>
      <c r="G899" s="5" t="s">
        <v>10</v>
      </c>
      <c r="H899" s="7">
        <v>111173</v>
      </c>
      <c r="I899" s="7">
        <v>126373</v>
      </c>
      <c r="J899" s="7">
        <v>15200</v>
      </c>
      <c r="K899" s="8">
        <v>0.13672384481843614</v>
      </c>
    </row>
    <row r="900" spans="1:11" x14ac:dyDescent="0.3">
      <c r="A900" s="5" t="s">
        <v>46</v>
      </c>
      <c r="B900" s="6">
        <v>40258</v>
      </c>
      <c r="C900" s="5">
        <v>13</v>
      </c>
      <c r="D900" s="5">
        <v>3</v>
      </c>
      <c r="E900" s="5">
        <v>2010</v>
      </c>
      <c r="F900" s="5" t="s">
        <v>9</v>
      </c>
      <c r="G900" s="5" t="s">
        <v>9</v>
      </c>
      <c r="H900" s="7">
        <v>726860</v>
      </c>
      <c r="I900" s="7">
        <v>850382</v>
      </c>
      <c r="J900" s="7">
        <v>123522</v>
      </c>
      <c r="K900" s="8">
        <v>0.16993919049060341</v>
      </c>
    </row>
    <row r="901" spans="1:11" x14ac:dyDescent="0.3">
      <c r="A901" s="5" t="s">
        <v>46</v>
      </c>
      <c r="B901" s="6">
        <v>40258</v>
      </c>
      <c r="C901" s="5">
        <v>13</v>
      </c>
      <c r="D901" s="5">
        <v>3</v>
      </c>
      <c r="E901" s="5">
        <v>2010</v>
      </c>
      <c r="F901" s="5" t="s">
        <v>31</v>
      </c>
      <c r="G901" s="5" t="s">
        <v>7</v>
      </c>
      <c r="H901" s="7">
        <v>80441</v>
      </c>
      <c r="I901" s="7">
        <v>95504</v>
      </c>
      <c r="J901" s="7">
        <v>15063</v>
      </c>
      <c r="K901" s="8">
        <v>0.18725525540458224</v>
      </c>
    </row>
    <row r="902" spans="1:11" x14ac:dyDescent="0.3">
      <c r="A902" s="5" t="s">
        <v>46</v>
      </c>
      <c r="B902" s="6">
        <v>40258</v>
      </c>
      <c r="C902" s="5">
        <v>13</v>
      </c>
      <c r="D902" s="5">
        <v>3</v>
      </c>
      <c r="E902" s="5">
        <v>2010</v>
      </c>
      <c r="F902" s="5" t="s">
        <v>33</v>
      </c>
      <c r="G902" s="5" t="s">
        <v>7</v>
      </c>
      <c r="H902" s="7">
        <v>62570</v>
      </c>
      <c r="I902" s="7">
        <v>122062</v>
      </c>
      <c r="J902" s="7">
        <v>59492</v>
      </c>
      <c r="K902" s="8">
        <v>0.95080709605242131</v>
      </c>
    </row>
    <row r="903" spans="1:11" x14ac:dyDescent="0.3">
      <c r="A903" s="5" t="s">
        <v>46</v>
      </c>
      <c r="B903" s="6">
        <v>40258</v>
      </c>
      <c r="C903" s="5">
        <v>13</v>
      </c>
      <c r="D903" s="5">
        <v>3</v>
      </c>
      <c r="E903" s="5">
        <v>2010</v>
      </c>
      <c r="F903" s="5" t="s">
        <v>34</v>
      </c>
      <c r="G903" s="5" t="s">
        <v>7</v>
      </c>
      <c r="H903" s="7">
        <v>5609</v>
      </c>
      <c r="I903" s="7">
        <v>6231</v>
      </c>
      <c r="J903" s="7">
        <v>622</v>
      </c>
      <c r="K903" s="8">
        <v>0.11089320734533785</v>
      </c>
    </row>
    <row r="904" spans="1:11" x14ac:dyDescent="0.3">
      <c r="A904" s="5" t="s">
        <v>46</v>
      </c>
      <c r="B904" s="6">
        <v>40258</v>
      </c>
      <c r="C904" s="5">
        <v>13</v>
      </c>
      <c r="D904" s="5">
        <v>3</v>
      </c>
      <c r="E904" s="5">
        <v>2010</v>
      </c>
      <c r="F904" s="5" t="s">
        <v>35</v>
      </c>
      <c r="G904" s="5" t="s">
        <v>11</v>
      </c>
      <c r="H904" s="7">
        <v>1620</v>
      </c>
      <c r="I904" s="7">
        <v>1994</v>
      </c>
      <c r="J904" s="7">
        <v>374</v>
      </c>
      <c r="K904" s="8">
        <v>0.23086419753086421</v>
      </c>
    </row>
    <row r="905" spans="1:11" x14ac:dyDescent="0.3">
      <c r="A905" s="5" t="s">
        <v>46</v>
      </c>
      <c r="B905" s="6">
        <v>40258</v>
      </c>
      <c r="C905" s="5">
        <v>13</v>
      </c>
      <c r="D905" s="5">
        <v>3</v>
      </c>
      <c r="E905" s="5">
        <v>2010</v>
      </c>
      <c r="F905" s="5" t="s">
        <v>36</v>
      </c>
      <c r="G905" s="5" t="s">
        <v>11</v>
      </c>
      <c r="H905" s="7">
        <v>126803</v>
      </c>
      <c r="I905" s="7">
        <v>135152</v>
      </c>
      <c r="J905" s="7">
        <v>8349</v>
      </c>
      <c r="K905" s="8">
        <v>6.584229079753634E-2</v>
      </c>
    </row>
    <row r="906" spans="1:11" x14ac:dyDescent="0.3">
      <c r="A906" s="5" t="s">
        <v>46</v>
      </c>
      <c r="B906" s="6">
        <v>40258</v>
      </c>
      <c r="C906" s="5">
        <v>13</v>
      </c>
      <c r="D906" s="5">
        <v>3</v>
      </c>
      <c r="E906" s="5">
        <v>2010</v>
      </c>
      <c r="F906" s="5" t="s">
        <v>37</v>
      </c>
      <c r="G906" s="5" t="s">
        <v>11</v>
      </c>
      <c r="H906" s="7">
        <v>326114</v>
      </c>
      <c r="I906" s="7">
        <v>330166</v>
      </c>
      <c r="J906" s="7">
        <v>4052</v>
      </c>
      <c r="K906" s="8">
        <v>1.242510287813464E-2</v>
      </c>
    </row>
    <row r="907" spans="1:11" x14ac:dyDescent="0.3">
      <c r="A907" s="5" t="s">
        <v>46</v>
      </c>
      <c r="B907" s="6">
        <v>40258</v>
      </c>
      <c r="C907" s="5">
        <v>13</v>
      </c>
      <c r="D907" s="5">
        <v>3</v>
      </c>
      <c r="E907" s="5">
        <v>2010</v>
      </c>
      <c r="F907" s="5" t="s">
        <v>38</v>
      </c>
      <c r="G907" s="5" t="s">
        <v>11</v>
      </c>
      <c r="H907" s="7">
        <v>314703</v>
      </c>
      <c r="I907" s="7">
        <v>330796</v>
      </c>
      <c r="J907" s="7">
        <v>16093</v>
      </c>
      <c r="K907" s="8">
        <v>5.1137103872540141E-2</v>
      </c>
    </row>
    <row r="908" spans="1:11" x14ac:dyDescent="0.3">
      <c r="A908" s="5" t="s">
        <v>46</v>
      </c>
      <c r="B908" s="6">
        <v>40259</v>
      </c>
      <c r="C908" s="5">
        <v>13</v>
      </c>
      <c r="D908" s="5">
        <v>3</v>
      </c>
      <c r="E908" s="5">
        <v>2010</v>
      </c>
      <c r="F908" s="5" t="s">
        <v>14</v>
      </c>
      <c r="G908" s="5" t="s">
        <v>6</v>
      </c>
      <c r="H908" s="7">
        <v>9704</v>
      </c>
      <c r="I908" s="7">
        <v>10993</v>
      </c>
      <c r="J908" s="7">
        <v>1289</v>
      </c>
      <c r="K908" s="8">
        <v>0.1328318219291014</v>
      </c>
    </row>
    <row r="909" spans="1:11" x14ac:dyDescent="0.3">
      <c r="A909" s="5" t="s">
        <v>46</v>
      </c>
      <c r="B909" s="6">
        <v>40259</v>
      </c>
      <c r="C909" s="5">
        <v>13</v>
      </c>
      <c r="D909" s="5">
        <v>3</v>
      </c>
      <c r="E909" s="5">
        <v>2010</v>
      </c>
      <c r="F909" s="5" t="s">
        <v>15</v>
      </c>
      <c r="G909" s="5" t="s">
        <v>6</v>
      </c>
      <c r="H909" s="7">
        <v>166420</v>
      </c>
      <c r="I909" s="7">
        <v>220531</v>
      </c>
      <c r="J909" s="7">
        <v>54111</v>
      </c>
      <c r="K909" s="8">
        <v>0.32514721788246603</v>
      </c>
    </row>
    <row r="910" spans="1:11" x14ac:dyDescent="0.3">
      <c r="A910" s="5" t="s">
        <v>46</v>
      </c>
      <c r="B910" s="6">
        <v>40259</v>
      </c>
      <c r="C910" s="5">
        <v>13</v>
      </c>
      <c r="D910" s="5">
        <v>3</v>
      </c>
      <c r="E910" s="5">
        <v>2010</v>
      </c>
      <c r="F910" s="5" t="s">
        <v>16</v>
      </c>
      <c r="G910" s="5" t="s">
        <v>6</v>
      </c>
      <c r="H910" s="7">
        <v>66282</v>
      </c>
      <c r="I910" s="7">
        <v>75082</v>
      </c>
      <c r="J910" s="7">
        <v>8800</v>
      </c>
      <c r="K910" s="8">
        <v>0.13276606016716455</v>
      </c>
    </row>
    <row r="911" spans="1:11" x14ac:dyDescent="0.3">
      <c r="A911" s="5" t="s">
        <v>46</v>
      </c>
      <c r="B911" s="6">
        <v>40259</v>
      </c>
      <c r="C911" s="5">
        <v>13</v>
      </c>
      <c r="D911" s="5">
        <v>3</v>
      </c>
      <c r="E911" s="5">
        <v>2010</v>
      </c>
      <c r="F911" s="5" t="s">
        <v>17</v>
      </c>
      <c r="G911" s="5" t="s">
        <v>6</v>
      </c>
      <c r="H911" s="7">
        <v>744</v>
      </c>
      <c r="I911" s="7">
        <v>839</v>
      </c>
      <c r="J911" s="7">
        <v>95</v>
      </c>
      <c r="K911" s="8">
        <v>0.12768817204301075</v>
      </c>
    </row>
    <row r="912" spans="1:11" x14ac:dyDescent="0.3">
      <c r="A912" s="5" t="s">
        <v>46</v>
      </c>
      <c r="B912" s="6">
        <v>40259</v>
      </c>
      <c r="C912" s="5">
        <v>13</v>
      </c>
      <c r="D912" s="5">
        <v>3</v>
      </c>
      <c r="E912" s="5">
        <v>2010</v>
      </c>
      <c r="F912" s="5" t="s">
        <v>18</v>
      </c>
      <c r="G912" s="5" t="s">
        <v>6</v>
      </c>
      <c r="H912" s="7">
        <v>5345</v>
      </c>
      <c r="I912" s="7">
        <v>6267</v>
      </c>
      <c r="J912" s="7">
        <v>922</v>
      </c>
      <c r="K912" s="8">
        <v>0.17249766136576239</v>
      </c>
    </row>
    <row r="913" spans="1:11" x14ac:dyDescent="0.3">
      <c r="A913" s="5" t="s">
        <v>46</v>
      </c>
      <c r="B913" s="6">
        <v>40259</v>
      </c>
      <c r="C913" s="5">
        <v>13</v>
      </c>
      <c r="D913" s="5">
        <v>3</v>
      </c>
      <c r="E913" s="5">
        <v>2010</v>
      </c>
      <c r="F913" s="5" t="s">
        <v>19</v>
      </c>
      <c r="G913" s="5" t="s">
        <v>5</v>
      </c>
      <c r="H913" s="7">
        <v>90030</v>
      </c>
      <c r="I913" s="7">
        <v>99440</v>
      </c>
      <c r="J913" s="7">
        <v>9410</v>
      </c>
      <c r="K913" s="8">
        <v>0.10452071531711651</v>
      </c>
    </row>
    <row r="914" spans="1:11" x14ac:dyDescent="0.3">
      <c r="A914" s="5" t="s">
        <v>46</v>
      </c>
      <c r="B914" s="6">
        <v>40259</v>
      </c>
      <c r="C914" s="5">
        <v>13</v>
      </c>
      <c r="D914" s="5">
        <v>3</v>
      </c>
      <c r="E914" s="5">
        <v>2010</v>
      </c>
      <c r="F914" s="5" t="s">
        <v>5</v>
      </c>
      <c r="G914" s="5" t="s">
        <v>5</v>
      </c>
      <c r="H914" s="7">
        <v>347894</v>
      </c>
      <c r="I914" s="7">
        <v>367961</v>
      </c>
      <c r="J914" s="7">
        <v>20067</v>
      </c>
      <c r="K914" s="8">
        <v>5.7681362713930102E-2</v>
      </c>
    </row>
    <row r="915" spans="1:11" x14ac:dyDescent="0.3">
      <c r="A915" s="5" t="s">
        <v>46</v>
      </c>
      <c r="B915" s="6">
        <v>40259</v>
      </c>
      <c r="C915" s="5">
        <v>13</v>
      </c>
      <c r="D915" s="5">
        <v>3</v>
      </c>
      <c r="E915" s="5">
        <v>2010</v>
      </c>
      <c r="F915" s="5" t="s">
        <v>20</v>
      </c>
      <c r="G915" s="5" t="s">
        <v>5</v>
      </c>
      <c r="H915" s="7">
        <v>87406</v>
      </c>
      <c r="I915" s="7">
        <v>96795</v>
      </c>
      <c r="J915" s="7">
        <v>9389</v>
      </c>
      <c r="K915" s="8">
        <v>0.10741825503969979</v>
      </c>
    </row>
    <row r="916" spans="1:11" x14ac:dyDescent="0.3">
      <c r="A916" s="5" t="s">
        <v>46</v>
      </c>
      <c r="B916" s="6">
        <v>40259</v>
      </c>
      <c r="C916" s="5">
        <v>13</v>
      </c>
      <c r="D916" s="5">
        <v>3</v>
      </c>
      <c r="E916" s="5">
        <v>2010</v>
      </c>
      <c r="F916" s="5" t="s">
        <v>21</v>
      </c>
      <c r="G916" s="5" t="s">
        <v>5</v>
      </c>
      <c r="H916" s="7">
        <v>116333</v>
      </c>
      <c r="I916" s="7">
        <v>124522</v>
      </c>
      <c r="J916" s="7">
        <v>8189</v>
      </c>
      <c r="K916" s="8">
        <v>7.0392751841695828E-2</v>
      </c>
    </row>
    <row r="917" spans="1:11" x14ac:dyDescent="0.3">
      <c r="A917" s="5" t="s">
        <v>46</v>
      </c>
      <c r="B917" s="6">
        <v>40259</v>
      </c>
      <c r="C917" s="5">
        <v>13</v>
      </c>
      <c r="D917" s="5">
        <v>3</v>
      </c>
      <c r="E917" s="5">
        <v>2010</v>
      </c>
      <c r="F917" s="5" t="s">
        <v>22</v>
      </c>
      <c r="G917" s="5" t="s">
        <v>8</v>
      </c>
      <c r="H917" s="7">
        <v>389685</v>
      </c>
      <c r="I917" s="7">
        <v>423188</v>
      </c>
      <c r="J917" s="7">
        <v>33503</v>
      </c>
      <c r="K917" s="8">
        <v>8.5974569203330894E-2</v>
      </c>
    </row>
    <row r="918" spans="1:11" x14ac:dyDescent="0.3">
      <c r="A918" s="5" t="s">
        <v>46</v>
      </c>
      <c r="B918" s="6">
        <v>40259</v>
      </c>
      <c r="C918" s="5">
        <v>13</v>
      </c>
      <c r="D918" s="5">
        <v>3</v>
      </c>
      <c r="E918" s="5">
        <v>2010</v>
      </c>
      <c r="F918" s="5" t="s">
        <v>23</v>
      </c>
      <c r="G918" s="5" t="s">
        <v>8</v>
      </c>
      <c r="H918" s="7">
        <v>99146</v>
      </c>
      <c r="I918" s="7">
        <v>106827</v>
      </c>
      <c r="J918" s="7">
        <v>7681</v>
      </c>
      <c r="K918" s="8">
        <v>7.7471607528291617E-2</v>
      </c>
    </row>
    <row r="919" spans="1:11" x14ac:dyDescent="0.3">
      <c r="A919" s="5" t="s">
        <v>46</v>
      </c>
      <c r="B919" s="6">
        <v>40259</v>
      </c>
      <c r="C919" s="5">
        <v>13</v>
      </c>
      <c r="D919" s="5">
        <v>3</v>
      </c>
      <c r="E919" s="5">
        <v>2010</v>
      </c>
      <c r="F919" s="5" t="s">
        <v>24</v>
      </c>
      <c r="G919" s="5" t="s">
        <v>8</v>
      </c>
      <c r="H919" s="7">
        <v>119466</v>
      </c>
      <c r="I919" s="7">
        <v>130189</v>
      </c>
      <c r="J919" s="7">
        <v>10723</v>
      </c>
      <c r="K919" s="8">
        <v>8.9757755344616885E-2</v>
      </c>
    </row>
    <row r="920" spans="1:11" x14ac:dyDescent="0.3">
      <c r="A920" s="5" t="s">
        <v>46</v>
      </c>
      <c r="B920" s="6">
        <v>40259</v>
      </c>
      <c r="C920" s="5">
        <v>13</v>
      </c>
      <c r="D920" s="5">
        <v>3</v>
      </c>
      <c r="E920" s="5">
        <v>2010</v>
      </c>
      <c r="F920" s="5" t="s">
        <v>25</v>
      </c>
      <c r="G920" s="5" t="s">
        <v>8</v>
      </c>
      <c r="H920" s="7">
        <v>6326</v>
      </c>
      <c r="I920" s="7">
        <v>6826</v>
      </c>
      <c r="J920" s="7">
        <v>500</v>
      </c>
      <c r="K920" s="8">
        <v>7.9038887132469177E-2</v>
      </c>
    </row>
    <row r="921" spans="1:11" x14ac:dyDescent="0.3">
      <c r="A921" s="5" t="s">
        <v>46</v>
      </c>
      <c r="B921" s="6">
        <v>40259</v>
      </c>
      <c r="C921" s="5">
        <v>13</v>
      </c>
      <c r="D921" s="5">
        <v>3</v>
      </c>
      <c r="E921" s="5">
        <v>2010</v>
      </c>
      <c r="F921" s="5" t="s">
        <v>26</v>
      </c>
      <c r="G921" s="5" t="s">
        <v>10</v>
      </c>
      <c r="H921" s="7">
        <v>3295</v>
      </c>
      <c r="I921" s="7">
        <v>3763</v>
      </c>
      <c r="J921" s="7">
        <v>468</v>
      </c>
      <c r="K921" s="8">
        <v>0.14203338391502277</v>
      </c>
    </row>
    <row r="922" spans="1:11" x14ac:dyDescent="0.3">
      <c r="A922" s="5" t="s">
        <v>46</v>
      </c>
      <c r="B922" s="6">
        <v>40259</v>
      </c>
      <c r="C922" s="5">
        <v>13</v>
      </c>
      <c r="D922" s="5">
        <v>3</v>
      </c>
      <c r="E922" s="5">
        <v>2010</v>
      </c>
      <c r="F922" s="5" t="s">
        <v>27</v>
      </c>
      <c r="G922" s="5" t="s">
        <v>10</v>
      </c>
      <c r="H922" s="7">
        <v>40676</v>
      </c>
      <c r="I922" s="7">
        <v>46423</v>
      </c>
      <c r="J922" s="7">
        <v>5747</v>
      </c>
      <c r="K922" s="8">
        <v>0.14128724555020158</v>
      </c>
    </row>
    <row r="923" spans="1:11" x14ac:dyDescent="0.3">
      <c r="A923" s="5" t="s">
        <v>46</v>
      </c>
      <c r="B923" s="6">
        <v>40259</v>
      </c>
      <c r="C923" s="5">
        <v>13</v>
      </c>
      <c r="D923" s="5">
        <v>3</v>
      </c>
      <c r="E923" s="5">
        <v>2010</v>
      </c>
      <c r="F923" s="5" t="s">
        <v>28</v>
      </c>
      <c r="G923" s="5" t="s">
        <v>10</v>
      </c>
      <c r="H923" s="7">
        <v>56052</v>
      </c>
      <c r="I923" s="7">
        <v>65480</v>
      </c>
      <c r="J923" s="7">
        <v>9428</v>
      </c>
      <c r="K923" s="8">
        <v>0.16820095625490616</v>
      </c>
    </row>
    <row r="924" spans="1:11" x14ac:dyDescent="0.3">
      <c r="A924" s="5" t="s">
        <v>46</v>
      </c>
      <c r="B924" s="6">
        <v>40259</v>
      </c>
      <c r="C924" s="5">
        <v>13</v>
      </c>
      <c r="D924" s="5">
        <v>3</v>
      </c>
      <c r="E924" s="5">
        <v>2010</v>
      </c>
      <c r="F924" s="5" t="s">
        <v>29</v>
      </c>
      <c r="G924" s="5" t="s">
        <v>10</v>
      </c>
      <c r="H924" s="7">
        <v>241614</v>
      </c>
      <c r="I924" s="7">
        <v>262439</v>
      </c>
      <c r="J924" s="7">
        <v>20825</v>
      </c>
      <c r="K924" s="8">
        <v>8.619119752994446E-2</v>
      </c>
    </row>
    <row r="925" spans="1:11" x14ac:dyDescent="0.3">
      <c r="A925" s="5" t="s">
        <v>46</v>
      </c>
      <c r="B925" s="6">
        <v>40259</v>
      </c>
      <c r="C925" s="5">
        <v>13</v>
      </c>
      <c r="D925" s="5">
        <v>3</v>
      </c>
      <c r="E925" s="5">
        <v>2010</v>
      </c>
      <c r="F925" s="5" t="s">
        <v>30</v>
      </c>
      <c r="G925" s="5" t="s">
        <v>10</v>
      </c>
      <c r="H925" s="7">
        <v>56780</v>
      </c>
      <c r="I925" s="7">
        <v>64183</v>
      </c>
      <c r="J925" s="7">
        <v>7403</v>
      </c>
      <c r="K925" s="8">
        <v>0.1303804156393096</v>
      </c>
    </row>
    <row r="926" spans="1:11" x14ac:dyDescent="0.3">
      <c r="A926" s="5" t="s">
        <v>46</v>
      </c>
      <c r="B926" s="6">
        <v>40259</v>
      </c>
      <c r="C926" s="5">
        <v>13</v>
      </c>
      <c r="D926" s="5">
        <v>3</v>
      </c>
      <c r="E926" s="5">
        <v>2010</v>
      </c>
      <c r="F926" s="5" t="s">
        <v>9</v>
      </c>
      <c r="G926" s="5" t="s">
        <v>9</v>
      </c>
      <c r="H926" s="7">
        <v>355467</v>
      </c>
      <c r="I926" s="7">
        <v>423737</v>
      </c>
      <c r="J926" s="7">
        <v>68270</v>
      </c>
      <c r="K926" s="8">
        <v>0.1920572092486785</v>
      </c>
    </row>
    <row r="927" spans="1:11" x14ac:dyDescent="0.3">
      <c r="A927" s="5" t="s">
        <v>46</v>
      </c>
      <c r="B927" s="6">
        <v>40259</v>
      </c>
      <c r="C927" s="5">
        <v>13</v>
      </c>
      <c r="D927" s="5">
        <v>3</v>
      </c>
      <c r="E927" s="5">
        <v>2010</v>
      </c>
      <c r="F927" s="5" t="s">
        <v>31</v>
      </c>
      <c r="G927" s="5" t="s">
        <v>7</v>
      </c>
      <c r="H927" s="7">
        <v>76676</v>
      </c>
      <c r="I927" s="7">
        <v>89287</v>
      </c>
      <c r="J927" s="7">
        <v>12611</v>
      </c>
      <c r="K927" s="8">
        <v>0.16447128175700348</v>
      </c>
    </row>
    <row r="928" spans="1:11" x14ac:dyDescent="0.3">
      <c r="A928" s="5" t="s">
        <v>46</v>
      </c>
      <c r="B928" s="6">
        <v>40259</v>
      </c>
      <c r="C928" s="5">
        <v>13</v>
      </c>
      <c r="D928" s="5">
        <v>3</v>
      </c>
      <c r="E928" s="5">
        <v>2010</v>
      </c>
      <c r="F928" s="5" t="s">
        <v>33</v>
      </c>
      <c r="G928" s="5" t="s">
        <v>7</v>
      </c>
      <c r="H928" s="7">
        <v>51317</v>
      </c>
      <c r="I928" s="7">
        <v>97054</v>
      </c>
      <c r="J928" s="7">
        <v>45737</v>
      </c>
      <c r="K928" s="8">
        <v>0.89126410351345553</v>
      </c>
    </row>
    <row r="929" spans="1:11" x14ac:dyDescent="0.3">
      <c r="A929" s="5" t="s">
        <v>46</v>
      </c>
      <c r="B929" s="6">
        <v>40259</v>
      </c>
      <c r="C929" s="5">
        <v>13</v>
      </c>
      <c r="D929" s="5">
        <v>3</v>
      </c>
      <c r="E929" s="5">
        <v>2010</v>
      </c>
      <c r="F929" s="5" t="s">
        <v>34</v>
      </c>
      <c r="G929" s="5" t="s">
        <v>7</v>
      </c>
      <c r="H929" s="7">
        <v>5542</v>
      </c>
      <c r="I929" s="7">
        <v>6157</v>
      </c>
      <c r="J929" s="7">
        <v>615</v>
      </c>
      <c r="K929" s="8">
        <v>0.11097076867556839</v>
      </c>
    </row>
    <row r="930" spans="1:11" x14ac:dyDescent="0.3">
      <c r="A930" s="5" t="s">
        <v>46</v>
      </c>
      <c r="B930" s="6">
        <v>40259</v>
      </c>
      <c r="C930" s="5">
        <v>13</v>
      </c>
      <c r="D930" s="5">
        <v>3</v>
      </c>
      <c r="E930" s="5">
        <v>2010</v>
      </c>
      <c r="F930" s="5" t="s">
        <v>35</v>
      </c>
      <c r="G930" s="5" t="s">
        <v>11</v>
      </c>
      <c r="H930" s="7">
        <v>709</v>
      </c>
      <c r="I930" s="7">
        <v>861</v>
      </c>
      <c r="J930" s="7">
        <v>152</v>
      </c>
      <c r="K930" s="8">
        <v>0.21438645980253879</v>
      </c>
    </row>
    <row r="931" spans="1:11" x14ac:dyDescent="0.3">
      <c r="A931" s="5" t="s">
        <v>46</v>
      </c>
      <c r="B931" s="6">
        <v>40259</v>
      </c>
      <c r="C931" s="5">
        <v>13</v>
      </c>
      <c r="D931" s="5">
        <v>3</v>
      </c>
      <c r="E931" s="5">
        <v>2010</v>
      </c>
      <c r="F931" s="5" t="s">
        <v>36</v>
      </c>
      <c r="G931" s="5" t="s">
        <v>11</v>
      </c>
      <c r="H931" s="7">
        <v>102068</v>
      </c>
      <c r="I931" s="7">
        <v>110641</v>
      </c>
      <c r="J931" s="7">
        <v>8573</v>
      </c>
      <c r="K931" s="8">
        <v>8.3993024258337573E-2</v>
      </c>
    </row>
    <row r="932" spans="1:11" x14ac:dyDescent="0.3">
      <c r="A932" s="5" t="s">
        <v>46</v>
      </c>
      <c r="B932" s="6">
        <v>40259</v>
      </c>
      <c r="C932" s="5">
        <v>13</v>
      </c>
      <c r="D932" s="5">
        <v>3</v>
      </c>
      <c r="E932" s="5">
        <v>2010</v>
      </c>
      <c r="F932" s="5" t="s">
        <v>37</v>
      </c>
      <c r="G932" s="5" t="s">
        <v>11</v>
      </c>
      <c r="H932" s="7">
        <v>177578</v>
      </c>
      <c r="I932" s="7">
        <v>191457</v>
      </c>
      <c r="J932" s="7">
        <v>13879</v>
      </c>
      <c r="K932" s="8">
        <v>7.8157204158172747E-2</v>
      </c>
    </row>
    <row r="933" spans="1:11" x14ac:dyDescent="0.3">
      <c r="A933" s="5" t="s">
        <v>46</v>
      </c>
      <c r="B933" s="6">
        <v>40259</v>
      </c>
      <c r="C933" s="5">
        <v>13</v>
      </c>
      <c r="D933" s="5">
        <v>3</v>
      </c>
      <c r="E933" s="5">
        <v>2010</v>
      </c>
      <c r="F933" s="5" t="s">
        <v>38</v>
      </c>
      <c r="G933" s="5" t="s">
        <v>11</v>
      </c>
      <c r="H933" s="7">
        <v>226101</v>
      </c>
      <c r="I933" s="7">
        <v>239004</v>
      </c>
      <c r="J933" s="7">
        <v>12903</v>
      </c>
      <c r="K933" s="8">
        <v>5.7067416773919619E-2</v>
      </c>
    </row>
    <row r="934" spans="1:11" x14ac:dyDescent="0.3">
      <c r="A934" s="5" t="s">
        <v>46</v>
      </c>
      <c r="B934" s="6">
        <v>40260</v>
      </c>
      <c r="C934" s="5">
        <v>13</v>
      </c>
      <c r="D934" s="5">
        <v>3</v>
      </c>
      <c r="E934" s="5">
        <v>2010</v>
      </c>
      <c r="F934" s="5" t="s">
        <v>14</v>
      </c>
      <c r="G934" s="5" t="s">
        <v>6</v>
      </c>
      <c r="H934" s="7">
        <v>8454</v>
      </c>
      <c r="I934" s="7">
        <v>9684.7000000000007</v>
      </c>
      <c r="J934" s="7">
        <v>1230.7000000000007</v>
      </c>
      <c r="K934" s="8">
        <v>0.14557605867045195</v>
      </c>
    </row>
    <row r="935" spans="1:11" x14ac:dyDescent="0.3">
      <c r="A935" s="5" t="s">
        <v>46</v>
      </c>
      <c r="B935" s="6">
        <v>40260</v>
      </c>
      <c r="C935" s="5">
        <v>13</v>
      </c>
      <c r="D935" s="5">
        <v>3</v>
      </c>
      <c r="E935" s="5">
        <v>2010</v>
      </c>
      <c r="F935" s="5" t="s">
        <v>15</v>
      </c>
      <c r="G935" s="5" t="s">
        <v>6</v>
      </c>
      <c r="H935" s="7">
        <v>110109.34</v>
      </c>
      <c r="I935" s="7">
        <v>135379</v>
      </c>
      <c r="J935" s="7">
        <v>25269.660000000003</v>
      </c>
      <c r="K935" s="8">
        <v>0.22949606273182643</v>
      </c>
    </row>
    <row r="936" spans="1:11" x14ac:dyDescent="0.3">
      <c r="A936" s="5" t="s">
        <v>46</v>
      </c>
      <c r="B936" s="6">
        <v>40260</v>
      </c>
      <c r="C936" s="5">
        <v>13</v>
      </c>
      <c r="D936" s="5">
        <v>3</v>
      </c>
      <c r="E936" s="5">
        <v>2010</v>
      </c>
      <c r="F936" s="5" t="s">
        <v>16</v>
      </c>
      <c r="G936" s="5" t="s">
        <v>6</v>
      </c>
      <c r="H936" s="7">
        <v>52085.46</v>
      </c>
      <c r="I936" s="7">
        <v>59622</v>
      </c>
      <c r="J936" s="7">
        <v>7536.5400000000009</v>
      </c>
      <c r="K936" s="8">
        <v>0.14469565978681961</v>
      </c>
    </row>
    <row r="937" spans="1:11" x14ac:dyDescent="0.3">
      <c r="A937" s="5" t="s">
        <v>46</v>
      </c>
      <c r="B937" s="6">
        <v>40260</v>
      </c>
      <c r="C937" s="5">
        <v>13</v>
      </c>
      <c r="D937" s="5">
        <v>3</v>
      </c>
      <c r="E937" s="5">
        <v>2010</v>
      </c>
      <c r="F937" s="5" t="s">
        <v>18</v>
      </c>
      <c r="G937" s="5" t="s">
        <v>6</v>
      </c>
      <c r="H937" s="7">
        <v>5606.84</v>
      </c>
      <c r="I937" s="7">
        <v>6212.67</v>
      </c>
      <c r="J937" s="7">
        <v>605.82999999999993</v>
      </c>
      <c r="K937" s="8">
        <v>0.10805195083148439</v>
      </c>
    </row>
    <row r="938" spans="1:11" x14ac:dyDescent="0.3">
      <c r="A938" s="5" t="s">
        <v>46</v>
      </c>
      <c r="B938" s="6">
        <v>40260</v>
      </c>
      <c r="C938" s="5">
        <v>13</v>
      </c>
      <c r="D938" s="5">
        <v>3</v>
      </c>
      <c r="E938" s="5">
        <v>2010</v>
      </c>
      <c r="F938" s="5" t="s">
        <v>19</v>
      </c>
      <c r="G938" s="5" t="s">
        <v>5</v>
      </c>
      <c r="H938" s="7">
        <v>92194</v>
      </c>
      <c r="I938" s="7">
        <v>99402</v>
      </c>
      <c r="J938" s="7">
        <v>7208</v>
      </c>
      <c r="K938" s="8">
        <v>7.818296201488166E-2</v>
      </c>
    </row>
    <row r="939" spans="1:11" x14ac:dyDescent="0.3">
      <c r="A939" s="5" t="s">
        <v>46</v>
      </c>
      <c r="B939" s="6">
        <v>40260</v>
      </c>
      <c r="C939" s="5">
        <v>13</v>
      </c>
      <c r="D939" s="5">
        <v>3</v>
      </c>
      <c r="E939" s="5">
        <v>2010</v>
      </c>
      <c r="F939" s="5" t="s">
        <v>5</v>
      </c>
      <c r="G939" s="5" t="s">
        <v>5</v>
      </c>
      <c r="H939" s="7">
        <v>256327</v>
      </c>
      <c r="I939" s="7">
        <v>268772</v>
      </c>
      <c r="J939" s="7">
        <v>12445</v>
      </c>
      <c r="K939" s="8">
        <v>4.8551264595614194E-2</v>
      </c>
    </row>
    <row r="940" spans="1:11" x14ac:dyDescent="0.3">
      <c r="A940" s="5" t="s">
        <v>46</v>
      </c>
      <c r="B940" s="6">
        <v>40260</v>
      </c>
      <c r="C940" s="5">
        <v>13</v>
      </c>
      <c r="D940" s="5">
        <v>3</v>
      </c>
      <c r="E940" s="5">
        <v>2010</v>
      </c>
      <c r="F940" s="5" t="s">
        <v>20</v>
      </c>
      <c r="G940" s="5" t="s">
        <v>5</v>
      </c>
      <c r="H940" s="7">
        <v>56524</v>
      </c>
      <c r="I940" s="7">
        <v>69955</v>
      </c>
      <c r="J940" s="7">
        <v>13431</v>
      </c>
      <c r="K940" s="8">
        <v>0.23761587998018541</v>
      </c>
    </row>
    <row r="941" spans="1:11" x14ac:dyDescent="0.3">
      <c r="A941" s="5" t="s">
        <v>46</v>
      </c>
      <c r="B941" s="6">
        <v>40260</v>
      </c>
      <c r="C941" s="5">
        <v>13</v>
      </c>
      <c r="D941" s="5">
        <v>3</v>
      </c>
      <c r="E941" s="5">
        <v>2010</v>
      </c>
      <c r="F941" s="5" t="s">
        <v>21</v>
      </c>
      <c r="G941" s="5" t="s">
        <v>5</v>
      </c>
      <c r="H941" s="7">
        <v>96223</v>
      </c>
      <c r="I941" s="7">
        <v>102267</v>
      </c>
      <c r="J941" s="7">
        <v>6044</v>
      </c>
      <c r="K941" s="8">
        <v>6.2812425303721567E-2</v>
      </c>
    </row>
    <row r="942" spans="1:11" x14ac:dyDescent="0.3">
      <c r="A942" s="5" t="s">
        <v>46</v>
      </c>
      <c r="B942" s="6">
        <v>40260</v>
      </c>
      <c r="C942" s="5">
        <v>13</v>
      </c>
      <c r="D942" s="5">
        <v>3</v>
      </c>
      <c r="E942" s="5">
        <v>2010</v>
      </c>
      <c r="F942" s="5" t="s">
        <v>22</v>
      </c>
      <c r="G942" s="5" t="s">
        <v>8</v>
      </c>
      <c r="H942" s="7">
        <v>217973.88</v>
      </c>
      <c r="I942" s="7">
        <v>238586</v>
      </c>
      <c r="J942" s="7">
        <v>20612.119999999995</v>
      </c>
      <c r="K942" s="8">
        <v>9.4562339304140458E-2</v>
      </c>
    </row>
    <row r="943" spans="1:11" x14ac:dyDescent="0.3">
      <c r="A943" s="5" t="s">
        <v>46</v>
      </c>
      <c r="B943" s="6">
        <v>40260</v>
      </c>
      <c r="C943" s="5">
        <v>13</v>
      </c>
      <c r="D943" s="5">
        <v>3</v>
      </c>
      <c r="E943" s="5">
        <v>2010</v>
      </c>
      <c r="F943" s="5" t="s">
        <v>23</v>
      </c>
      <c r="G943" s="5" t="s">
        <v>8</v>
      </c>
      <c r="H943" s="7">
        <v>70713.899999999994</v>
      </c>
      <c r="I943" s="7">
        <v>75581.95</v>
      </c>
      <c r="J943" s="7">
        <v>4868.0500000000029</v>
      </c>
      <c r="K943" s="8">
        <v>6.8841486610129038E-2</v>
      </c>
    </row>
    <row r="944" spans="1:11" x14ac:dyDescent="0.3">
      <c r="A944" s="5" t="s">
        <v>46</v>
      </c>
      <c r="B944" s="6">
        <v>40260</v>
      </c>
      <c r="C944" s="5">
        <v>13</v>
      </c>
      <c r="D944" s="5">
        <v>3</v>
      </c>
      <c r="E944" s="5">
        <v>2010</v>
      </c>
      <c r="F944" s="5" t="s">
        <v>24</v>
      </c>
      <c r="G944" s="5" t="s">
        <v>8</v>
      </c>
      <c r="H944" s="7">
        <v>83975</v>
      </c>
      <c r="I944" s="7">
        <v>91205.13</v>
      </c>
      <c r="J944" s="7">
        <v>7230.1300000000047</v>
      </c>
      <c r="K944" s="8">
        <v>8.6098600774039954E-2</v>
      </c>
    </row>
    <row r="945" spans="1:11" x14ac:dyDescent="0.3">
      <c r="A945" s="5" t="s">
        <v>46</v>
      </c>
      <c r="B945" s="6">
        <v>40260</v>
      </c>
      <c r="C945" s="5">
        <v>13</v>
      </c>
      <c r="D945" s="5">
        <v>3</v>
      </c>
      <c r="E945" s="5">
        <v>2010</v>
      </c>
      <c r="F945" s="5" t="s">
        <v>25</v>
      </c>
      <c r="G945" s="5" t="s">
        <v>8</v>
      </c>
      <c r="H945" s="7">
        <v>4928</v>
      </c>
      <c r="I945" s="7">
        <v>5311.38</v>
      </c>
      <c r="J945" s="7">
        <v>383.38000000000011</v>
      </c>
      <c r="K945" s="8">
        <v>7.7796266233766259E-2</v>
      </c>
    </row>
    <row r="946" spans="1:11" x14ac:dyDescent="0.3">
      <c r="A946" s="5" t="s">
        <v>46</v>
      </c>
      <c r="B946" s="6">
        <v>40260</v>
      </c>
      <c r="C946" s="5">
        <v>13</v>
      </c>
      <c r="D946" s="5">
        <v>3</v>
      </c>
      <c r="E946" s="5">
        <v>2010</v>
      </c>
      <c r="F946" s="5" t="s">
        <v>26</v>
      </c>
      <c r="G946" s="5" t="s">
        <v>10</v>
      </c>
      <c r="H946" s="7">
        <v>590</v>
      </c>
      <c r="I946" s="7">
        <v>688.82</v>
      </c>
      <c r="J946" s="7">
        <v>98.82000000000005</v>
      </c>
      <c r="K946" s="8">
        <v>0.16749152542372889</v>
      </c>
    </row>
    <row r="947" spans="1:11" x14ac:dyDescent="0.3">
      <c r="A947" s="5" t="s">
        <v>46</v>
      </c>
      <c r="B947" s="6">
        <v>40260</v>
      </c>
      <c r="C947" s="5">
        <v>13</v>
      </c>
      <c r="D947" s="5">
        <v>3</v>
      </c>
      <c r="E947" s="5">
        <v>2010</v>
      </c>
      <c r="F947" s="5" t="s">
        <v>27</v>
      </c>
      <c r="G947" s="5" t="s">
        <v>10</v>
      </c>
      <c r="H947" s="7">
        <v>29971.759999999998</v>
      </c>
      <c r="I947" s="7">
        <v>33934.42</v>
      </c>
      <c r="J947" s="7">
        <v>3962.66</v>
      </c>
      <c r="K947" s="8">
        <v>0.13221312328672058</v>
      </c>
    </row>
    <row r="948" spans="1:11" x14ac:dyDescent="0.3">
      <c r="A948" s="5" t="s">
        <v>46</v>
      </c>
      <c r="B948" s="6">
        <v>40260</v>
      </c>
      <c r="C948" s="5">
        <v>13</v>
      </c>
      <c r="D948" s="5">
        <v>3</v>
      </c>
      <c r="E948" s="5">
        <v>2010</v>
      </c>
      <c r="F948" s="5" t="s">
        <v>28</v>
      </c>
      <c r="G948" s="5" t="s">
        <v>10</v>
      </c>
      <c r="H948" s="7">
        <v>39842</v>
      </c>
      <c r="I948" s="7">
        <v>46765</v>
      </c>
      <c r="J948" s="7">
        <v>6923</v>
      </c>
      <c r="K948" s="8">
        <v>0.17376135736157824</v>
      </c>
    </row>
    <row r="949" spans="1:11" x14ac:dyDescent="0.3">
      <c r="A949" s="5" t="s">
        <v>46</v>
      </c>
      <c r="B949" s="6">
        <v>40260</v>
      </c>
      <c r="C949" s="5">
        <v>13</v>
      </c>
      <c r="D949" s="5">
        <v>3</v>
      </c>
      <c r="E949" s="5">
        <v>2010</v>
      </c>
      <c r="F949" s="5" t="s">
        <v>29</v>
      </c>
      <c r="G949" s="5" t="s">
        <v>10</v>
      </c>
      <c r="H949" s="7">
        <v>158399</v>
      </c>
      <c r="I949" s="7">
        <v>171154</v>
      </c>
      <c r="J949" s="7">
        <v>12755</v>
      </c>
      <c r="K949" s="8">
        <v>8.0524498260721347E-2</v>
      </c>
    </row>
    <row r="950" spans="1:11" x14ac:dyDescent="0.3">
      <c r="A950" s="5" t="s">
        <v>46</v>
      </c>
      <c r="B950" s="6">
        <v>40260</v>
      </c>
      <c r="C950" s="5">
        <v>13</v>
      </c>
      <c r="D950" s="5">
        <v>3</v>
      </c>
      <c r="E950" s="5">
        <v>2010</v>
      </c>
      <c r="F950" s="5" t="s">
        <v>30</v>
      </c>
      <c r="G950" s="5" t="s">
        <v>10</v>
      </c>
      <c r="H950" s="7">
        <v>37735.360000000001</v>
      </c>
      <c r="I950" s="7">
        <v>42477.72</v>
      </c>
      <c r="J950" s="7">
        <v>4742.3600000000006</v>
      </c>
      <c r="K950" s="8">
        <v>0.12567416873722684</v>
      </c>
    </row>
    <row r="951" spans="1:11" x14ac:dyDescent="0.3">
      <c r="A951" s="5" t="s">
        <v>46</v>
      </c>
      <c r="B951" s="6">
        <v>40260</v>
      </c>
      <c r="C951" s="5">
        <v>13</v>
      </c>
      <c r="D951" s="5">
        <v>3</v>
      </c>
      <c r="E951" s="5">
        <v>2010</v>
      </c>
      <c r="F951" s="5" t="s">
        <v>9</v>
      </c>
      <c r="G951" s="5" t="s">
        <v>9</v>
      </c>
      <c r="H951" s="7">
        <v>184150.33</v>
      </c>
      <c r="I951" s="7">
        <v>213534.46</v>
      </c>
      <c r="J951" s="7">
        <v>29384.130000000005</v>
      </c>
      <c r="K951" s="8">
        <v>0.15956599154614606</v>
      </c>
    </row>
    <row r="952" spans="1:11" x14ac:dyDescent="0.3">
      <c r="A952" s="5" t="s">
        <v>46</v>
      </c>
      <c r="B952" s="6">
        <v>40260</v>
      </c>
      <c r="C952" s="5">
        <v>13</v>
      </c>
      <c r="D952" s="5">
        <v>3</v>
      </c>
      <c r="E952" s="5">
        <v>2010</v>
      </c>
      <c r="F952" s="5" t="s">
        <v>31</v>
      </c>
      <c r="G952" s="5" t="s">
        <v>7</v>
      </c>
      <c r="H952" s="7">
        <v>35341.72</v>
      </c>
      <c r="I952" s="7">
        <v>43824.62</v>
      </c>
      <c r="J952" s="7">
        <v>8482.9000000000015</v>
      </c>
      <c r="K952" s="8">
        <v>0.24002510347543926</v>
      </c>
    </row>
    <row r="953" spans="1:11" x14ac:dyDescent="0.3">
      <c r="A953" s="5" t="s">
        <v>46</v>
      </c>
      <c r="B953" s="6">
        <v>40260</v>
      </c>
      <c r="C953" s="5">
        <v>13</v>
      </c>
      <c r="D953" s="5">
        <v>3</v>
      </c>
      <c r="E953" s="5">
        <v>2010</v>
      </c>
      <c r="F953" s="5" t="s">
        <v>33</v>
      </c>
      <c r="G953" s="5" t="s">
        <v>7</v>
      </c>
      <c r="H953" s="7">
        <v>32043.09</v>
      </c>
      <c r="I953" s="7">
        <v>65193.760000000002</v>
      </c>
      <c r="J953" s="7">
        <v>33150.67</v>
      </c>
      <c r="K953" s="8">
        <v>1.0345653306219842</v>
      </c>
    </row>
    <row r="954" spans="1:11" x14ac:dyDescent="0.3">
      <c r="A954" s="5" t="s">
        <v>46</v>
      </c>
      <c r="B954" s="6">
        <v>40260</v>
      </c>
      <c r="C954" s="5">
        <v>13</v>
      </c>
      <c r="D954" s="5">
        <v>3</v>
      </c>
      <c r="E954" s="5">
        <v>2010</v>
      </c>
      <c r="F954" s="5" t="s">
        <v>34</v>
      </c>
      <c r="G954" s="5" t="s">
        <v>7</v>
      </c>
      <c r="H954" s="7">
        <v>1080.54</v>
      </c>
      <c r="I954" s="7">
        <v>1200.55</v>
      </c>
      <c r="J954" s="7">
        <v>120.00999999999999</v>
      </c>
      <c r="K954" s="8">
        <v>0.11106483795139467</v>
      </c>
    </row>
    <row r="955" spans="1:11" x14ac:dyDescent="0.3">
      <c r="A955" s="5" t="s">
        <v>46</v>
      </c>
      <c r="B955" s="6">
        <v>40260</v>
      </c>
      <c r="C955" s="5">
        <v>13</v>
      </c>
      <c r="D955" s="5">
        <v>3</v>
      </c>
      <c r="E955" s="5">
        <v>2010</v>
      </c>
      <c r="F955" s="5" t="s">
        <v>35</v>
      </c>
      <c r="G955" s="5" t="s">
        <v>11</v>
      </c>
      <c r="H955" s="7">
        <v>861.52</v>
      </c>
      <c r="I955" s="7">
        <v>1064.894</v>
      </c>
      <c r="J955" s="7">
        <v>203.37400000000002</v>
      </c>
      <c r="K955" s="8">
        <v>0.23606416566069277</v>
      </c>
    </row>
    <row r="956" spans="1:11" x14ac:dyDescent="0.3">
      <c r="A956" s="5" t="s">
        <v>46</v>
      </c>
      <c r="B956" s="6">
        <v>40260</v>
      </c>
      <c r="C956" s="5">
        <v>13</v>
      </c>
      <c r="D956" s="5">
        <v>3</v>
      </c>
      <c r="E956" s="5">
        <v>2010</v>
      </c>
      <c r="F956" s="5" t="s">
        <v>36</v>
      </c>
      <c r="G956" s="5" t="s">
        <v>11</v>
      </c>
      <c r="H956" s="7">
        <v>83981.58</v>
      </c>
      <c r="I956" s="7">
        <v>87205.74</v>
      </c>
      <c r="J956" s="7">
        <v>3224.1600000000035</v>
      </c>
      <c r="K956" s="8">
        <v>3.8391275801193586E-2</v>
      </c>
    </row>
    <row r="957" spans="1:11" x14ac:dyDescent="0.3">
      <c r="A957" s="5" t="s">
        <v>46</v>
      </c>
      <c r="B957" s="6">
        <v>40260</v>
      </c>
      <c r="C957" s="5">
        <v>13</v>
      </c>
      <c r="D957" s="5">
        <v>3</v>
      </c>
      <c r="E957" s="5">
        <v>2010</v>
      </c>
      <c r="F957" s="5" t="s">
        <v>37</v>
      </c>
      <c r="G957" s="5" t="s">
        <v>11</v>
      </c>
      <c r="H957" s="7">
        <v>144279.57999999999</v>
      </c>
      <c r="I957" s="7">
        <v>158190.60999999999</v>
      </c>
      <c r="J957" s="7">
        <v>13911.029999999999</v>
      </c>
      <c r="K957" s="8">
        <v>9.6417178369939807E-2</v>
      </c>
    </row>
    <row r="958" spans="1:11" x14ac:dyDescent="0.3">
      <c r="A958" s="5" t="s">
        <v>46</v>
      </c>
      <c r="B958" s="6">
        <v>40260</v>
      </c>
      <c r="C958" s="5">
        <v>13</v>
      </c>
      <c r="D958" s="5">
        <v>3</v>
      </c>
      <c r="E958" s="5">
        <v>2010</v>
      </c>
      <c r="F958" s="5" t="s">
        <v>38</v>
      </c>
      <c r="G958" s="5" t="s">
        <v>11</v>
      </c>
      <c r="H958" s="7">
        <v>167078.95000000001</v>
      </c>
      <c r="I958" s="7">
        <v>173693</v>
      </c>
      <c r="J958" s="7">
        <v>6614.0499999999884</v>
      </c>
      <c r="K958" s="8">
        <v>3.9586375183707986E-2</v>
      </c>
    </row>
    <row r="959" spans="1:11" x14ac:dyDescent="0.3">
      <c r="A959" s="5" t="s">
        <v>46</v>
      </c>
      <c r="B959" s="6">
        <v>40261</v>
      </c>
      <c r="C959" s="5">
        <v>13</v>
      </c>
      <c r="D959" s="5">
        <v>3</v>
      </c>
      <c r="E959" s="5">
        <v>2010</v>
      </c>
      <c r="F959" s="5" t="s">
        <v>14</v>
      </c>
      <c r="G959" s="5" t="s">
        <v>6</v>
      </c>
      <c r="H959" s="7">
        <v>3368.99</v>
      </c>
      <c r="I959" s="7">
        <v>3897.07</v>
      </c>
      <c r="J959" s="7">
        <v>528.08000000000038</v>
      </c>
      <c r="K959" s="8">
        <v>0.15674727440568254</v>
      </c>
    </row>
    <row r="960" spans="1:11" x14ac:dyDescent="0.3">
      <c r="A960" s="5" t="s">
        <v>46</v>
      </c>
      <c r="B960" s="6">
        <v>40261</v>
      </c>
      <c r="C960" s="5">
        <v>13</v>
      </c>
      <c r="D960" s="5">
        <v>3</v>
      </c>
      <c r="E960" s="5">
        <v>2010</v>
      </c>
      <c r="F960" s="5" t="s">
        <v>15</v>
      </c>
      <c r="G960" s="5" t="s">
        <v>6</v>
      </c>
      <c r="H960" s="7">
        <v>70525.789999999994</v>
      </c>
      <c r="I960" s="7">
        <v>89887.66</v>
      </c>
      <c r="J960" s="7">
        <v>19361.87000000001</v>
      </c>
      <c r="K960" s="8">
        <v>0.27453602433946522</v>
      </c>
    </row>
    <row r="961" spans="1:11" x14ac:dyDescent="0.3">
      <c r="A961" s="5" t="s">
        <v>46</v>
      </c>
      <c r="B961" s="6">
        <v>40261</v>
      </c>
      <c r="C961" s="5">
        <v>13</v>
      </c>
      <c r="D961" s="5">
        <v>3</v>
      </c>
      <c r="E961" s="5">
        <v>2010</v>
      </c>
      <c r="F961" s="5" t="s">
        <v>16</v>
      </c>
      <c r="G961" s="5" t="s">
        <v>6</v>
      </c>
      <c r="H961" s="7">
        <v>38686.68</v>
      </c>
      <c r="I961" s="7">
        <v>44234.1</v>
      </c>
      <c r="J961" s="7">
        <v>5547.4199999999983</v>
      </c>
      <c r="K961" s="8">
        <v>0.14339354010217464</v>
      </c>
    </row>
    <row r="962" spans="1:11" x14ac:dyDescent="0.3">
      <c r="A962" s="5" t="s">
        <v>46</v>
      </c>
      <c r="B962" s="6">
        <v>40261</v>
      </c>
      <c r="C962" s="5">
        <v>13</v>
      </c>
      <c r="D962" s="5">
        <v>3</v>
      </c>
      <c r="E962" s="5">
        <v>2010</v>
      </c>
      <c r="F962" s="5" t="s">
        <v>17</v>
      </c>
      <c r="G962" s="5" t="s">
        <v>6</v>
      </c>
      <c r="H962" s="7">
        <v>574</v>
      </c>
      <c r="I962" s="7">
        <v>660</v>
      </c>
      <c r="J962" s="7">
        <v>86</v>
      </c>
      <c r="K962" s="8">
        <v>0.14982578397212543</v>
      </c>
    </row>
    <row r="963" spans="1:11" x14ac:dyDescent="0.3">
      <c r="A963" s="5" t="s">
        <v>46</v>
      </c>
      <c r="B963" s="6">
        <v>40261</v>
      </c>
      <c r="C963" s="5">
        <v>13</v>
      </c>
      <c r="D963" s="5">
        <v>3</v>
      </c>
      <c r="E963" s="5">
        <v>2010</v>
      </c>
      <c r="F963" s="5" t="s">
        <v>18</v>
      </c>
      <c r="G963" s="5" t="s">
        <v>6</v>
      </c>
      <c r="H963" s="7">
        <v>3303</v>
      </c>
      <c r="I963" s="7">
        <v>3794.74</v>
      </c>
      <c r="J963" s="7">
        <v>491.73999999999978</v>
      </c>
      <c r="K963" s="8">
        <v>0.14887677868604293</v>
      </c>
    </row>
    <row r="964" spans="1:11" x14ac:dyDescent="0.3">
      <c r="A964" s="5" t="s">
        <v>46</v>
      </c>
      <c r="B964" s="6">
        <v>40261</v>
      </c>
      <c r="C964" s="5">
        <v>13</v>
      </c>
      <c r="D964" s="5">
        <v>3</v>
      </c>
      <c r="E964" s="5">
        <v>2010</v>
      </c>
      <c r="F964" s="5" t="s">
        <v>19</v>
      </c>
      <c r="G964" s="5" t="s">
        <v>5</v>
      </c>
      <c r="H964" s="7">
        <v>84366.44</v>
      </c>
      <c r="I964" s="7">
        <v>91999.22</v>
      </c>
      <c r="J964" s="7">
        <v>7632.7799999999988</v>
      </c>
      <c r="K964" s="8">
        <v>9.0471756304995196E-2</v>
      </c>
    </row>
    <row r="965" spans="1:11" x14ac:dyDescent="0.3">
      <c r="A965" s="5" t="s">
        <v>46</v>
      </c>
      <c r="B965" s="6">
        <v>40261</v>
      </c>
      <c r="C965" s="5">
        <v>13</v>
      </c>
      <c r="D965" s="5">
        <v>3</v>
      </c>
      <c r="E965" s="5">
        <v>2010</v>
      </c>
      <c r="F965" s="5" t="s">
        <v>5</v>
      </c>
      <c r="G965" s="5" t="s">
        <v>5</v>
      </c>
      <c r="H965" s="7">
        <v>213886.4</v>
      </c>
      <c r="I965" s="7">
        <v>222288.49</v>
      </c>
      <c r="J965" s="7">
        <v>8402.0899999999965</v>
      </c>
      <c r="K965" s="8">
        <v>3.9282955812057228E-2</v>
      </c>
    </row>
    <row r="966" spans="1:11" x14ac:dyDescent="0.3">
      <c r="A966" s="5" t="s">
        <v>46</v>
      </c>
      <c r="B966" s="6">
        <v>40261</v>
      </c>
      <c r="C966" s="5">
        <v>13</v>
      </c>
      <c r="D966" s="5">
        <v>3</v>
      </c>
      <c r="E966" s="5">
        <v>2010</v>
      </c>
      <c r="F966" s="5" t="s">
        <v>20</v>
      </c>
      <c r="G966" s="5" t="s">
        <v>5</v>
      </c>
      <c r="H966" s="7">
        <v>44423.13</v>
      </c>
      <c r="I966" s="7">
        <v>48495.06</v>
      </c>
      <c r="J966" s="7">
        <v>4071.9300000000003</v>
      </c>
      <c r="K966" s="8">
        <v>9.1662383987800966E-2</v>
      </c>
    </row>
    <row r="967" spans="1:11" x14ac:dyDescent="0.3">
      <c r="A967" s="5" t="s">
        <v>46</v>
      </c>
      <c r="B967" s="6">
        <v>40261</v>
      </c>
      <c r="C967" s="5">
        <v>13</v>
      </c>
      <c r="D967" s="5">
        <v>3</v>
      </c>
      <c r="E967" s="5">
        <v>2010</v>
      </c>
      <c r="F967" s="5" t="s">
        <v>21</v>
      </c>
      <c r="G967" s="5" t="s">
        <v>5</v>
      </c>
      <c r="H967" s="7">
        <v>91036.98</v>
      </c>
      <c r="I967" s="7">
        <v>96412.19</v>
      </c>
      <c r="J967" s="7">
        <v>5375.2100000000064</v>
      </c>
      <c r="K967" s="8">
        <v>5.9044247733174002E-2</v>
      </c>
    </row>
    <row r="968" spans="1:11" x14ac:dyDescent="0.3">
      <c r="A968" s="5" t="s">
        <v>46</v>
      </c>
      <c r="B968" s="6">
        <v>40261</v>
      </c>
      <c r="C968" s="5">
        <v>13</v>
      </c>
      <c r="D968" s="5">
        <v>3</v>
      </c>
      <c r="E968" s="5">
        <v>2010</v>
      </c>
      <c r="F968" s="5" t="s">
        <v>22</v>
      </c>
      <c r="G968" s="5" t="s">
        <v>8</v>
      </c>
      <c r="H968" s="7">
        <v>116690.43</v>
      </c>
      <c r="I968" s="7">
        <v>125526.57</v>
      </c>
      <c r="J968" s="7">
        <v>8836.140000000014</v>
      </c>
      <c r="K968" s="8">
        <v>7.5722919180261944E-2</v>
      </c>
    </row>
    <row r="969" spans="1:11" x14ac:dyDescent="0.3">
      <c r="A969" s="5" t="s">
        <v>46</v>
      </c>
      <c r="B969" s="6">
        <v>40261</v>
      </c>
      <c r="C969" s="5">
        <v>13</v>
      </c>
      <c r="D969" s="5">
        <v>3</v>
      </c>
      <c r="E969" s="5">
        <v>2010</v>
      </c>
      <c r="F969" s="5" t="s">
        <v>23</v>
      </c>
      <c r="G969" s="5" t="s">
        <v>8</v>
      </c>
      <c r="H969" s="7">
        <v>58210.29</v>
      </c>
      <c r="I969" s="7">
        <v>62046.94</v>
      </c>
      <c r="J969" s="7">
        <v>3836.6500000000015</v>
      </c>
      <c r="K969" s="8">
        <v>6.5910168116324469E-2</v>
      </c>
    </row>
    <row r="970" spans="1:11" x14ac:dyDescent="0.3">
      <c r="A970" s="5" t="s">
        <v>46</v>
      </c>
      <c r="B970" s="6">
        <v>40261</v>
      </c>
      <c r="C970" s="5">
        <v>13</v>
      </c>
      <c r="D970" s="5">
        <v>3</v>
      </c>
      <c r="E970" s="5">
        <v>2010</v>
      </c>
      <c r="F970" s="5" t="s">
        <v>24</v>
      </c>
      <c r="G970" s="5" t="s">
        <v>8</v>
      </c>
      <c r="H970" s="7">
        <v>67229</v>
      </c>
      <c r="I970" s="7">
        <v>72607.02</v>
      </c>
      <c r="J970" s="7">
        <v>5378.0200000000041</v>
      </c>
      <c r="K970" s="8">
        <v>7.9995537640006609E-2</v>
      </c>
    </row>
    <row r="971" spans="1:11" x14ac:dyDescent="0.3">
      <c r="A971" s="5" t="s">
        <v>46</v>
      </c>
      <c r="B971" s="6">
        <v>40261</v>
      </c>
      <c r="C971" s="5">
        <v>13</v>
      </c>
      <c r="D971" s="5">
        <v>3</v>
      </c>
      <c r="E971" s="5">
        <v>2010</v>
      </c>
      <c r="F971" s="5" t="s">
        <v>25</v>
      </c>
      <c r="G971" s="5" t="s">
        <v>8</v>
      </c>
      <c r="H971" s="7">
        <v>6612</v>
      </c>
      <c r="I971" s="7">
        <v>7098.68</v>
      </c>
      <c r="J971" s="7">
        <v>486.68000000000029</v>
      </c>
      <c r="K971" s="8">
        <v>7.3605565638233561E-2</v>
      </c>
    </row>
    <row r="972" spans="1:11" x14ac:dyDescent="0.3">
      <c r="A972" s="5" t="s">
        <v>46</v>
      </c>
      <c r="B972" s="6">
        <v>40261</v>
      </c>
      <c r="C972" s="5">
        <v>13</v>
      </c>
      <c r="D972" s="5">
        <v>3</v>
      </c>
      <c r="E972" s="5">
        <v>2010</v>
      </c>
      <c r="F972" s="5" t="s">
        <v>26</v>
      </c>
      <c r="G972" s="5" t="s">
        <v>10</v>
      </c>
      <c r="H972" s="7">
        <v>681</v>
      </c>
      <c r="I972" s="7">
        <v>762.97</v>
      </c>
      <c r="J972" s="7">
        <v>81.970000000000027</v>
      </c>
      <c r="K972" s="8">
        <v>0.12036710719530107</v>
      </c>
    </row>
    <row r="973" spans="1:11" x14ac:dyDescent="0.3">
      <c r="A973" s="5" t="s">
        <v>46</v>
      </c>
      <c r="B973" s="6">
        <v>40261</v>
      </c>
      <c r="C973" s="5">
        <v>13</v>
      </c>
      <c r="D973" s="5">
        <v>3</v>
      </c>
      <c r="E973" s="5">
        <v>2010</v>
      </c>
      <c r="F973" s="5" t="s">
        <v>27</v>
      </c>
      <c r="G973" s="5" t="s">
        <v>10</v>
      </c>
      <c r="H973" s="7">
        <v>40706.400000000001</v>
      </c>
      <c r="I973" s="7">
        <v>45605.02</v>
      </c>
      <c r="J973" s="7">
        <v>4898.6199999999953</v>
      </c>
      <c r="K973" s="8">
        <v>0.12034029047029447</v>
      </c>
    </row>
    <row r="974" spans="1:11" x14ac:dyDescent="0.3">
      <c r="A974" s="5" t="s">
        <v>46</v>
      </c>
      <c r="B974" s="6">
        <v>40261</v>
      </c>
      <c r="C974" s="5">
        <v>13</v>
      </c>
      <c r="D974" s="5">
        <v>3</v>
      </c>
      <c r="E974" s="5">
        <v>2010</v>
      </c>
      <c r="F974" s="5" t="s">
        <v>28</v>
      </c>
      <c r="G974" s="5" t="s">
        <v>10</v>
      </c>
      <c r="H974" s="7">
        <v>23198.69</v>
      </c>
      <c r="I974" s="7">
        <v>27831.01</v>
      </c>
      <c r="J974" s="7">
        <v>4632.32</v>
      </c>
      <c r="K974" s="8">
        <v>0.19968024056530778</v>
      </c>
    </row>
    <row r="975" spans="1:11" x14ac:dyDescent="0.3">
      <c r="A975" s="5" t="s">
        <v>46</v>
      </c>
      <c r="B975" s="6">
        <v>40261</v>
      </c>
      <c r="C975" s="5">
        <v>13</v>
      </c>
      <c r="D975" s="5">
        <v>3</v>
      </c>
      <c r="E975" s="5">
        <v>2010</v>
      </c>
      <c r="F975" s="5" t="s">
        <v>29</v>
      </c>
      <c r="G975" s="5" t="s">
        <v>10</v>
      </c>
      <c r="H975" s="7">
        <v>157981.79999999999</v>
      </c>
      <c r="I975" s="7">
        <v>172320.94</v>
      </c>
      <c r="J975" s="7">
        <v>14339.140000000014</v>
      </c>
      <c r="K975" s="8">
        <v>9.0764505784843671E-2</v>
      </c>
    </row>
    <row r="976" spans="1:11" x14ac:dyDescent="0.3">
      <c r="A976" s="5" t="s">
        <v>46</v>
      </c>
      <c r="B976" s="6">
        <v>40261</v>
      </c>
      <c r="C976" s="5">
        <v>13</v>
      </c>
      <c r="D976" s="5">
        <v>3</v>
      </c>
      <c r="E976" s="5">
        <v>2010</v>
      </c>
      <c r="F976" s="5" t="s">
        <v>30</v>
      </c>
      <c r="G976" s="5" t="s">
        <v>10</v>
      </c>
      <c r="H976" s="7">
        <v>36195.4</v>
      </c>
      <c r="I976" s="7">
        <v>40701.4</v>
      </c>
      <c r="J976" s="7">
        <v>4506</v>
      </c>
      <c r="K976" s="8">
        <v>0.12449095741447808</v>
      </c>
    </row>
    <row r="977" spans="1:11" x14ac:dyDescent="0.3">
      <c r="A977" s="5" t="s">
        <v>46</v>
      </c>
      <c r="B977" s="6">
        <v>40261</v>
      </c>
      <c r="C977" s="5">
        <v>13</v>
      </c>
      <c r="D977" s="5">
        <v>3</v>
      </c>
      <c r="E977" s="5">
        <v>2010</v>
      </c>
      <c r="F977" s="5" t="s">
        <v>9</v>
      </c>
      <c r="G977" s="5" t="s">
        <v>9</v>
      </c>
      <c r="H977" s="7">
        <v>184983.49</v>
      </c>
      <c r="I977" s="7">
        <v>221393.44</v>
      </c>
      <c r="J977" s="7">
        <v>36409.950000000012</v>
      </c>
      <c r="K977" s="8">
        <v>0.1968281061190921</v>
      </c>
    </row>
    <row r="978" spans="1:11" x14ac:dyDescent="0.3">
      <c r="A978" s="5" t="s">
        <v>46</v>
      </c>
      <c r="B978" s="6">
        <v>40261</v>
      </c>
      <c r="C978" s="5">
        <v>13</v>
      </c>
      <c r="D978" s="5">
        <v>3</v>
      </c>
      <c r="E978" s="5">
        <v>2010</v>
      </c>
      <c r="F978" s="5" t="s">
        <v>31</v>
      </c>
      <c r="G978" s="5" t="s">
        <v>7</v>
      </c>
      <c r="H978" s="7">
        <v>25911.26</v>
      </c>
      <c r="I978" s="7">
        <v>33126.5</v>
      </c>
      <c r="J978" s="7">
        <v>7215.2400000000016</v>
      </c>
      <c r="K978" s="8">
        <v>0.27845963492319564</v>
      </c>
    </row>
    <row r="979" spans="1:11" x14ac:dyDescent="0.3">
      <c r="A979" s="5" t="s">
        <v>46</v>
      </c>
      <c r="B979" s="6">
        <v>40261</v>
      </c>
      <c r="C979" s="5">
        <v>13</v>
      </c>
      <c r="D979" s="5">
        <v>3</v>
      </c>
      <c r="E979" s="5">
        <v>2010</v>
      </c>
      <c r="F979" s="5" t="s">
        <v>33</v>
      </c>
      <c r="G979" s="5" t="s">
        <v>7</v>
      </c>
      <c r="H979" s="7">
        <v>25988.25</v>
      </c>
      <c r="I979" s="7">
        <v>49717.54</v>
      </c>
      <c r="J979" s="7">
        <v>23729.29</v>
      </c>
      <c r="K979" s="8">
        <v>0.91307764085692578</v>
      </c>
    </row>
    <row r="980" spans="1:11" x14ac:dyDescent="0.3">
      <c r="A980" s="5" t="s">
        <v>46</v>
      </c>
      <c r="B980" s="6">
        <v>40261</v>
      </c>
      <c r="C980" s="5">
        <v>13</v>
      </c>
      <c r="D980" s="5">
        <v>3</v>
      </c>
      <c r="E980" s="5">
        <v>2010</v>
      </c>
      <c r="F980" s="5" t="s">
        <v>34</v>
      </c>
      <c r="G980" s="5" t="s">
        <v>7</v>
      </c>
      <c r="H980" s="7">
        <v>1256.9000000000001</v>
      </c>
      <c r="I980" s="7">
        <v>1396.37</v>
      </c>
      <c r="J980" s="7">
        <v>139.4699999999998</v>
      </c>
      <c r="K980" s="8">
        <v>0.11096348158166902</v>
      </c>
    </row>
    <row r="981" spans="1:11" x14ac:dyDescent="0.3">
      <c r="A981" s="5" t="s">
        <v>46</v>
      </c>
      <c r="B981" s="6">
        <v>40261</v>
      </c>
      <c r="C981" s="5">
        <v>13</v>
      </c>
      <c r="D981" s="5">
        <v>3</v>
      </c>
      <c r="E981" s="5">
        <v>2010</v>
      </c>
      <c r="F981" s="5" t="s">
        <v>35</v>
      </c>
      <c r="G981" s="5" t="s">
        <v>11</v>
      </c>
      <c r="H981" s="7">
        <v>642</v>
      </c>
      <c r="I981" s="7">
        <v>748.65</v>
      </c>
      <c r="J981" s="7">
        <v>106.64999999999998</v>
      </c>
      <c r="K981" s="8">
        <v>0.16612149532710277</v>
      </c>
    </row>
    <row r="982" spans="1:11" x14ac:dyDescent="0.3">
      <c r="A982" s="5" t="s">
        <v>46</v>
      </c>
      <c r="B982" s="6">
        <v>40261</v>
      </c>
      <c r="C982" s="5">
        <v>13</v>
      </c>
      <c r="D982" s="5">
        <v>3</v>
      </c>
      <c r="E982" s="5">
        <v>2010</v>
      </c>
      <c r="F982" s="5" t="s">
        <v>36</v>
      </c>
      <c r="G982" s="5" t="s">
        <v>11</v>
      </c>
      <c r="H982" s="7">
        <v>65272.35</v>
      </c>
      <c r="I982" s="7">
        <v>70356.350000000006</v>
      </c>
      <c r="J982" s="7">
        <v>5084.0000000000073</v>
      </c>
      <c r="K982" s="8">
        <v>7.7889029581438507E-2</v>
      </c>
    </row>
    <row r="983" spans="1:11" x14ac:dyDescent="0.3">
      <c r="A983" s="5" t="s">
        <v>46</v>
      </c>
      <c r="B983" s="6">
        <v>40261</v>
      </c>
      <c r="C983" s="5">
        <v>13</v>
      </c>
      <c r="D983" s="5">
        <v>3</v>
      </c>
      <c r="E983" s="5">
        <v>2010</v>
      </c>
      <c r="F983" s="5" t="s">
        <v>37</v>
      </c>
      <c r="G983" s="5" t="s">
        <v>11</v>
      </c>
      <c r="H983" s="7">
        <v>146535.49</v>
      </c>
      <c r="I983" s="7">
        <v>157472.13</v>
      </c>
      <c r="J983" s="7">
        <v>10936.640000000014</v>
      </c>
      <c r="K983" s="8">
        <v>7.4634752304714821E-2</v>
      </c>
    </row>
    <row r="984" spans="1:11" x14ac:dyDescent="0.3">
      <c r="A984" s="5" t="s">
        <v>46</v>
      </c>
      <c r="B984" s="6">
        <v>40261</v>
      </c>
      <c r="C984" s="5">
        <v>13</v>
      </c>
      <c r="D984" s="5">
        <v>3</v>
      </c>
      <c r="E984" s="5">
        <v>2010</v>
      </c>
      <c r="F984" s="5" t="s">
        <v>38</v>
      </c>
      <c r="G984" s="5" t="s">
        <v>11</v>
      </c>
      <c r="H984" s="7">
        <v>189718.95</v>
      </c>
      <c r="I984" s="7">
        <v>198855.41</v>
      </c>
      <c r="J984" s="7">
        <v>9136.4599999999919</v>
      </c>
      <c r="K984" s="8">
        <v>4.8157867203038975E-2</v>
      </c>
    </row>
    <row r="985" spans="1:11" x14ac:dyDescent="0.3">
      <c r="A985" s="5" t="s">
        <v>46</v>
      </c>
      <c r="B985" s="6">
        <v>40262</v>
      </c>
      <c r="C985" s="5">
        <v>13</v>
      </c>
      <c r="D985" s="5">
        <v>3</v>
      </c>
      <c r="E985" s="5">
        <v>2010</v>
      </c>
      <c r="F985" s="5" t="s">
        <v>14</v>
      </c>
      <c r="G985" s="5" t="s">
        <v>6</v>
      </c>
      <c r="H985" s="7">
        <v>7244</v>
      </c>
      <c r="I985" s="7">
        <v>8351</v>
      </c>
      <c r="J985" s="7">
        <v>1107</v>
      </c>
      <c r="K985" s="8">
        <v>0.15281612368856984</v>
      </c>
    </row>
    <row r="986" spans="1:11" x14ac:dyDescent="0.3">
      <c r="A986" s="5" t="s">
        <v>46</v>
      </c>
      <c r="B986" s="6">
        <v>40262</v>
      </c>
      <c r="C986" s="5">
        <v>13</v>
      </c>
      <c r="D986" s="5">
        <v>3</v>
      </c>
      <c r="E986" s="5">
        <v>2010</v>
      </c>
      <c r="F986" s="5" t="s">
        <v>15</v>
      </c>
      <c r="G986" s="5" t="s">
        <v>6</v>
      </c>
      <c r="H986" s="7">
        <v>101016</v>
      </c>
      <c r="I986" s="7">
        <v>123754</v>
      </c>
      <c r="J986" s="7">
        <v>22738</v>
      </c>
      <c r="K986" s="8">
        <v>0.22509305456561338</v>
      </c>
    </row>
    <row r="987" spans="1:11" x14ac:dyDescent="0.3">
      <c r="A987" s="5" t="s">
        <v>46</v>
      </c>
      <c r="B987" s="6">
        <v>40262</v>
      </c>
      <c r="C987" s="5">
        <v>13</v>
      </c>
      <c r="D987" s="5">
        <v>3</v>
      </c>
      <c r="E987" s="5">
        <v>2010</v>
      </c>
      <c r="F987" s="5" t="s">
        <v>16</v>
      </c>
      <c r="G987" s="5" t="s">
        <v>6</v>
      </c>
      <c r="H987" s="7">
        <v>49604</v>
      </c>
      <c r="I987" s="7">
        <v>55468</v>
      </c>
      <c r="J987" s="7">
        <v>5864</v>
      </c>
      <c r="K987" s="8">
        <v>0.11821627288121926</v>
      </c>
    </row>
    <row r="988" spans="1:11" x14ac:dyDescent="0.3">
      <c r="A988" s="5" t="s">
        <v>46</v>
      </c>
      <c r="B988" s="6">
        <v>40262</v>
      </c>
      <c r="C988" s="5">
        <v>13</v>
      </c>
      <c r="D988" s="5">
        <v>3</v>
      </c>
      <c r="E988" s="5">
        <v>2010</v>
      </c>
      <c r="F988" s="5" t="s">
        <v>18</v>
      </c>
      <c r="G988" s="5" t="s">
        <v>6</v>
      </c>
      <c r="H988" s="7">
        <v>2691</v>
      </c>
      <c r="I988" s="7">
        <v>3059</v>
      </c>
      <c r="J988" s="7">
        <v>368</v>
      </c>
      <c r="K988" s="8">
        <v>0.13675213675213677</v>
      </c>
    </row>
    <row r="989" spans="1:11" x14ac:dyDescent="0.3">
      <c r="A989" s="5" t="s">
        <v>46</v>
      </c>
      <c r="B989" s="6">
        <v>40262</v>
      </c>
      <c r="C989" s="5">
        <v>13</v>
      </c>
      <c r="D989" s="5">
        <v>3</v>
      </c>
      <c r="E989" s="5">
        <v>2010</v>
      </c>
      <c r="F989" s="5" t="s">
        <v>19</v>
      </c>
      <c r="G989" s="5" t="s">
        <v>5</v>
      </c>
      <c r="H989" s="7">
        <v>73005</v>
      </c>
      <c r="I989" s="7">
        <v>81579</v>
      </c>
      <c r="J989" s="7">
        <v>8574</v>
      </c>
      <c r="K989" s="8">
        <v>0.11744401068419971</v>
      </c>
    </row>
    <row r="990" spans="1:11" x14ac:dyDescent="0.3">
      <c r="A990" s="5" t="s">
        <v>46</v>
      </c>
      <c r="B990" s="6">
        <v>40262</v>
      </c>
      <c r="C990" s="5">
        <v>13</v>
      </c>
      <c r="D990" s="5">
        <v>3</v>
      </c>
      <c r="E990" s="5">
        <v>2010</v>
      </c>
      <c r="F990" s="5" t="s">
        <v>5</v>
      </c>
      <c r="G990" s="5" t="s">
        <v>5</v>
      </c>
      <c r="H990" s="7">
        <v>249260</v>
      </c>
      <c r="I990" s="7">
        <v>261693</v>
      </c>
      <c r="J990" s="7">
        <v>12433</v>
      </c>
      <c r="K990" s="8">
        <v>4.9879643745486639E-2</v>
      </c>
    </row>
    <row r="991" spans="1:11" x14ac:dyDescent="0.3">
      <c r="A991" s="5" t="s">
        <v>46</v>
      </c>
      <c r="B991" s="6">
        <v>40262</v>
      </c>
      <c r="C991" s="5">
        <v>13</v>
      </c>
      <c r="D991" s="5">
        <v>3</v>
      </c>
      <c r="E991" s="5">
        <v>2010</v>
      </c>
      <c r="F991" s="5" t="s">
        <v>20</v>
      </c>
      <c r="G991" s="5" t="s">
        <v>5</v>
      </c>
      <c r="H991" s="7">
        <v>51775</v>
      </c>
      <c r="I991" s="7">
        <v>56788</v>
      </c>
      <c r="J991" s="7">
        <v>5013</v>
      </c>
      <c r="K991" s="8">
        <v>9.6822790922259774E-2</v>
      </c>
    </row>
    <row r="992" spans="1:11" x14ac:dyDescent="0.3">
      <c r="A992" s="5" t="s">
        <v>46</v>
      </c>
      <c r="B992" s="6">
        <v>40262</v>
      </c>
      <c r="C992" s="5">
        <v>13</v>
      </c>
      <c r="D992" s="5">
        <v>3</v>
      </c>
      <c r="E992" s="5">
        <v>2010</v>
      </c>
      <c r="F992" s="5" t="s">
        <v>21</v>
      </c>
      <c r="G992" s="5" t="s">
        <v>5</v>
      </c>
      <c r="H992" s="7">
        <v>65864</v>
      </c>
      <c r="I992" s="7">
        <v>70554</v>
      </c>
      <c r="J992" s="7">
        <v>4690</v>
      </c>
      <c r="K992" s="8">
        <v>7.1207336329406054E-2</v>
      </c>
    </row>
    <row r="993" spans="1:11" x14ac:dyDescent="0.3">
      <c r="A993" s="5" t="s">
        <v>46</v>
      </c>
      <c r="B993" s="6">
        <v>40262</v>
      </c>
      <c r="C993" s="5">
        <v>13</v>
      </c>
      <c r="D993" s="5">
        <v>3</v>
      </c>
      <c r="E993" s="5">
        <v>2010</v>
      </c>
      <c r="F993" s="5" t="s">
        <v>22</v>
      </c>
      <c r="G993" s="5" t="s">
        <v>8</v>
      </c>
      <c r="H993" s="7">
        <v>132996</v>
      </c>
      <c r="I993" s="7">
        <v>145078</v>
      </c>
      <c r="J993" s="7">
        <v>12082</v>
      </c>
      <c r="K993" s="8">
        <v>9.0844837438719961E-2</v>
      </c>
    </row>
    <row r="994" spans="1:11" x14ac:dyDescent="0.3">
      <c r="A994" s="5" t="s">
        <v>46</v>
      </c>
      <c r="B994" s="6">
        <v>40262</v>
      </c>
      <c r="C994" s="5">
        <v>13</v>
      </c>
      <c r="D994" s="5">
        <v>3</v>
      </c>
      <c r="E994" s="5">
        <v>2010</v>
      </c>
      <c r="F994" s="5" t="s">
        <v>23</v>
      </c>
      <c r="G994" s="5" t="s">
        <v>8</v>
      </c>
      <c r="H994" s="7">
        <v>62308</v>
      </c>
      <c r="I994" s="7">
        <v>66538</v>
      </c>
      <c r="J994" s="7">
        <v>4230</v>
      </c>
      <c r="K994" s="8">
        <v>6.7888553636772167E-2</v>
      </c>
    </row>
    <row r="995" spans="1:11" x14ac:dyDescent="0.3">
      <c r="A995" s="5" t="s">
        <v>46</v>
      </c>
      <c r="B995" s="6">
        <v>40262</v>
      </c>
      <c r="C995" s="5">
        <v>13</v>
      </c>
      <c r="D995" s="5">
        <v>3</v>
      </c>
      <c r="E995" s="5">
        <v>2010</v>
      </c>
      <c r="F995" s="5" t="s">
        <v>24</v>
      </c>
      <c r="G995" s="5" t="s">
        <v>8</v>
      </c>
      <c r="H995" s="7">
        <v>71194</v>
      </c>
      <c r="I995" s="7">
        <v>76875</v>
      </c>
      <c r="J995" s="7">
        <v>5681</v>
      </c>
      <c r="K995" s="8">
        <v>7.9796050228951879E-2</v>
      </c>
    </row>
    <row r="996" spans="1:11" x14ac:dyDescent="0.3">
      <c r="A996" s="5" t="s">
        <v>46</v>
      </c>
      <c r="B996" s="6">
        <v>40262</v>
      </c>
      <c r="C996" s="5">
        <v>13</v>
      </c>
      <c r="D996" s="5">
        <v>3</v>
      </c>
      <c r="E996" s="5">
        <v>2010</v>
      </c>
      <c r="F996" s="5" t="s">
        <v>25</v>
      </c>
      <c r="G996" s="5" t="s">
        <v>8</v>
      </c>
      <c r="H996" s="7">
        <v>1984</v>
      </c>
      <c r="I996" s="7">
        <v>2214</v>
      </c>
      <c r="J996" s="7">
        <v>230</v>
      </c>
      <c r="K996" s="8">
        <v>0.1159274193548387</v>
      </c>
    </row>
    <row r="997" spans="1:11" x14ac:dyDescent="0.3">
      <c r="A997" s="5" t="s">
        <v>46</v>
      </c>
      <c r="B997" s="6">
        <v>40262</v>
      </c>
      <c r="C997" s="5">
        <v>13</v>
      </c>
      <c r="D997" s="5">
        <v>3</v>
      </c>
      <c r="E997" s="5">
        <v>2010</v>
      </c>
      <c r="F997" s="5" t="s">
        <v>26</v>
      </c>
      <c r="G997" s="5" t="s">
        <v>10</v>
      </c>
      <c r="H997" s="7">
        <v>625</v>
      </c>
      <c r="I997" s="7">
        <v>700</v>
      </c>
      <c r="J997" s="7">
        <v>75</v>
      </c>
      <c r="K997" s="8">
        <v>0.12</v>
      </c>
    </row>
    <row r="998" spans="1:11" x14ac:dyDescent="0.3">
      <c r="A998" s="5" t="s">
        <v>46</v>
      </c>
      <c r="B998" s="6">
        <v>40262</v>
      </c>
      <c r="C998" s="5">
        <v>13</v>
      </c>
      <c r="D998" s="5">
        <v>3</v>
      </c>
      <c r="E998" s="5">
        <v>2010</v>
      </c>
      <c r="F998" s="5" t="s">
        <v>27</v>
      </c>
      <c r="G998" s="5" t="s">
        <v>10</v>
      </c>
      <c r="H998" s="7">
        <v>37122</v>
      </c>
      <c r="I998" s="7">
        <v>41921</v>
      </c>
      <c r="J998" s="7">
        <v>4799</v>
      </c>
      <c r="K998" s="8">
        <v>0.129276439846991</v>
      </c>
    </row>
    <row r="999" spans="1:11" x14ac:dyDescent="0.3">
      <c r="A999" s="5" t="s">
        <v>46</v>
      </c>
      <c r="B999" s="6">
        <v>40262</v>
      </c>
      <c r="C999" s="5">
        <v>13</v>
      </c>
      <c r="D999" s="5">
        <v>3</v>
      </c>
      <c r="E999" s="5">
        <v>2010</v>
      </c>
      <c r="F999" s="5" t="s">
        <v>28</v>
      </c>
      <c r="G999" s="5" t="s">
        <v>10</v>
      </c>
      <c r="H999" s="7">
        <v>34479</v>
      </c>
      <c r="I999" s="7">
        <v>40201</v>
      </c>
      <c r="J999" s="7">
        <v>5722</v>
      </c>
      <c r="K999" s="8">
        <v>0.16595608921372429</v>
      </c>
    </row>
    <row r="1000" spans="1:11" x14ac:dyDescent="0.3">
      <c r="A1000" s="5" t="s">
        <v>46</v>
      </c>
      <c r="B1000" s="6">
        <v>40262</v>
      </c>
      <c r="C1000" s="5">
        <v>13</v>
      </c>
      <c r="D1000" s="5">
        <v>3</v>
      </c>
      <c r="E1000" s="5">
        <v>2010</v>
      </c>
      <c r="F1000" s="5" t="s">
        <v>29</v>
      </c>
      <c r="G1000" s="5" t="s">
        <v>10</v>
      </c>
      <c r="H1000" s="7">
        <v>186879</v>
      </c>
      <c r="I1000" s="7">
        <v>202641</v>
      </c>
      <c r="J1000" s="7">
        <v>15762</v>
      </c>
      <c r="K1000" s="8">
        <v>8.4343345159167166E-2</v>
      </c>
    </row>
    <row r="1001" spans="1:11" x14ac:dyDescent="0.3">
      <c r="A1001" s="5" t="s">
        <v>46</v>
      </c>
      <c r="B1001" s="6">
        <v>40262</v>
      </c>
      <c r="C1001" s="5">
        <v>13</v>
      </c>
      <c r="D1001" s="5">
        <v>3</v>
      </c>
      <c r="E1001" s="5">
        <v>2010</v>
      </c>
      <c r="F1001" s="5" t="s">
        <v>30</v>
      </c>
      <c r="G1001" s="5" t="s">
        <v>10</v>
      </c>
      <c r="H1001" s="7">
        <v>33726</v>
      </c>
      <c r="I1001" s="7">
        <v>37724</v>
      </c>
      <c r="J1001" s="7">
        <v>3998</v>
      </c>
      <c r="K1001" s="8">
        <v>0.11854355689972128</v>
      </c>
    </row>
    <row r="1002" spans="1:11" x14ac:dyDescent="0.3">
      <c r="A1002" s="5" t="s">
        <v>46</v>
      </c>
      <c r="B1002" s="6">
        <v>40262</v>
      </c>
      <c r="C1002" s="5">
        <v>13</v>
      </c>
      <c r="D1002" s="5">
        <v>3</v>
      </c>
      <c r="E1002" s="5">
        <v>2010</v>
      </c>
      <c r="F1002" s="5" t="s">
        <v>9</v>
      </c>
      <c r="G1002" s="5" t="s">
        <v>9</v>
      </c>
      <c r="H1002" s="7">
        <v>213120</v>
      </c>
      <c r="I1002" s="7">
        <v>253611</v>
      </c>
      <c r="J1002" s="7">
        <v>40491</v>
      </c>
      <c r="K1002" s="8">
        <v>0.18999155405405405</v>
      </c>
    </row>
    <row r="1003" spans="1:11" x14ac:dyDescent="0.3">
      <c r="A1003" s="5" t="s">
        <v>46</v>
      </c>
      <c r="B1003" s="6">
        <v>40262</v>
      </c>
      <c r="C1003" s="5">
        <v>13</v>
      </c>
      <c r="D1003" s="5">
        <v>3</v>
      </c>
      <c r="E1003" s="5">
        <v>2010</v>
      </c>
      <c r="F1003" s="5" t="s">
        <v>31</v>
      </c>
      <c r="G1003" s="5" t="s">
        <v>7</v>
      </c>
      <c r="H1003" s="7">
        <v>29811</v>
      </c>
      <c r="I1003" s="7">
        <v>34666</v>
      </c>
      <c r="J1003" s="7">
        <v>4855</v>
      </c>
      <c r="K1003" s="8">
        <v>0.16285934722082454</v>
      </c>
    </row>
    <row r="1004" spans="1:11" x14ac:dyDescent="0.3">
      <c r="A1004" s="5" t="s">
        <v>46</v>
      </c>
      <c r="B1004" s="6">
        <v>40262</v>
      </c>
      <c r="C1004" s="5">
        <v>13</v>
      </c>
      <c r="D1004" s="5">
        <v>3</v>
      </c>
      <c r="E1004" s="5">
        <v>2010</v>
      </c>
      <c r="F1004" s="5" t="s">
        <v>33</v>
      </c>
      <c r="G1004" s="5" t="s">
        <v>7</v>
      </c>
      <c r="H1004" s="7">
        <v>42231</v>
      </c>
      <c r="I1004" s="7">
        <v>79318</v>
      </c>
      <c r="J1004" s="7">
        <v>37087</v>
      </c>
      <c r="K1004" s="8">
        <v>0.87819374393218252</v>
      </c>
    </row>
    <row r="1005" spans="1:11" x14ac:dyDescent="0.3">
      <c r="A1005" s="5" t="s">
        <v>46</v>
      </c>
      <c r="B1005" s="6">
        <v>40262</v>
      </c>
      <c r="C1005" s="5">
        <v>13</v>
      </c>
      <c r="D1005" s="5">
        <v>3</v>
      </c>
      <c r="E1005" s="5">
        <v>2010</v>
      </c>
      <c r="F1005" s="5" t="s">
        <v>34</v>
      </c>
      <c r="G1005" s="5" t="s">
        <v>7</v>
      </c>
      <c r="H1005" s="7">
        <v>3309</v>
      </c>
      <c r="I1005" s="7">
        <v>3676</v>
      </c>
      <c r="J1005" s="7">
        <v>367</v>
      </c>
      <c r="K1005" s="8">
        <v>0.11090964037473557</v>
      </c>
    </row>
    <row r="1006" spans="1:11" x14ac:dyDescent="0.3">
      <c r="A1006" s="5" t="s">
        <v>46</v>
      </c>
      <c r="B1006" s="6">
        <v>40262</v>
      </c>
      <c r="C1006" s="5">
        <v>13</v>
      </c>
      <c r="D1006" s="5">
        <v>3</v>
      </c>
      <c r="E1006" s="5">
        <v>2010</v>
      </c>
      <c r="F1006" s="5" t="s">
        <v>35</v>
      </c>
      <c r="G1006" s="5" t="s">
        <v>11</v>
      </c>
      <c r="H1006" s="7">
        <v>4356</v>
      </c>
      <c r="I1006" s="7">
        <v>5220</v>
      </c>
      <c r="J1006" s="7">
        <v>864</v>
      </c>
      <c r="K1006" s="8">
        <v>0.19834710743801653</v>
      </c>
    </row>
    <row r="1007" spans="1:11" x14ac:dyDescent="0.3">
      <c r="A1007" s="5" t="s">
        <v>46</v>
      </c>
      <c r="B1007" s="6">
        <v>40262</v>
      </c>
      <c r="C1007" s="5">
        <v>13</v>
      </c>
      <c r="D1007" s="5">
        <v>3</v>
      </c>
      <c r="E1007" s="5">
        <v>2010</v>
      </c>
      <c r="F1007" s="5" t="s">
        <v>36</v>
      </c>
      <c r="G1007" s="5" t="s">
        <v>11</v>
      </c>
      <c r="H1007" s="7">
        <v>62520</v>
      </c>
      <c r="I1007" s="7">
        <v>66846</v>
      </c>
      <c r="J1007" s="7">
        <v>4326</v>
      </c>
      <c r="K1007" s="8">
        <v>6.919385796545105E-2</v>
      </c>
    </row>
    <row r="1008" spans="1:11" x14ac:dyDescent="0.3">
      <c r="A1008" s="5" t="s">
        <v>46</v>
      </c>
      <c r="B1008" s="6">
        <v>40262</v>
      </c>
      <c r="C1008" s="5">
        <v>13</v>
      </c>
      <c r="D1008" s="5">
        <v>3</v>
      </c>
      <c r="E1008" s="5">
        <v>2010</v>
      </c>
      <c r="F1008" s="5" t="s">
        <v>37</v>
      </c>
      <c r="G1008" s="5" t="s">
        <v>11</v>
      </c>
      <c r="H1008" s="7">
        <v>154137</v>
      </c>
      <c r="I1008" s="7">
        <v>164541</v>
      </c>
      <c r="J1008" s="7">
        <v>10404</v>
      </c>
      <c r="K1008" s="8">
        <v>6.7498394285603072E-2</v>
      </c>
    </row>
    <row r="1009" spans="1:11" x14ac:dyDescent="0.3">
      <c r="A1009" s="5" t="s">
        <v>46</v>
      </c>
      <c r="B1009" s="6">
        <v>40262</v>
      </c>
      <c r="C1009" s="5">
        <v>13</v>
      </c>
      <c r="D1009" s="5">
        <v>3</v>
      </c>
      <c r="E1009" s="5">
        <v>2010</v>
      </c>
      <c r="F1009" s="5" t="s">
        <v>38</v>
      </c>
      <c r="G1009" s="5" t="s">
        <v>11</v>
      </c>
      <c r="H1009" s="7">
        <v>144977</v>
      </c>
      <c r="I1009" s="7">
        <v>151412</v>
      </c>
      <c r="J1009" s="7">
        <v>6435</v>
      </c>
      <c r="K1009" s="8">
        <v>4.4386350938424718E-2</v>
      </c>
    </row>
    <row r="1010" spans="1:11" x14ac:dyDescent="0.3">
      <c r="A1010" s="5" t="s">
        <v>46</v>
      </c>
      <c r="B1010" s="6">
        <v>40263</v>
      </c>
      <c r="C1010" s="5">
        <v>13</v>
      </c>
      <c r="D1010" s="5">
        <v>3</v>
      </c>
      <c r="E1010" s="5">
        <v>2010</v>
      </c>
      <c r="F1010" s="5" t="s">
        <v>14</v>
      </c>
      <c r="G1010" s="5" t="s">
        <v>6</v>
      </c>
      <c r="H1010" s="7">
        <v>6043</v>
      </c>
      <c r="I1010" s="7">
        <v>7057</v>
      </c>
      <c r="J1010" s="7">
        <v>1014</v>
      </c>
      <c r="K1010" s="8">
        <v>0.16779745159688897</v>
      </c>
    </row>
    <row r="1011" spans="1:11" x14ac:dyDescent="0.3">
      <c r="A1011" s="5" t="s">
        <v>46</v>
      </c>
      <c r="B1011" s="6">
        <v>40263</v>
      </c>
      <c r="C1011" s="5">
        <v>13</v>
      </c>
      <c r="D1011" s="5">
        <v>3</v>
      </c>
      <c r="E1011" s="5">
        <v>2010</v>
      </c>
      <c r="F1011" s="5" t="s">
        <v>15</v>
      </c>
      <c r="G1011" s="5" t="s">
        <v>6</v>
      </c>
      <c r="H1011" s="7">
        <v>89879</v>
      </c>
      <c r="I1011" s="7">
        <v>108680</v>
      </c>
      <c r="J1011" s="7">
        <v>18801</v>
      </c>
      <c r="K1011" s="8">
        <v>0.20918123254597848</v>
      </c>
    </row>
    <row r="1012" spans="1:11" x14ac:dyDescent="0.3">
      <c r="A1012" s="5" t="s">
        <v>46</v>
      </c>
      <c r="B1012" s="6">
        <v>40263</v>
      </c>
      <c r="C1012" s="5">
        <v>13</v>
      </c>
      <c r="D1012" s="5">
        <v>3</v>
      </c>
      <c r="E1012" s="5">
        <v>2010</v>
      </c>
      <c r="F1012" s="5" t="s">
        <v>16</v>
      </c>
      <c r="G1012" s="5" t="s">
        <v>6</v>
      </c>
      <c r="H1012" s="7">
        <v>43990</v>
      </c>
      <c r="I1012" s="7">
        <v>49577</v>
      </c>
      <c r="J1012" s="7">
        <v>5587</v>
      </c>
      <c r="K1012" s="8">
        <v>0.12700613775858149</v>
      </c>
    </row>
    <row r="1013" spans="1:11" x14ac:dyDescent="0.3">
      <c r="A1013" s="5" t="s">
        <v>46</v>
      </c>
      <c r="B1013" s="6">
        <v>40263</v>
      </c>
      <c r="C1013" s="5">
        <v>13</v>
      </c>
      <c r="D1013" s="5">
        <v>3</v>
      </c>
      <c r="E1013" s="5">
        <v>2010</v>
      </c>
      <c r="F1013" s="5" t="s">
        <v>17</v>
      </c>
      <c r="G1013" s="5" t="s">
        <v>6</v>
      </c>
      <c r="H1013" s="7">
        <v>435</v>
      </c>
      <c r="I1013" s="7">
        <v>484</v>
      </c>
      <c r="J1013" s="7">
        <v>49</v>
      </c>
      <c r="K1013" s="8">
        <v>0.11264367816091954</v>
      </c>
    </row>
    <row r="1014" spans="1:11" x14ac:dyDescent="0.3">
      <c r="A1014" s="5" t="s">
        <v>46</v>
      </c>
      <c r="B1014" s="6">
        <v>40263</v>
      </c>
      <c r="C1014" s="5">
        <v>13</v>
      </c>
      <c r="D1014" s="5">
        <v>3</v>
      </c>
      <c r="E1014" s="5">
        <v>2010</v>
      </c>
      <c r="F1014" s="5" t="s">
        <v>18</v>
      </c>
      <c r="G1014" s="5" t="s">
        <v>6</v>
      </c>
      <c r="H1014" s="7">
        <v>6299</v>
      </c>
      <c r="I1014" s="7">
        <v>7190</v>
      </c>
      <c r="J1014" s="7">
        <v>891</v>
      </c>
      <c r="K1014" s="8">
        <v>0.14145102397205905</v>
      </c>
    </row>
    <row r="1015" spans="1:11" x14ac:dyDescent="0.3">
      <c r="A1015" s="5" t="s">
        <v>46</v>
      </c>
      <c r="B1015" s="6">
        <v>40263</v>
      </c>
      <c r="C1015" s="5">
        <v>13</v>
      </c>
      <c r="D1015" s="5">
        <v>3</v>
      </c>
      <c r="E1015" s="5">
        <v>2010</v>
      </c>
      <c r="F1015" s="5" t="s">
        <v>19</v>
      </c>
      <c r="G1015" s="5" t="s">
        <v>5</v>
      </c>
      <c r="H1015" s="7">
        <v>101792</v>
      </c>
      <c r="I1015" s="7">
        <v>112335</v>
      </c>
      <c r="J1015" s="7">
        <v>10543</v>
      </c>
      <c r="K1015" s="8">
        <v>0.1035739547312166</v>
      </c>
    </row>
    <row r="1016" spans="1:11" x14ac:dyDescent="0.3">
      <c r="A1016" s="5" t="s">
        <v>46</v>
      </c>
      <c r="B1016" s="6">
        <v>40263</v>
      </c>
      <c r="C1016" s="5">
        <v>13</v>
      </c>
      <c r="D1016" s="5">
        <v>3</v>
      </c>
      <c r="E1016" s="5">
        <v>2010</v>
      </c>
      <c r="F1016" s="5" t="s">
        <v>5</v>
      </c>
      <c r="G1016" s="5" t="s">
        <v>5</v>
      </c>
      <c r="H1016" s="7">
        <v>229983</v>
      </c>
      <c r="I1016" s="7">
        <v>241437</v>
      </c>
      <c r="J1016" s="7">
        <v>11454</v>
      </c>
      <c r="K1016" s="8">
        <v>4.9803681141649597E-2</v>
      </c>
    </row>
    <row r="1017" spans="1:11" x14ac:dyDescent="0.3">
      <c r="A1017" s="5" t="s">
        <v>46</v>
      </c>
      <c r="B1017" s="6">
        <v>40263</v>
      </c>
      <c r="C1017" s="5">
        <v>13</v>
      </c>
      <c r="D1017" s="5">
        <v>3</v>
      </c>
      <c r="E1017" s="5">
        <v>2010</v>
      </c>
      <c r="F1017" s="5" t="s">
        <v>20</v>
      </c>
      <c r="G1017" s="5" t="s">
        <v>5</v>
      </c>
      <c r="H1017" s="7">
        <v>63943</v>
      </c>
      <c r="I1017" s="7">
        <v>70719</v>
      </c>
      <c r="J1017" s="7">
        <v>6776</v>
      </c>
      <c r="K1017" s="8">
        <v>0.10596937897815242</v>
      </c>
    </row>
    <row r="1018" spans="1:11" x14ac:dyDescent="0.3">
      <c r="A1018" s="5" t="s">
        <v>46</v>
      </c>
      <c r="B1018" s="6">
        <v>40263</v>
      </c>
      <c r="C1018" s="5">
        <v>13</v>
      </c>
      <c r="D1018" s="5">
        <v>3</v>
      </c>
      <c r="E1018" s="5">
        <v>2010</v>
      </c>
      <c r="F1018" s="5" t="s">
        <v>21</v>
      </c>
      <c r="G1018" s="5" t="s">
        <v>5</v>
      </c>
      <c r="H1018" s="7">
        <v>75822</v>
      </c>
      <c r="I1018" s="7">
        <v>80807</v>
      </c>
      <c r="J1018" s="7">
        <v>4985</v>
      </c>
      <c r="K1018" s="8">
        <v>6.5746089525467538E-2</v>
      </c>
    </row>
    <row r="1019" spans="1:11" x14ac:dyDescent="0.3">
      <c r="A1019" s="5" t="s">
        <v>46</v>
      </c>
      <c r="B1019" s="6">
        <v>40263</v>
      </c>
      <c r="C1019" s="5">
        <v>13</v>
      </c>
      <c r="D1019" s="5">
        <v>3</v>
      </c>
      <c r="E1019" s="5">
        <v>2010</v>
      </c>
      <c r="F1019" s="5" t="s">
        <v>22</v>
      </c>
      <c r="G1019" s="5" t="s">
        <v>8</v>
      </c>
      <c r="H1019" s="7">
        <v>200759</v>
      </c>
      <c r="I1019" s="7">
        <v>221354</v>
      </c>
      <c r="J1019" s="7">
        <v>20595</v>
      </c>
      <c r="K1019" s="8">
        <v>0.10258568731663338</v>
      </c>
    </row>
    <row r="1020" spans="1:11" x14ac:dyDescent="0.3">
      <c r="A1020" s="5" t="s">
        <v>46</v>
      </c>
      <c r="B1020" s="6">
        <v>40263</v>
      </c>
      <c r="C1020" s="5">
        <v>13</v>
      </c>
      <c r="D1020" s="5">
        <v>3</v>
      </c>
      <c r="E1020" s="5">
        <v>2010</v>
      </c>
      <c r="F1020" s="5" t="s">
        <v>23</v>
      </c>
      <c r="G1020" s="5" t="s">
        <v>8</v>
      </c>
      <c r="H1020" s="7">
        <v>70075</v>
      </c>
      <c r="I1020" s="7">
        <v>74991</v>
      </c>
      <c r="J1020" s="7">
        <v>4916</v>
      </c>
      <c r="K1020" s="8">
        <v>7.0153407063860154E-2</v>
      </c>
    </row>
    <row r="1021" spans="1:11" x14ac:dyDescent="0.3">
      <c r="A1021" s="5" t="s">
        <v>46</v>
      </c>
      <c r="B1021" s="6">
        <v>40263</v>
      </c>
      <c r="C1021" s="5">
        <v>13</v>
      </c>
      <c r="D1021" s="5">
        <v>3</v>
      </c>
      <c r="E1021" s="5">
        <v>2010</v>
      </c>
      <c r="F1021" s="5" t="s">
        <v>24</v>
      </c>
      <c r="G1021" s="5" t="s">
        <v>8</v>
      </c>
      <c r="H1021" s="7">
        <v>66892</v>
      </c>
      <c r="I1021" s="7">
        <v>73213</v>
      </c>
      <c r="J1021" s="7">
        <v>6321</v>
      </c>
      <c r="K1021" s="8">
        <v>9.4495604855588111E-2</v>
      </c>
    </row>
    <row r="1022" spans="1:11" x14ac:dyDescent="0.3">
      <c r="A1022" s="5" t="s">
        <v>46</v>
      </c>
      <c r="B1022" s="6">
        <v>40263</v>
      </c>
      <c r="C1022" s="5">
        <v>13</v>
      </c>
      <c r="D1022" s="5">
        <v>3</v>
      </c>
      <c r="E1022" s="5">
        <v>2010</v>
      </c>
      <c r="F1022" s="5" t="s">
        <v>25</v>
      </c>
      <c r="G1022" s="5" t="s">
        <v>8</v>
      </c>
      <c r="H1022" s="7">
        <v>5336</v>
      </c>
      <c r="I1022" s="7">
        <v>5583</v>
      </c>
      <c r="J1022" s="7">
        <v>247</v>
      </c>
      <c r="K1022" s="8">
        <v>4.6289355322338833E-2</v>
      </c>
    </row>
    <row r="1023" spans="1:11" x14ac:dyDescent="0.3">
      <c r="A1023" s="5" t="s">
        <v>46</v>
      </c>
      <c r="B1023" s="6">
        <v>40263</v>
      </c>
      <c r="C1023" s="5">
        <v>13</v>
      </c>
      <c r="D1023" s="5">
        <v>3</v>
      </c>
      <c r="E1023" s="5">
        <v>2010</v>
      </c>
      <c r="F1023" s="5" t="s">
        <v>27</v>
      </c>
      <c r="G1023" s="5" t="s">
        <v>10</v>
      </c>
      <c r="H1023" s="7">
        <v>66957</v>
      </c>
      <c r="I1023" s="7">
        <v>75979</v>
      </c>
      <c r="J1023" s="7">
        <v>9022</v>
      </c>
      <c r="K1023" s="8">
        <v>0.13474319339277446</v>
      </c>
    </row>
    <row r="1024" spans="1:11" x14ac:dyDescent="0.3">
      <c r="A1024" s="5" t="s">
        <v>46</v>
      </c>
      <c r="B1024" s="6">
        <v>40263</v>
      </c>
      <c r="C1024" s="5">
        <v>13</v>
      </c>
      <c r="D1024" s="5">
        <v>3</v>
      </c>
      <c r="E1024" s="5">
        <v>2010</v>
      </c>
      <c r="F1024" s="5" t="s">
        <v>28</v>
      </c>
      <c r="G1024" s="5" t="s">
        <v>10</v>
      </c>
      <c r="H1024" s="7">
        <v>19299</v>
      </c>
      <c r="I1024" s="7">
        <v>23400</v>
      </c>
      <c r="J1024" s="7">
        <v>4101</v>
      </c>
      <c r="K1024" s="8">
        <v>0.21249805689413959</v>
      </c>
    </row>
    <row r="1025" spans="1:11" x14ac:dyDescent="0.3">
      <c r="A1025" s="5" t="s">
        <v>46</v>
      </c>
      <c r="B1025" s="6">
        <v>40263</v>
      </c>
      <c r="C1025" s="5">
        <v>13</v>
      </c>
      <c r="D1025" s="5">
        <v>3</v>
      </c>
      <c r="E1025" s="5">
        <v>2010</v>
      </c>
      <c r="F1025" s="5" t="s">
        <v>29</v>
      </c>
      <c r="G1025" s="5" t="s">
        <v>10</v>
      </c>
      <c r="H1025" s="7">
        <v>178227</v>
      </c>
      <c r="I1025" s="7">
        <v>194762</v>
      </c>
      <c r="J1025" s="7">
        <v>16535</v>
      </c>
      <c r="K1025" s="8">
        <v>9.2774944312590119E-2</v>
      </c>
    </row>
    <row r="1026" spans="1:11" x14ac:dyDescent="0.3">
      <c r="A1026" s="5" t="s">
        <v>46</v>
      </c>
      <c r="B1026" s="6">
        <v>40263</v>
      </c>
      <c r="C1026" s="5">
        <v>13</v>
      </c>
      <c r="D1026" s="5">
        <v>3</v>
      </c>
      <c r="E1026" s="5">
        <v>2010</v>
      </c>
      <c r="F1026" s="5" t="s">
        <v>30</v>
      </c>
      <c r="G1026" s="5" t="s">
        <v>10</v>
      </c>
      <c r="H1026" s="7">
        <v>34665</v>
      </c>
      <c r="I1026" s="7">
        <v>39025</v>
      </c>
      <c r="J1026" s="7">
        <v>4360</v>
      </c>
      <c r="K1026" s="8">
        <v>0.1257752776575797</v>
      </c>
    </row>
    <row r="1027" spans="1:11" x14ac:dyDescent="0.3">
      <c r="A1027" s="5" t="s">
        <v>46</v>
      </c>
      <c r="B1027" s="6">
        <v>40263</v>
      </c>
      <c r="C1027" s="5">
        <v>13</v>
      </c>
      <c r="D1027" s="5">
        <v>3</v>
      </c>
      <c r="E1027" s="5">
        <v>2010</v>
      </c>
      <c r="F1027" s="5" t="s">
        <v>9</v>
      </c>
      <c r="G1027" s="5" t="s">
        <v>9</v>
      </c>
      <c r="H1027" s="7">
        <v>233366</v>
      </c>
      <c r="I1027" s="7">
        <v>283578</v>
      </c>
      <c r="J1027" s="7">
        <v>50212</v>
      </c>
      <c r="K1027" s="8">
        <v>0.21516416273150329</v>
      </c>
    </row>
    <row r="1028" spans="1:11" x14ac:dyDescent="0.3">
      <c r="A1028" s="5" t="s">
        <v>46</v>
      </c>
      <c r="B1028" s="6">
        <v>40263</v>
      </c>
      <c r="C1028" s="5">
        <v>13</v>
      </c>
      <c r="D1028" s="5">
        <v>3</v>
      </c>
      <c r="E1028" s="5">
        <v>2010</v>
      </c>
      <c r="F1028" s="5" t="s">
        <v>31</v>
      </c>
      <c r="G1028" s="5" t="s">
        <v>7</v>
      </c>
      <c r="H1028" s="7">
        <v>36447</v>
      </c>
      <c r="I1028" s="7">
        <v>47643</v>
      </c>
      <c r="J1028" s="7">
        <v>11196</v>
      </c>
      <c r="K1028" s="8">
        <v>0.30718577660712815</v>
      </c>
    </row>
    <row r="1029" spans="1:11" x14ac:dyDescent="0.3">
      <c r="A1029" s="5" t="s">
        <v>46</v>
      </c>
      <c r="B1029" s="6">
        <v>40263</v>
      </c>
      <c r="C1029" s="5">
        <v>13</v>
      </c>
      <c r="D1029" s="5">
        <v>3</v>
      </c>
      <c r="E1029" s="5">
        <v>2010</v>
      </c>
      <c r="F1029" s="5" t="s">
        <v>33</v>
      </c>
      <c r="G1029" s="5" t="s">
        <v>7</v>
      </c>
      <c r="H1029" s="7">
        <v>33467</v>
      </c>
      <c r="I1029" s="7">
        <v>63374</v>
      </c>
      <c r="J1029" s="7">
        <v>29907</v>
      </c>
      <c r="K1029" s="8">
        <v>0.89362655750440734</v>
      </c>
    </row>
    <row r="1030" spans="1:11" x14ac:dyDescent="0.3">
      <c r="A1030" s="5" t="s">
        <v>46</v>
      </c>
      <c r="B1030" s="6">
        <v>40263</v>
      </c>
      <c r="C1030" s="5">
        <v>13</v>
      </c>
      <c r="D1030" s="5">
        <v>3</v>
      </c>
      <c r="E1030" s="5">
        <v>2010</v>
      </c>
      <c r="F1030" s="5" t="s">
        <v>34</v>
      </c>
      <c r="G1030" s="5" t="s">
        <v>7</v>
      </c>
      <c r="H1030" s="7">
        <v>1947</v>
      </c>
      <c r="I1030" s="7">
        <v>2164</v>
      </c>
      <c r="J1030" s="7">
        <v>217</v>
      </c>
      <c r="K1030" s="8">
        <v>0.11145351823317926</v>
      </c>
    </row>
    <row r="1031" spans="1:11" x14ac:dyDescent="0.3">
      <c r="A1031" s="5" t="s">
        <v>46</v>
      </c>
      <c r="B1031" s="6">
        <v>40263</v>
      </c>
      <c r="C1031" s="5">
        <v>13</v>
      </c>
      <c r="D1031" s="5">
        <v>3</v>
      </c>
      <c r="E1031" s="5">
        <v>2010</v>
      </c>
      <c r="F1031" s="5" t="s">
        <v>35</v>
      </c>
      <c r="G1031" s="5" t="s">
        <v>11</v>
      </c>
      <c r="H1031" s="7">
        <v>2895</v>
      </c>
      <c r="I1031" s="7">
        <v>3458</v>
      </c>
      <c r="J1031" s="7">
        <v>563</v>
      </c>
      <c r="K1031" s="8">
        <v>0.19447322970639033</v>
      </c>
    </row>
    <row r="1032" spans="1:11" x14ac:dyDescent="0.3">
      <c r="A1032" s="5" t="s">
        <v>46</v>
      </c>
      <c r="B1032" s="6">
        <v>40263</v>
      </c>
      <c r="C1032" s="5">
        <v>13</v>
      </c>
      <c r="D1032" s="5">
        <v>3</v>
      </c>
      <c r="E1032" s="5">
        <v>2010</v>
      </c>
      <c r="F1032" s="5" t="s">
        <v>36</v>
      </c>
      <c r="G1032" s="5" t="s">
        <v>11</v>
      </c>
      <c r="H1032" s="7">
        <v>68202</v>
      </c>
      <c r="I1032" s="7">
        <v>72870</v>
      </c>
      <c r="J1032" s="7">
        <v>4668</v>
      </c>
      <c r="K1032" s="8">
        <v>6.8443740652766774E-2</v>
      </c>
    </row>
    <row r="1033" spans="1:11" x14ac:dyDescent="0.3">
      <c r="A1033" s="5" t="s">
        <v>46</v>
      </c>
      <c r="B1033" s="6">
        <v>40263</v>
      </c>
      <c r="C1033" s="5">
        <v>13</v>
      </c>
      <c r="D1033" s="5">
        <v>3</v>
      </c>
      <c r="E1033" s="5">
        <v>2010</v>
      </c>
      <c r="F1033" s="5" t="s">
        <v>37</v>
      </c>
      <c r="G1033" s="5" t="s">
        <v>11</v>
      </c>
      <c r="H1033" s="7">
        <v>127659</v>
      </c>
      <c r="I1033" s="7">
        <v>135295</v>
      </c>
      <c r="J1033" s="7">
        <v>7636</v>
      </c>
      <c r="K1033" s="8">
        <v>5.9815602503544597E-2</v>
      </c>
    </row>
    <row r="1034" spans="1:11" x14ac:dyDescent="0.3">
      <c r="A1034" s="5" t="s">
        <v>46</v>
      </c>
      <c r="B1034" s="6">
        <v>40263</v>
      </c>
      <c r="C1034" s="5">
        <v>13</v>
      </c>
      <c r="D1034" s="5">
        <v>3</v>
      </c>
      <c r="E1034" s="5">
        <v>2010</v>
      </c>
      <c r="F1034" s="5" t="s">
        <v>38</v>
      </c>
      <c r="G1034" s="5" t="s">
        <v>11</v>
      </c>
      <c r="H1034" s="7">
        <v>135112</v>
      </c>
      <c r="I1034" s="7">
        <v>141271</v>
      </c>
      <c r="J1034" s="7">
        <v>6159</v>
      </c>
      <c r="K1034" s="8">
        <v>4.5584404049973354E-2</v>
      </c>
    </row>
    <row r="1035" spans="1:11" x14ac:dyDescent="0.3">
      <c r="A1035" s="5" t="s">
        <v>46</v>
      </c>
      <c r="B1035" s="6">
        <v>40264</v>
      </c>
      <c r="C1035" s="5">
        <v>13</v>
      </c>
      <c r="D1035" s="5">
        <v>3</v>
      </c>
      <c r="E1035" s="5">
        <v>2010</v>
      </c>
      <c r="F1035" s="5" t="s">
        <v>14</v>
      </c>
      <c r="G1035" s="5" t="s">
        <v>6</v>
      </c>
      <c r="H1035" s="7">
        <v>6666</v>
      </c>
      <c r="I1035" s="7">
        <v>7773.9</v>
      </c>
      <c r="J1035" s="7">
        <v>1107.8999999999996</v>
      </c>
      <c r="K1035" s="8">
        <v>0.16620162016201614</v>
      </c>
    </row>
    <row r="1036" spans="1:11" x14ac:dyDescent="0.3">
      <c r="A1036" s="5" t="s">
        <v>46</v>
      </c>
      <c r="B1036" s="6">
        <v>40264</v>
      </c>
      <c r="C1036" s="5">
        <v>13</v>
      </c>
      <c r="D1036" s="5">
        <v>3</v>
      </c>
      <c r="E1036" s="5">
        <v>2010</v>
      </c>
      <c r="F1036" s="5" t="s">
        <v>15</v>
      </c>
      <c r="G1036" s="5" t="s">
        <v>6</v>
      </c>
      <c r="H1036" s="7">
        <v>109035.1</v>
      </c>
      <c r="I1036" s="7">
        <v>135020.79999999999</v>
      </c>
      <c r="J1036" s="7">
        <v>25985.699999999983</v>
      </c>
      <c r="K1036" s="8">
        <v>0.23832417267467065</v>
      </c>
    </row>
    <row r="1037" spans="1:11" x14ac:dyDescent="0.3">
      <c r="A1037" s="5" t="s">
        <v>46</v>
      </c>
      <c r="B1037" s="6">
        <v>40264</v>
      </c>
      <c r="C1037" s="5">
        <v>13</v>
      </c>
      <c r="D1037" s="5">
        <v>3</v>
      </c>
      <c r="E1037" s="5">
        <v>2010</v>
      </c>
      <c r="F1037" s="5" t="s">
        <v>16</v>
      </c>
      <c r="G1037" s="5" t="s">
        <v>6</v>
      </c>
      <c r="H1037" s="7">
        <v>61553.3</v>
      </c>
      <c r="I1037" s="7">
        <v>69497.3</v>
      </c>
      <c r="J1037" s="7">
        <v>7944</v>
      </c>
      <c r="K1037" s="8">
        <v>0.12905888067739665</v>
      </c>
    </row>
    <row r="1038" spans="1:11" x14ac:dyDescent="0.3">
      <c r="A1038" s="5" t="s">
        <v>46</v>
      </c>
      <c r="B1038" s="6">
        <v>40264</v>
      </c>
      <c r="C1038" s="5">
        <v>13</v>
      </c>
      <c r="D1038" s="5">
        <v>3</v>
      </c>
      <c r="E1038" s="5">
        <v>2010</v>
      </c>
      <c r="F1038" s="5" t="s">
        <v>17</v>
      </c>
      <c r="G1038" s="5" t="s">
        <v>6</v>
      </c>
      <c r="H1038" s="7">
        <v>574</v>
      </c>
      <c r="I1038" s="7">
        <v>660</v>
      </c>
      <c r="J1038" s="7">
        <v>86</v>
      </c>
      <c r="K1038" s="8">
        <v>0.14982578397212543</v>
      </c>
    </row>
    <row r="1039" spans="1:11" x14ac:dyDescent="0.3">
      <c r="A1039" s="5" t="s">
        <v>46</v>
      </c>
      <c r="B1039" s="6">
        <v>40264</v>
      </c>
      <c r="C1039" s="5">
        <v>13</v>
      </c>
      <c r="D1039" s="5">
        <v>3</v>
      </c>
      <c r="E1039" s="5">
        <v>2010</v>
      </c>
      <c r="F1039" s="5" t="s">
        <v>18</v>
      </c>
      <c r="G1039" s="5" t="s">
        <v>6</v>
      </c>
      <c r="H1039" s="7">
        <v>2344</v>
      </c>
      <c r="I1039" s="7">
        <v>2694.9</v>
      </c>
      <c r="J1039" s="7">
        <v>350.90000000000009</v>
      </c>
      <c r="K1039" s="8">
        <v>0.14970136518771335</v>
      </c>
    </row>
    <row r="1040" spans="1:11" x14ac:dyDescent="0.3">
      <c r="A1040" s="5" t="s">
        <v>46</v>
      </c>
      <c r="B1040" s="6">
        <v>40264</v>
      </c>
      <c r="C1040" s="5">
        <v>13</v>
      </c>
      <c r="D1040" s="5">
        <v>3</v>
      </c>
      <c r="E1040" s="5">
        <v>2010</v>
      </c>
      <c r="F1040" s="5" t="s">
        <v>19</v>
      </c>
      <c r="G1040" s="5" t="s">
        <v>5</v>
      </c>
      <c r="H1040" s="7">
        <v>103538</v>
      </c>
      <c r="I1040" s="7">
        <v>114175.1</v>
      </c>
      <c r="J1040" s="7">
        <v>10637.100000000006</v>
      </c>
      <c r="K1040" s="8">
        <v>0.10273619347485953</v>
      </c>
    </row>
    <row r="1041" spans="1:11" x14ac:dyDescent="0.3">
      <c r="A1041" s="5" t="s">
        <v>46</v>
      </c>
      <c r="B1041" s="6">
        <v>40264</v>
      </c>
      <c r="C1041" s="5">
        <v>13</v>
      </c>
      <c r="D1041" s="5">
        <v>3</v>
      </c>
      <c r="E1041" s="5">
        <v>2010</v>
      </c>
      <c r="F1041" s="5" t="s">
        <v>5</v>
      </c>
      <c r="G1041" s="5" t="s">
        <v>5</v>
      </c>
      <c r="H1041" s="7">
        <v>370503.6</v>
      </c>
      <c r="I1041" s="7">
        <v>386647</v>
      </c>
      <c r="J1041" s="7">
        <v>16143.400000000023</v>
      </c>
      <c r="K1041" s="8">
        <v>4.3571506457697105E-2</v>
      </c>
    </row>
    <row r="1042" spans="1:11" x14ac:dyDescent="0.3">
      <c r="A1042" s="5" t="s">
        <v>46</v>
      </c>
      <c r="B1042" s="6">
        <v>40264</v>
      </c>
      <c r="C1042" s="5">
        <v>13</v>
      </c>
      <c r="D1042" s="5">
        <v>3</v>
      </c>
      <c r="E1042" s="5">
        <v>2010</v>
      </c>
      <c r="F1042" s="5" t="s">
        <v>20</v>
      </c>
      <c r="G1042" s="5" t="s">
        <v>5</v>
      </c>
      <c r="H1042" s="7">
        <v>99057.4</v>
      </c>
      <c r="I1042" s="7">
        <v>109537.3</v>
      </c>
      <c r="J1042" s="7">
        <v>10479.900000000009</v>
      </c>
      <c r="K1042" s="8">
        <v>0.10579623531407052</v>
      </c>
    </row>
    <row r="1043" spans="1:11" x14ac:dyDescent="0.3">
      <c r="A1043" s="5" t="s">
        <v>46</v>
      </c>
      <c r="B1043" s="6">
        <v>40264</v>
      </c>
      <c r="C1043" s="5">
        <v>13</v>
      </c>
      <c r="D1043" s="5">
        <v>3</v>
      </c>
      <c r="E1043" s="5">
        <v>2010</v>
      </c>
      <c r="F1043" s="5" t="s">
        <v>21</v>
      </c>
      <c r="G1043" s="5" t="s">
        <v>5</v>
      </c>
      <c r="H1043" s="7">
        <v>112911</v>
      </c>
      <c r="I1043" s="7">
        <v>119583.5</v>
      </c>
      <c r="J1043" s="7">
        <v>6672.5</v>
      </c>
      <c r="K1043" s="8">
        <v>5.9095216586515044E-2</v>
      </c>
    </row>
    <row r="1044" spans="1:11" x14ac:dyDescent="0.3">
      <c r="A1044" s="5" t="s">
        <v>46</v>
      </c>
      <c r="B1044" s="6">
        <v>40264</v>
      </c>
      <c r="C1044" s="5">
        <v>13</v>
      </c>
      <c r="D1044" s="5">
        <v>3</v>
      </c>
      <c r="E1044" s="5">
        <v>2010</v>
      </c>
      <c r="F1044" s="5" t="s">
        <v>22</v>
      </c>
      <c r="G1044" s="5" t="s">
        <v>8</v>
      </c>
      <c r="H1044" s="7">
        <v>202469.5</v>
      </c>
      <c r="I1044" s="7">
        <v>221547.1</v>
      </c>
      <c r="J1044" s="7">
        <v>19077.600000000006</v>
      </c>
      <c r="K1044" s="8">
        <v>9.4224562218013105E-2</v>
      </c>
    </row>
    <row r="1045" spans="1:11" x14ac:dyDescent="0.3">
      <c r="A1045" s="5" t="s">
        <v>46</v>
      </c>
      <c r="B1045" s="6">
        <v>40264</v>
      </c>
      <c r="C1045" s="5">
        <v>13</v>
      </c>
      <c r="D1045" s="5">
        <v>3</v>
      </c>
      <c r="E1045" s="5">
        <v>2010</v>
      </c>
      <c r="F1045" s="5" t="s">
        <v>23</v>
      </c>
      <c r="G1045" s="5" t="s">
        <v>8</v>
      </c>
      <c r="H1045" s="7">
        <v>94908.5</v>
      </c>
      <c r="I1045" s="7">
        <v>99144.5</v>
      </c>
      <c r="J1045" s="7">
        <v>4236</v>
      </c>
      <c r="K1045" s="8">
        <v>4.4632461792147173E-2</v>
      </c>
    </row>
    <row r="1046" spans="1:11" x14ac:dyDescent="0.3">
      <c r="A1046" s="5" t="s">
        <v>46</v>
      </c>
      <c r="B1046" s="6">
        <v>40264</v>
      </c>
      <c r="C1046" s="5">
        <v>13</v>
      </c>
      <c r="D1046" s="5">
        <v>3</v>
      </c>
      <c r="E1046" s="5">
        <v>2010</v>
      </c>
      <c r="F1046" s="5" t="s">
        <v>24</v>
      </c>
      <c r="G1046" s="5" t="s">
        <v>8</v>
      </c>
      <c r="H1046" s="7">
        <v>85482</v>
      </c>
      <c r="I1046" s="7">
        <v>94174.399999999994</v>
      </c>
      <c r="J1046" s="7">
        <v>8692.3999999999942</v>
      </c>
      <c r="K1046" s="8">
        <v>0.10168690484546447</v>
      </c>
    </row>
    <row r="1047" spans="1:11" x14ac:dyDescent="0.3">
      <c r="A1047" s="5" t="s">
        <v>46</v>
      </c>
      <c r="B1047" s="6">
        <v>40264</v>
      </c>
      <c r="C1047" s="5">
        <v>13</v>
      </c>
      <c r="D1047" s="5">
        <v>3</v>
      </c>
      <c r="E1047" s="5">
        <v>2010</v>
      </c>
      <c r="F1047" s="5" t="s">
        <v>25</v>
      </c>
      <c r="G1047" s="5" t="s">
        <v>8</v>
      </c>
      <c r="H1047" s="7">
        <v>6358</v>
      </c>
      <c r="I1047" s="7">
        <v>6875.8</v>
      </c>
      <c r="J1047" s="7">
        <v>517.80000000000018</v>
      </c>
      <c r="K1047" s="8">
        <v>8.1440704624095653E-2</v>
      </c>
    </row>
    <row r="1048" spans="1:11" x14ac:dyDescent="0.3">
      <c r="A1048" s="5" t="s">
        <v>46</v>
      </c>
      <c r="B1048" s="6">
        <v>40264</v>
      </c>
      <c r="C1048" s="5">
        <v>13</v>
      </c>
      <c r="D1048" s="5">
        <v>3</v>
      </c>
      <c r="E1048" s="5">
        <v>2010</v>
      </c>
      <c r="F1048" s="5" t="s">
        <v>26</v>
      </c>
      <c r="G1048" s="5" t="s">
        <v>10</v>
      </c>
      <c r="H1048" s="7">
        <v>265</v>
      </c>
      <c r="I1048" s="7">
        <v>319</v>
      </c>
      <c r="J1048" s="7">
        <v>54</v>
      </c>
      <c r="K1048" s="8">
        <v>0.20377358490566039</v>
      </c>
    </row>
    <row r="1049" spans="1:11" x14ac:dyDescent="0.3">
      <c r="A1049" s="5" t="s">
        <v>46</v>
      </c>
      <c r="B1049" s="6">
        <v>40264</v>
      </c>
      <c r="C1049" s="5">
        <v>13</v>
      </c>
      <c r="D1049" s="5">
        <v>3</v>
      </c>
      <c r="E1049" s="5">
        <v>2010</v>
      </c>
      <c r="F1049" s="5" t="s">
        <v>27</v>
      </c>
      <c r="G1049" s="5" t="s">
        <v>10</v>
      </c>
      <c r="H1049" s="7">
        <v>76161</v>
      </c>
      <c r="I1049" s="7">
        <v>86176.5</v>
      </c>
      <c r="J1049" s="7">
        <v>10015.5</v>
      </c>
      <c r="K1049" s="8">
        <v>0.13150431323118131</v>
      </c>
    </row>
    <row r="1050" spans="1:11" x14ac:dyDescent="0.3">
      <c r="A1050" s="5" t="s">
        <v>46</v>
      </c>
      <c r="B1050" s="6">
        <v>40264</v>
      </c>
      <c r="C1050" s="5">
        <v>13</v>
      </c>
      <c r="D1050" s="5">
        <v>3</v>
      </c>
      <c r="E1050" s="5">
        <v>2010</v>
      </c>
      <c r="F1050" s="5" t="s">
        <v>28</v>
      </c>
      <c r="G1050" s="5" t="s">
        <v>10</v>
      </c>
      <c r="H1050" s="7">
        <v>31033.5</v>
      </c>
      <c r="I1050" s="7">
        <v>37719.5</v>
      </c>
      <c r="J1050" s="7">
        <v>6686</v>
      </c>
      <c r="K1050" s="8">
        <v>0.21544460019011713</v>
      </c>
    </row>
    <row r="1051" spans="1:11" x14ac:dyDescent="0.3">
      <c r="A1051" s="5" t="s">
        <v>46</v>
      </c>
      <c r="B1051" s="6">
        <v>40264</v>
      </c>
      <c r="C1051" s="5">
        <v>13</v>
      </c>
      <c r="D1051" s="5">
        <v>3</v>
      </c>
      <c r="E1051" s="5">
        <v>2010</v>
      </c>
      <c r="F1051" s="5" t="s">
        <v>29</v>
      </c>
      <c r="G1051" s="5" t="s">
        <v>10</v>
      </c>
      <c r="H1051" s="7">
        <v>276722.59999999998</v>
      </c>
      <c r="I1051" s="7">
        <v>300760.5</v>
      </c>
      <c r="J1051" s="7">
        <v>24037.900000000023</v>
      </c>
      <c r="K1051" s="8">
        <v>8.6866414235772668E-2</v>
      </c>
    </row>
    <row r="1052" spans="1:11" x14ac:dyDescent="0.3">
      <c r="A1052" s="5" t="s">
        <v>46</v>
      </c>
      <c r="B1052" s="6">
        <v>40264</v>
      </c>
      <c r="C1052" s="5">
        <v>13</v>
      </c>
      <c r="D1052" s="5">
        <v>3</v>
      </c>
      <c r="E1052" s="5">
        <v>2010</v>
      </c>
      <c r="F1052" s="5" t="s">
        <v>30</v>
      </c>
      <c r="G1052" s="5" t="s">
        <v>10</v>
      </c>
      <c r="H1052" s="7">
        <v>51493</v>
      </c>
      <c r="I1052" s="7">
        <v>57726.9</v>
      </c>
      <c r="J1052" s="7">
        <v>6233.9000000000015</v>
      </c>
      <c r="K1052" s="8">
        <v>0.12106305711455929</v>
      </c>
    </row>
    <row r="1053" spans="1:11" x14ac:dyDescent="0.3">
      <c r="A1053" s="5" t="s">
        <v>46</v>
      </c>
      <c r="B1053" s="6">
        <v>40264</v>
      </c>
      <c r="C1053" s="5">
        <v>13</v>
      </c>
      <c r="D1053" s="5">
        <v>3</v>
      </c>
      <c r="E1053" s="5">
        <v>2010</v>
      </c>
      <c r="F1053" s="5" t="s">
        <v>9</v>
      </c>
      <c r="G1053" s="5" t="s">
        <v>9</v>
      </c>
      <c r="H1053" s="7">
        <v>379925</v>
      </c>
      <c r="I1053" s="7">
        <v>441164.1</v>
      </c>
      <c r="J1053" s="7">
        <v>61239.099999999977</v>
      </c>
      <c r="K1053" s="8">
        <v>0.16118733960650122</v>
      </c>
    </row>
    <row r="1054" spans="1:11" x14ac:dyDescent="0.3">
      <c r="A1054" s="5" t="s">
        <v>46</v>
      </c>
      <c r="B1054" s="6">
        <v>40264</v>
      </c>
      <c r="C1054" s="5">
        <v>13</v>
      </c>
      <c r="D1054" s="5">
        <v>3</v>
      </c>
      <c r="E1054" s="5">
        <v>2010</v>
      </c>
      <c r="F1054" s="5" t="s">
        <v>31</v>
      </c>
      <c r="G1054" s="5" t="s">
        <v>7</v>
      </c>
      <c r="H1054" s="7">
        <v>39748.5</v>
      </c>
      <c r="I1054" s="7">
        <v>48743.4</v>
      </c>
      <c r="J1054" s="7">
        <v>8994.9000000000015</v>
      </c>
      <c r="K1054" s="8">
        <v>0.226295331899317</v>
      </c>
    </row>
    <row r="1055" spans="1:11" x14ac:dyDescent="0.3">
      <c r="A1055" s="5" t="s">
        <v>46</v>
      </c>
      <c r="B1055" s="6">
        <v>40264</v>
      </c>
      <c r="C1055" s="5">
        <v>13</v>
      </c>
      <c r="D1055" s="5">
        <v>3</v>
      </c>
      <c r="E1055" s="5">
        <v>2010</v>
      </c>
      <c r="F1055" s="5" t="s">
        <v>33</v>
      </c>
      <c r="G1055" s="5" t="s">
        <v>7</v>
      </c>
      <c r="H1055" s="7">
        <v>41911.4</v>
      </c>
      <c r="I1055" s="7">
        <v>81071.199999999997</v>
      </c>
      <c r="J1055" s="7">
        <v>39159.799999999996</v>
      </c>
      <c r="K1055" s="8">
        <v>0.93434721817930189</v>
      </c>
    </row>
    <row r="1056" spans="1:11" x14ac:dyDescent="0.3">
      <c r="A1056" s="5" t="s">
        <v>46</v>
      </c>
      <c r="B1056" s="6">
        <v>40264</v>
      </c>
      <c r="C1056" s="5">
        <v>13</v>
      </c>
      <c r="D1056" s="5">
        <v>3</v>
      </c>
      <c r="E1056" s="5">
        <v>2010</v>
      </c>
      <c r="F1056" s="5" t="s">
        <v>34</v>
      </c>
      <c r="G1056" s="5" t="s">
        <v>7</v>
      </c>
      <c r="H1056" s="7">
        <v>1336.4</v>
      </c>
      <c r="I1056" s="7">
        <v>1484.5</v>
      </c>
      <c r="J1056" s="7">
        <v>148.09999999999991</v>
      </c>
      <c r="K1056" s="8">
        <v>0.1108201137384016</v>
      </c>
    </row>
    <row r="1057" spans="1:11" x14ac:dyDescent="0.3">
      <c r="A1057" s="5" t="s">
        <v>46</v>
      </c>
      <c r="B1057" s="6">
        <v>40264</v>
      </c>
      <c r="C1057" s="5">
        <v>13</v>
      </c>
      <c r="D1057" s="5">
        <v>3</v>
      </c>
      <c r="E1057" s="5">
        <v>2010</v>
      </c>
      <c r="F1057" s="5" t="s">
        <v>35</v>
      </c>
      <c r="G1057" s="5" t="s">
        <v>11</v>
      </c>
      <c r="H1057" s="7">
        <v>3702.2</v>
      </c>
      <c r="I1057" s="7">
        <v>4652</v>
      </c>
      <c r="J1057" s="7">
        <v>949.80000000000018</v>
      </c>
      <c r="K1057" s="8">
        <v>0.25655015936470216</v>
      </c>
    </row>
    <row r="1058" spans="1:11" x14ac:dyDescent="0.3">
      <c r="A1058" s="5" t="s">
        <v>46</v>
      </c>
      <c r="B1058" s="6">
        <v>40264</v>
      </c>
      <c r="C1058" s="5">
        <v>13</v>
      </c>
      <c r="D1058" s="5">
        <v>3</v>
      </c>
      <c r="E1058" s="5">
        <v>2010</v>
      </c>
      <c r="F1058" s="5" t="s">
        <v>36</v>
      </c>
      <c r="G1058" s="5" t="s">
        <v>11</v>
      </c>
      <c r="H1058" s="7">
        <v>84170.2</v>
      </c>
      <c r="I1058" s="7">
        <v>92003</v>
      </c>
      <c r="J1058" s="7">
        <v>7832.8000000000029</v>
      </c>
      <c r="K1058" s="8">
        <v>9.3059063659109792E-2</v>
      </c>
    </row>
    <row r="1059" spans="1:11" x14ac:dyDescent="0.3">
      <c r="A1059" s="5" t="s">
        <v>46</v>
      </c>
      <c r="B1059" s="6">
        <v>40264</v>
      </c>
      <c r="C1059" s="5">
        <v>13</v>
      </c>
      <c r="D1059" s="5">
        <v>3</v>
      </c>
      <c r="E1059" s="5">
        <v>2010</v>
      </c>
      <c r="F1059" s="5" t="s">
        <v>37</v>
      </c>
      <c r="G1059" s="5" t="s">
        <v>11</v>
      </c>
      <c r="H1059" s="7">
        <v>170132.7</v>
      </c>
      <c r="I1059" s="7">
        <v>181834.9</v>
      </c>
      <c r="J1059" s="7">
        <v>11702.199999999983</v>
      </c>
      <c r="K1059" s="8">
        <v>6.8782779559720036E-2</v>
      </c>
    </row>
    <row r="1060" spans="1:11" x14ac:dyDescent="0.3">
      <c r="A1060" s="5" t="s">
        <v>46</v>
      </c>
      <c r="B1060" s="6">
        <v>40264</v>
      </c>
      <c r="C1060" s="5">
        <v>13</v>
      </c>
      <c r="D1060" s="5">
        <v>3</v>
      </c>
      <c r="E1060" s="5">
        <v>2010</v>
      </c>
      <c r="F1060" s="5" t="s">
        <v>38</v>
      </c>
      <c r="G1060" s="5" t="s">
        <v>11</v>
      </c>
      <c r="H1060" s="7">
        <v>222885.9</v>
      </c>
      <c r="I1060" s="7">
        <v>234716.4</v>
      </c>
      <c r="J1060" s="7">
        <v>11830.5</v>
      </c>
      <c r="K1060" s="8">
        <v>5.3078727725710782E-2</v>
      </c>
    </row>
    <row r="1061" spans="1:11" x14ac:dyDescent="0.3">
      <c r="A1061" s="5" t="s">
        <v>46</v>
      </c>
      <c r="B1061" s="6">
        <v>40265</v>
      </c>
      <c r="C1061" s="5">
        <v>14</v>
      </c>
      <c r="D1061" s="5">
        <v>3</v>
      </c>
      <c r="E1061" s="5">
        <v>2010</v>
      </c>
      <c r="F1061" s="5" t="s">
        <v>14</v>
      </c>
      <c r="G1061" s="5" t="s">
        <v>6</v>
      </c>
      <c r="H1061" s="7">
        <v>5929.96</v>
      </c>
      <c r="I1061" s="7">
        <v>7041.91</v>
      </c>
      <c r="J1061" s="7">
        <v>1111.9499999999998</v>
      </c>
      <c r="K1061" s="8">
        <v>0.18751391240413084</v>
      </c>
    </row>
    <row r="1062" spans="1:11" x14ac:dyDescent="0.3">
      <c r="A1062" s="5" t="s">
        <v>46</v>
      </c>
      <c r="B1062" s="6">
        <v>40265</v>
      </c>
      <c r="C1062" s="5">
        <v>14</v>
      </c>
      <c r="D1062" s="5">
        <v>3</v>
      </c>
      <c r="E1062" s="5">
        <v>2010</v>
      </c>
      <c r="F1062" s="5" t="s">
        <v>15</v>
      </c>
      <c r="G1062" s="5" t="s">
        <v>6</v>
      </c>
      <c r="H1062" s="7">
        <v>93037.16</v>
      </c>
      <c r="I1062" s="7">
        <v>113047.56</v>
      </c>
      <c r="J1062" s="7">
        <v>20010.399999999994</v>
      </c>
      <c r="K1062" s="8">
        <v>0.21507965204440885</v>
      </c>
    </row>
    <row r="1063" spans="1:11" x14ac:dyDescent="0.3">
      <c r="A1063" s="5" t="s">
        <v>46</v>
      </c>
      <c r="B1063" s="6">
        <v>40265</v>
      </c>
      <c r="C1063" s="5">
        <v>14</v>
      </c>
      <c r="D1063" s="5">
        <v>3</v>
      </c>
      <c r="E1063" s="5">
        <v>2010</v>
      </c>
      <c r="F1063" s="5" t="s">
        <v>16</v>
      </c>
      <c r="G1063" s="5" t="s">
        <v>6</v>
      </c>
      <c r="H1063" s="7">
        <v>56312.49</v>
      </c>
      <c r="I1063" s="7">
        <v>63216.45</v>
      </c>
      <c r="J1063" s="7">
        <v>6903.9599999999991</v>
      </c>
      <c r="K1063" s="8">
        <v>0.122600865278733</v>
      </c>
    </row>
    <row r="1064" spans="1:11" x14ac:dyDescent="0.3">
      <c r="A1064" s="5" t="s">
        <v>46</v>
      </c>
      <c r="B1064" s="6">
        <v>40265</v>
      </c>
      <c r="C1064" s="5">
        <v>14</v>
      </c>
      <c r="D1064" s="5">
        <v>3</v>
      </c>
      <c r="E1064" s="5">
        <v>2010</v>
      </c>
      <c r="F1064" s="5" t="s">
        <v>17</v>
      </c>
      <c r="G1064" s="5" t="s">
        <v>6</v>
      </c>
      <c r="H1064" s="7">
        <v>2018</v>
      </c>
      <c r="I1064" s="7">
        <v>2138.7399999999998</v>
      </c>
      <c r="J1064" s="7">
        <v>120.73999999999978</v>
      </c>
      <c r="K1064" s="8">
        <v>5.9831516352824472E-2</v>
      </c>
    </row>
    <row r="1065" spans="1:11" x14ac:dyDescent="0.3">
      <c r="A1065" s="5" t="s">
        <v>46</v>
      </c>
      <c r="B1065" s="6">
        <v>40265</v>
      </c>
      <c r="C1065" s="5">
        <v>14</v>
      </c>
      <c r="D1065" s="5">
        <v>3</v>
      </c>
      <c r="E1065" s="5">
        <v>2010</v>
      </c>
      <c r="F1065" s="5" t="s">
        <v>18</v>
      </c>
      <c r="G1065" s="5" t="s">
        <v>6</v>
      </c>
      <c r="H1065" s="7">
        <v>7242.71</v>
      </c>
      <c r="I1065" s="7">
        <v>8277.4500000000007</v>
      </c>
      <c r="J1065" s="7">
        <v>1034.7400000000007</v>
      </c>
      <c r="K1065" s="8">
        <v>0.14286641326243915</v>
      </c>
    </row>
    <row r="1066" spans="1:11" x14ac:dyDescent="0.3">
      <c r="A1066" s="5" t="s">
        <v>46</v>
      </c>
      <c r="B1066" s="6">
        <v>40265</v>
      </c>
      <c r="C1066" s="5">
        <v>14</v>
      </c>
      <c r="D1066" s="5">
        <v>3</v>
      </c>
      <c r="E1066" s="5">
        <v>2010</v>
      </c>
      <c r="F1066" s="5" t="s">
        <v>19</v>
      </c>
      <c r="G1066" s="5" t="s">
        <v>5</v>
      </c>
      <c r="H1066" s="7">
        <v>104404.48</v>
      </c>
      <c r="I1066" s="7">
        <v>116038.41</v>
      </c>
      <c r="J1066" s="7">
        <v>11633.930000000008</v>
      </c>
      <c r="K1066" s="8">
        <v>0.11143132938356676</v>
      </c>
    </row>
    <row r="1067" spans="1:11" x14ac:dyDescent="0.3">
      <c r="A1067" s="5" t="s">
        <v>46</v>
      </c>
      <c r="B1067" s="6">
        <v>40265</v>
      </c>
      <c r="C1067" s="5">
        <v>14</v>
      </c>
      <c r="D1067" s="5">
        <v>3</v>
      </c>
      <c r="E1067" s="5">
        <v>2010</v>
      </c>
      <c r="F1067" s="5" t="s">
        <v>5</v>
      </c>
      <c r="G1067" s="5" t="s">
        <v>5</v>
      </c>
      <c r="H1067" s="7">
        <v>309134.33</v>
      </c>
      <c r="I1067" s="7">
        <v>326400.02</v>
      </c>
      <c r="J1067" s="7">
        <v>17265.690000000002</v>
      </c>
      <c r="K1067" s="8">
        <v>5.5851739274638317E-2</v>
      </c>
    </row>
    <row r="1068" spans="1:11" x14ac:dyDescent="0.3">
      <c r="A1068" s="5" t="s">
        <v>46</v>
      </c>
      <c r="B1068" s="6">
        <v>40265</v>
      </c>
      <c r="C1068" s="5">
        <v>14</v>
      </c>
      <c r="D1068" s="5">
        <v>3</v>
      </c>
      <c r="E1068" s="5">
        <v>2010</v>
      </c>
      <c r="F1068" s="5" t="s">
        <v>20</v>
      </c>
      <c r="G1068" s="5" t="s">
        <v>5</v>
      </c>
      <c r="H1068" s="7">
        <v>75113.14</v>
      </c>
      <c r="I1068" s="7">
        <v>83050.52</v>
      </c>
      <c r="J1068" s="7">
        <v>7937.3800000000047</v>
      </c>
      <c r="K1068" s="8">
        <v>0.10567232311150891</v>
      </c>
    </row>
    <row r="1069" spans="1:11" x14ac:dyDescent="0.3">
      <c r="A1069" s="5" t="s">
        <v>46</v>
      </c>
      <c r="B1069" s="6">
        <v>40265</v>
      </c>
      <c r="C1069" s="5">
        <v>14</v>
      </c>
      <c r="D1069" s="5">
        <v>3</v>
      </c>
      <c r="E1069" s="5">
        <v>2010</v>
      </c>
      <c r="F1069" s="5" t="s">
        <v>21</v>
      </c>
      <c r="G1069" s="5" t="s">
        <v>5</v>
      </c>
      <c r="H1069" s="7">
        <v>109404.04</v>
      </c>
      <c r="I1069" s="7">
        <v>117220.48</v>
      </c>
      <c r="J1069" s="7">
        <v>7816.4400000000023</v>
      </c>
      <c r="K1069" s="8">
        <v>7.1445624859922938E-2</v>
      </c>
    </row>
    <row r="1070" spans="1:11" x14ac:dyDescent="0.3">
      <c r="A1070" s="5" t="s">
        <v>46</v>
      </c>
      <c r="B1070" s="6">
        <v>40265</v>
      </c>
      <c r="C1070" s="5">
        <v>14</v>
      </c>
      <c r="D1070" s="5">
        <v>3</v>
      </c>
      <c r="E1070" s="5">
        <v>2010</v>
      </c>
      <c r="F1070" s="5" t="s">
        <v>22</v>
      </c>
      <c r="G1070" s="5" t="s">
        <v>8</v>
      </c>
      <c r="H1070" s="7">
        <v>173260.48</v>
      </c>
      <c r="I1070" s="7">
        <v>190007.44</v>
      </c>
      <c r="J1070" s="7">
        <v>16746.959999999992</v>
      </c>
      <c r="K1070" s="8">
        <v>9.6657702899126161E-2</v>
      </c>
    </row>
    <row r="1071" spans="1:11" x14ac:dyDescent="0.3">
      <c r="A1071" s="5" t="s">
        <v>46</v>
      </c>
      <c r="B1071" s="6">
        <v>40265</v>
      </c>
      <c r="C1071" s="5">
        <v>14</v>
      </c>
      <c r="D1071" s="5">
        <v>3</v>
      </c>
      <c r="E1071" s="5">
        <v>2010</v>
      </c>
      <c r="F1071" s="5" t="s">
        <v>23</v>
      </c>
      <c r="G1071" s="5" t="s">
        <v>8</v>
      </c>
      <c r="H1071" s="7">
        <v>58806.79</v>
      </c>
      <c r="I1071" s="7">
        <v>62454.77</v>
      </c>
      <c r="J1071" s="7">
        <v>3647.9799999999959</v>
      </c>
      <c r="K1071" s="8">
        <v>6.2033312819829066E-2</v>
      </c>
    </row>
    <row r="1072" spans="1:11" x14ac:dyDescent="0.3">
      <c r="A1072" s="5" t="s">
        <v>46</v>
      </c>
      <c r="B1072" s="6">
        <v>40265</v>
      </c>
      <c r="C1072" s="5">
        <v>14</v>
      </c>
      <c r="D1072" s="5">
        <v>3</v>
      </c>
      <c r="E1072" s="5">
        <v>2010</v>
      </c>
      <c r="F1072" s="5" t="s">
        <v>24</v>
      </c>
      <c r="G1072" s="5" t="s">
        <v>8</v>
      </c>
      <c r="H1072" s="7">
        <v>66559</v>
      </c>
      <c r="I1072" s="7">
        <v>73051.81</v>
      </c>
      <c r="J1072" s="7">
        <v>6492.8099999999977</v>
      </c>
      <c r="K1072" s="8">
        <v>9.7549692753797351E-2</v>
      </c>
    </row>
    <row r="1073" spans="1:11" x14ac:dyDescent="0.3">
      <c r="A1073" s="5" t="s">
        <v>46</v>
      </c>
      <c r="B1073" s="6">
        <v>40265</v>
      </c>
      <c r="C1073" s="5">
        <v>14</v>
      </c>
      <c r="D1073" s="5">
        <v>3</v>
      </c>
      <c r="E1073" s="5">
        <v>2010</v>
      </c>
      <c r="F1073" s="5" t="s">
        <v>25</v>
      </c>
      <c r="G1073" s="5" t="s">
        <v>8</v>
      </c>
      <c r="H1073" s="7">
        <v>2988</v>
      </c>
      <c r="I1073" s="7">
        <v>3349.18</v>
      </c>
      <c r="J1073" s="7">
        <v>361.17999999999984</v>
      </c>
      <c r="K1073" s="8">
        <v>0.12087684069611775</v>
      </c>
    </row>
    <row r="1074" spans="1:11" x14ac:dyDescent="0.3">
      <c r="A1074" s="5" t="s">
        <v>46</v>
      </c>
      <c r="B1074" s="6">
        <v>40265</v>
      </c>
      <c r="C1074" s="5">
        <v>14</v>
      </c>
      <c r="D1074" s="5">
        <v>3</v>
      </c>
      <c r="E1074" s="5">
        <v>2010</v>
      </c>
      <c r="F1074" s="5" t="s">
        <v>26</v>
      </c>
      <c r="G1074" s="5" t="s">
        <v>10</v>
      </c>
      <c r="H1074" s="7">
        <v>722.89</v>
      </c>
      <c r="I1074" s="7">
        <v>809.48</v>
      </c>
      <c r="J1074" s="7">
        <v>86.590000000000032</v>
      </c>
      <c r="K1074" s="8">
        <v>0.11978309286336791</v>
      </c>
    </row>
    <row r="1075" spans="1:11" x14ac:dyDescent="0.3">
      <c r="A1075" s="5" t="s">
        <v>46</v>
      </c>
      <c r="B1075" s="6">
        <v>40265</v>
      </c>
      <c r="C1075" s="5">
        <v>14</v>
      </c>
      <c r="D1075" s="5">
        <v>3</v>
      </c>
      <c r="E1075" s="5">
        <v>2010</v>
      </c>
      <c r="F1075" s="5" t="s">
        <v>27</v>
      </c>
      <c r="G1075" s="5" t="s">
        <v>10</v>
      </c>
      <c r="H1075" s="7">
        <v>54390.55</v>
      </c>
      <c r="I1075" s="7">
        <v>61662.74</v>
      </c>
      <c r="J1075" s="7">
        <v>7272.1899999999951</v>
      </c>
      <c r="K1075" s="8">
        <v>0.13370318924886759</v>
      </c>
    </row>
    <row r="1076" spans="1:11" x14ac:dyDescent="0.3">
      <c r="A1076" s="5" t="s">
        <v>46</v>
      </c>
      <c r="B1076" s="6">
        <v>40265</v>
      </c>
      <c r="C1076" s="5">
        <v>14</v>
      </c>
      <c r="D1076" s="5">
        <v>3</v>
      </c>
      <c r="E1076" s="5">
        <v>2010</v>
      </c>
      <c r="F1076" s="5" t="s">
        <v>28</v>
      </c>
      <c r="G1076" s="5" t="s">
        <v>10</v>
      </c>
      <c r="H1076" s="7">
        <v>22135.96</v>
      </c>
      <c r="I1076" s="7">
        <v>28123.31</v>
      </c>
      <c r="J1076" s="7">
        <v>5987.3500000000022</v>
      </c>
      <c r="K1076" s="8">
        <v>0.27048070198898094</v>
      </c>
    </row>
    <row r="1077" spans="1:11" x14ac:dyDescent="0.3">
      <c r="A1077" s="5" t="s">
        <v>46</v>
      </c>
      <c r="B1077" s="6">
        <v>40265</v>
      </c>
      <c r="C1077" s="5">
        <v>14</v>
      </c>
      <c r="D1077" s="5">
        <v>3</v>
      </c>
      <c r="E1077" s="5">
        <v>2010</v>
      </c>
      <c r="F1077" s="5" t="s">
        <v>29</v>
      </c>
      <c r="G1077" s="5" t="s">
        <v>10</v>
      </c>
      <c r="H1077" s="7">
        <v>253441.6</v>
      </c>
      <c r="I1077" s="7">
        <v>274815.63</v>
      </c>
      <c r="J1077" s="7">
        <v>21374.03</v>
      </c>
      <c r="K1077" s="8">
        <v>8.4335128881762103E-2</v>
      </c>
    </row>
    <row r="1078" spans="1:11" x14ac:dyDescent="0.3">
      <c r="A1078" s="5" t="s">
        <v>46</v>
      </c>
      <c r="B1078" s="6">
        <v>40265</v>
      </c>
      <c r="C1078" s="5">
        <v>14</v>
      </c>
      <c r="D1078" s="5">
        <v>3</v>
      </c>
      <c r="E1078" s="5">
        <v>2010</v>
      </c>
      <c r="F1078" s="5" t="s">
        <v>30</v>
      </c>
      <c r="G1078" s="5" t="s">
        <v>10</v>
      </c>
      <c r="H1078" s="7">
        <v>54506.04</v>
      </c>
      <c r="I1078" s="7">
        <v>60794.83</v>
      </c>
      <c r="J1078" s="7">
        <v>6288.7900000000009</v>
      </c>
      <c r="K1078" s="8">
        <v>0.11537785537162489</v>
      </c>
    </row>
    <row r="1079" spans="1:11" x14ac:dyDescent="0.3">
      <c r="A1079" s="5" t="s">
        <v>46</v>
      </c>
      <c r="B1079" s="6">
        <v>40265</v>
      </c>
      <c r="C1079" s="5">
        <v>14</v>
      </c>
      <c r="D1079" s="5">
        <v>3</v>
      </c>
      <c r="E1079" s="5">
        <v>2010</v>
      </c>
      <c r="F1079" s="5" t="s">
        <v>9</v>
      </c>
      <c r="G1079" s="5" t="s">
        <v>9</v>
      </c>
      <c r="H1079" s="7">
        <v>299531.27</v>
      </c>
      <c r="I1079" s="7">
        <v>351549.6</v>
      </c>
      <c r="J1079" s="7">
        <v>52018.329999999958</v>
      </c>
      <c r="K1079" s="8">
        <v>0.17366577452831539</v>
      </c>
    </row>
    <row r="1080" spans="1:11" x14ac:dyDescent="0.3">
      <c r="A1080" s="5" t="s">
        <v>46</v>
      </c>
      <c r="B1080" s="6">
        <v>40265</v>
      </c>
      <c r="C1080" s="5">
        <v>14</v>
      </c>
      <c r="D1080" s="5">
        <v>3</v>
      </c>
      <c r="E1080" s="5">
        <v>2010</v>
      </c>
      <c r="F1080" s="5" t="s">
        <v>31</v>
      </c>
      <c r="G1080" s="5" t="s">
        <v>7</v>
      </c>
      <c r="H1080" s="7">
        <v>47290.66</v>
      </c>
      <c r="I1080" s="7">
        <v>59007.34</v>
      </c>
      <c r="J1080" s="7">
        <v>11716.679999999993</v>
      </c>
      <c r="K1080" s="8">
        <v>0.24775885978330589</v>
      </c>
    </row>
    <row r="1081" spans="1:11" x14ac:dyDescent="0.3">
      <c r="A1081" s="5" t="s">
        <v>46</v>
      </c>
      <c r="B1081" s="6">
        <v>40265</v>
      </c>
      <c r="C1081" s="5">
        <v>14</v>
      </c>
      <c r="D1081" s="5">
        <v>3</v>
      </c>
      <c r="E1081" s="5">
        <v>2010</v>
      </c>
      <c r="F1081" s="5" t="s">
        <v>33</v>
      </c>
      <c r="G1081" s="5" t="s">
        <v>7</v>
      </c>
      <c r="H1081" s="7">
        <v>42276.07</v>
      </c>
      <c r="I1081" s="7">
        <v>78076.350000000006</v>
      </c>
      <c r="J1081" s="7">
        <v>35800.280000000006</v>
      </c>
      <c r="K1081" s="8">
        <v>0.84682138145764274</v>
      </c>
    </row>
    <row r="1082" spans="1:11" x14ac:dyDescent="0.3">
      <c r="A1082" s="5" t="s">
        <v>46</v>
      </c>
      <c r="B1082" s="6">
        <v>40265</v>
      </c>
      <c r="C1082" s="5">
        <v>14</v>
      </c>
      <c r="D1082" s="5">
        <v>3</v>
      </c>
      <c r="E1082" s="5">
        <v>2010</v>
      </c>
      <c r="F1082" s="5" t="s">
        <v>35</v>
      </c>
      <c r="G1082" s="5" t="s">
        <v>11</v>
      </c>
      <c r="H1082" s="7">
        <v>2075.08</v>
      </c>
      <c r="I1082" s="7">
        <v>2447.3000000000002</v>
      </c>
      <c r="J1082" s="7">
        <v>372.22000000000025</v>
      </c>
      <c r="K1082" s="8">
        <v>0.17937621682055643</v>
      </c>
    </row>
    <row r="1083" spans="1:11" x14ac:dyDescent="0.3">
      <c r="A1083" s="5" t="s">
        <v>46</v>
      </c>
      <c r="B1083" s="6">
        <v>40265</v>
      </c>
      <c r="C1083" s="5">
        <v>14</v>
      </c>
      <c r="D1083" s="5">
        <v>3</v>
      </c>
      <c r="E1083" s="5">
        <v>2010</v>
      </c>
      <c r="F1083" s="5" t="s">
        <v>36</v>
      </c>
      <c r="G1083" s="5" t="s">
        <v>11</v>
      </c>
      <c r="H1083" s="7">
        <v>96237.4</v>
      </c>
      <c r="I1083" s="7">
        <v>104402.47</v>
      </c>
      <c r="J1083" s="7">
        <v>8165.070000000007</v>
      </c>
      <c r="K1083" s="8">
        <v>8.4843002824265906E-2</v>
      </c>
    </row>
    <row r="1084" spans="1:11" x14ac:dyDescent="0.3">
      <c r="A1084" s="5" t="s">
        <v>46</v>
      </c>
      <c r="B1084" s="6">
        <v>40265</v>
      </c>
      <c r="C1084" s="5">
        <v>14</v>
      </c>
      <c r="D1084" s="5">
        <v>3</v>
      </c>
      <c r="E1084" s="5">
        <v>2010</v>
      </c>
      <c r="F1084" s="5" t="s">
        <v>37</v>
      </c>
      <c r="G1084" s="5" t="s">
        <v>11</v>
      </c>
      <c r="H1084" s="7">
        <v>167193.67000000001</v>
      </c>
      <c r="I1084" s="7">
        <v>180913.67</v>
      </c>
      <c r="J1084" s="7">
        <v>13720</v>
      </c>
      <c r="K1084" s="8">
        <v>8.2060522985110615E-2</v>
      </c>
    </row>
    <row r="1085" spans="1:11" x14ac:dyDescent="0.3">
      <c r="A1085" s="5" t="s">
        <v>46</v>
      </c>
      <c r="B1085" s="6">
        <v>40265</v>
      </c>
      <c r="C1085" s="5">
        <v>14</v>
      </c>
      <c r="D1085" s="5">
        <v>3</v>
      </c>
      <c r="E1085" s="5">
        <v>2010</v>
      </c>
      <c r="F1085" s="5" t="s">
        <v>38</v>
      </c>
      <c r="G1085" s="5" t="s">
        <v>11</v>
      </c>
      <c r="H1085" s="7">
        <v>189733.03</v>
      </c>
      <c r="I1085" s="7">
        <v>198789.92</v>
      </c>
      <c r="J1085" s="7">
        <v>9056.890000000014</v>
      </c>
      <c r="K1085" s="8">
        <v>4.773491468512369E-2</v>
      </c>
    </row>
    <row r="1086" spans="1:11" x14ac:dyDescent="0.3">
      <c r="A1086" s="5" t="s">
        <v>46</v>
      </c>
      <c r="B1086" s="6">
        <v>40266</v>
      </c>
      <c r="C1086" s="5">
        <v>14</v>
      </c>
      <c r="D1086" s="5">
        <v>3</v>
      </c>
      <c r="E1086" s="5">
        <v>2010</v>
      </c>
      <c r="F1086" s="5" t="s">
        <v>14</v>
      </c>
      <c r="G1086" s="5" t="s">
        <v>6</v>
      </c>
      <c r="H1086" s="7">
        <v>3571</v>
      </c>
      <c r="I1086" s="7">
        <v>4296</v>
      </c>
      <c r="J1086" s="7">
        <v>725</v>
      </c>
      <c r="K1086" s="8">
        <v>0.20302436292355083</v>
      </c>
    </row>
    <row r="1087" spans="1:11" x14ac:dyDescent="0.3">
      <c r="A1087" s="5" t="s">
        <v>46</v>
      </c>
      <c r="B1087" s="6">
        <v>40266</v>
      </c>
      <c r="C1087" s="5">
        <v>14</v>
      </c>
      <c r="D1087" s="5">
        <v>3</v>
      </c>
      <c r="E1087" s="5">
        <v>2010</v>
      </c>
      <c r="F1087" s="5" t="s">
        <v>15</v>
      </c>
      <c r="G1087" s="5" t="s">
        <v>6</v>
      </c>
      <c r="H1087" s="7">
        <v>78825</v>
      </c>
      <c r="I1087" s="7">
        <v>98148</v>
      </c>
      <c r="J1087" s="7">
        <v>19323</v>
      </c>
      <c r="K1087" s="8">
        <v>0.24513796384395814</v>
      </c>
    </row>
    <row r="1088" spans="1:11" x14ac:dyDescent="0.3">
      <c r="A1088" s="5" t="s">
        <v>46</v>
      </c>
      <c r="B1088" s="6">
        <v>40266</v>
      </c>
      <c r="C1088" s="5">
        <v>14</v>
      </c>
      <c r="D1088" s="5">
        <v>3</v>
      </c>
      <c r="E1088" s="5">
        <v>2010</v>
      </c>
      <c r="F1088" s="5" t="s">
        <v>16</v>
      </c>
      <c r="G1088" s="5" t="s">
        <v>6</v>
      </c>
      <c r="H1088" s="7">
        <v>50985</v>
      </c>
      <c r="I1088" s="7">
        <v>58208</v>
      </c>
      <c r="J1088" s="7">
        <v>7223</v>
      </c>
      <c r="K1088" s="8">
        <v>0.1416691183681475</v>
      </c>
    </row>
    <row r="1089" spans="1:11" x14ac:dyDescent="0.3">
      <c r="A1089" s="5" t="s">
        <v>46</v>
      </c>
      <c r="B1089" s="6">
        <v>40266</v>
      </c>
      <c r="C1089" s="5">
        <v>14</v>
      </c>
      <c r="D1089" s="5">
        <v>3</v>
      </c>
      <c r="E1089" s="5">
        <v>2010</v>
      </c>
      <c r="F1089" s="5" t="s">
        <v>18</v>
      </c>
      <c r="G1089" s="5" t="s">
        <v>6</v>
      </c>
      <c r="H1089" s="7">
        <v>2450</v>
      </c>
      <c r="I1089" s="7">
        <v>2909</v>
      </c>
      <c r="J1089" s="7">
        <v>459</v>
      </c>
      <c r="K1089" s="8">
        <v>0.1873469387755102</v>
      </c>
    </row>
    <row r="1090" spans="1:11" x14ac:dyDescent="0.3">
      <c r="A1090" s="5" t="s">
        <v>46</v>
      </c>
      <c r="B1090" s="6">
        <v>40266</v>
      </c>
      <c r="C1090" s="5">
        <v>14</v>
      </c>
      <c r="D1090" s="5">
        <v>3</v>
      </c>
      <c r="E1090" s="5">
        <v>2010</v>
      </c>
      <c r="F1090" s="5" t="s">
        <v>19</v>
      </c>
      <c r="G1090" s="5" t="s">
        <v>5</v>
      </c>
      <c r="H1090" s="7">
        <v>80826</v>
      </c>
      <c r="I1090" s="7">
        <v>89190</v>
      </c>
      <c r="J1090" s="7">
        <v>8364</v>
      </c>
      <c r="K1090" s="8">
        <v>0.10348155296562987</v>
      </c>
    </row>
    <row r="1091" spans="1:11" x14ac:dyDescent="0.3">
      <c r="A1091" s="5" t="s">
        <v>46</v>
      </c>
      <c r="B1091" s="6">
        <v>40266</v>
      </c>
      <c r="C1091" s="5">
        <v>14</v>
      </c>
      <c r="D1091" s="5">
        <v>3</v>
      </c>
      <c r="E1091" s="5">
        <v>2010</v>
      </c>
      <c r="F1091" s="5" t="s">
        <v>5</v>
      </c>
      <c r="G1091" s="5" t="s">
        <v>5</v>
      </c>
      <c r="H1091" s="7">
        <v>321946</v>
      </c>
      <c r="I1091" s="7">
        <v>334040</v>
      </c>
      <c r="J1091" s="7">
        <v>12094</v>
      </c>
      <c r="K1091" s="8">
        <v>3.7565305982990939E-2</v>
      </c>
    </row>
    <row r="1092" spans="1:11" x14ac:dyDescent="0.3">
      <c r="A1092" s="5" t="s">
        <v>46</v>
      </c>
      <c r="B1092" s="6">
        <v>40266</v>
      </c>
      <c r="C1092" s="5">
        <v>14</v>
      </c>
      <c r="D1092" s="5">
        <v>3</v>
      </c>
      <c r="E1092" s="5">
        <v>2010</v>
      </c>
      <c r="F1092" s="5" t="s">
        <v>20</v>
      </c>
      <c r="G1092" s="5" t="s">
        <v>5</v>
      </c>
      <c r="H1092" s="7">
        <v>53252</v>
      </c>
      <c r="I1092" s="7">
        <v>58964</v>
      </c>
      <c r="J1092" s="7">
        <v>5712</v>
      </c>
      <c r="K1092" s="8">
        <v>0.10726357695485615</v>
      </c>
    </row>
    <row r="1093" spans="1:11" x14ac:dyDescent="0.3">
      <c r="A1093" s="5" t="s">
        <v>46</v>
      </c>
      <c r="B1093" s="6">
        <v>40266</v>
      </c>
      <c r="C1093" s="5">
        <v>14</v>
      </c>
      <c r="D1093" s="5">
        <v>3</v>
      </c>
      <c r="E1093" s="5">
        <v>2010</v>
      </c>
      <c r="F1093" s="5" t="s">
        <v>21</v>
      </c>
      <c r="G1093" s="5" t="s">
        <v>5</v>
      </c>
      <c r="H1093" s="7">
        <v>82337</v>
      </c>
      <c r="I1093" s="7">
        <v>88003</v>
      </c>
      <c r="J1093" s="7">
        <v>5666</v>
      </c>
      <c r="K1093" s="8">
        <v>6.8814749140726522E-2</v>
      </c>
    </row>
    <row r="1094" spans="1:11" x14ac:dyDescent="0.3">
      <c r="A1094" s="5" t="s">
        <v>46</v>
      </c>
      <c r="B1094" s="6">
        <v>40266</v>
      </c>
      <c r="C1094" s="5">
        <v>14</v>
      </c>
      <c r="D1094" s="5">
        <v>3</v>
      </c>
      <c r="E1094" s="5">
        <v>2010</v>
      </c>
      <c r="F1094" s="5" t="s">
        <v>22</v>
      </c>
      <c r="G1094" s="5" t="s">
        <v>8</v>
      </c>
      <c r="H1094" s="7">
        <v>177769</v>
      </c>
      <c r="I1094" s="7">
        <v>191075</v>
      </c>
      <c r="J1094" s="7">
        <v>13306</v>
      </c>
      <c r="K1094" s="8">
        <v>7.4849945716069732E-2</v>
      </c>
    </row>
    <row r="1095" spans="1:11" x14ac:dyDescent="0.3">
      <c r="A1095" s="5" t="s">
        <v>46</v>
      </c>
      <c r="B1095" s="6">
        <v>40266</v>
      </c>
      <c r="C1095" s="5">
        <v>14</v>
      </c>
      <c r="D1095" s="5">
        <v>3</v>
      </c>
      <c r="E1095" s="5">
        <v>2010</v>
      </c>
      <c r="F1095" s="5" t="s">
        <v>23</v>
      </c>
      <c r="G1095" s="5" t="s">
        <v>8</v>
      </c>
      <c r="H1095" s="7">
        <v>59329</v>
      </c>
      <c r="I1095" s="7">
        <v>63130</v>
      </c>
      <c r="J1095" s="7">
        <v>3801</v>
      </c>
      <c r="K1095" s="8">
        <v>6.4066476765157004E-2</v>
      </c>
    </row>
    <row r="1096" spans="1:11" x14ac:dyDescent="0.3">
      <c r="A1096" s="5" t="s">
        <v>46</v>
      </c>
      <c r="B1096" s="6">
        <v>40266</v>
      </c>
      <c r="C1096" s="5">
        <v>14</v>
      </c>
      <c r="D1096" s="5">
        <v>3</v>
      </c>
      <c r="E1096" s="5">
        <v>2010</v>
      </c>
      <c r="F1096" s="5" t="s">
        <v>24</v>
      </c>
      <c r="G1096" s="5" t="s">
        <v>8</v>
      </c>
      <c r="H1096" s="7">
        <v>74694</v>
      </c>
      <c r="I1096" s="7">
        <v>78389</v>
      </c>
      <c r="J1096" s="7">
        <v>3695</v>
      </c>
      <c r="K1096" s="8">
        <v>4.9468498139074092E-2</v>
      </c>
    </row>
    <row r="1097" spans="1:11" x14ac:dyDescent="0.3">
      <c r="A1097" s="5" t="s">
        <v>46</v>
      </c>
      <c r="B1097" s="6">
        <v>40266</v>
      </c>
      <c r="C1097" s="5">
        <v>14</v>
      </c>
      <c r="D1097" s="5">
        <v>3</v>
      </c>
      <c r="E1097" s="5">
        <v>2010</v>
      </c>
      <c r="F1097" s="5" t="s">
        <v>25</v>
      </c>
      <c r="G1097" s="5" t="s">
        <v>8</v>
      </c>
      <c r="H1097" s="7">
        <v>3980</v>
      </c>
      <c r="I1097" s="7">
        <v>4452</v>
      </c>
      <c r="J1097" s="7">
        <v>472</v>
      </c>
      <c r="K1097" s="8">
        <v>0.1185929648241206</v>
      </c>
    </row>
    <row r="1098" spans="1:11" x14ac:dyDescent="0.3">
      <c r="A1098" s="5" t="s">
        <v>46</v>
      </c>
      <c r="B1098" s="6">
        <v>40266</v>
      </c>
      <c r="C1098" s="5">
        <v>14</v>
      </c>
      <c r="D1098" s="5">
        <v>3</v>
      </c>
      <c r="E1098" s="5">
        <v>2010</v>
      </c>
      <c r="F1098" s="5" t="s">
        <v>26</v>
      </c>
      <c r="G1098" s="5" t="s">
        <v>10</v>
      </c>
      <c r="H1098" s="7">
        <v>1430</v>
      </c>
      <c r="I1098" s="7">
        <v>1644</v>
      </c>
      <c r="J1098" s="7">
        <v>214</v>
      </c>
      <c r="K1098" s="8">
        <v>0.14965034965034965</v>
      </c>
    </row>
    <row r="1099" spans="1:11" x14ac:dyDescent="0.3">
      <c r="A1099" s="5" t="s">
        <v>46</v>
      </c>
      <c r="B1099" s="6">
        <v>40266</v>
      </c>
      <c r="C1099" s="5">
        <v>14</v>
      </c>
      <c r="D1099" s="5">
        <v>3</v>
      </c>
      <c r="E1099" s="5">
        <v>2010</v>
      </c>
      <c r="F1099" s="5" t="s">
        <v>27</v>
      </c>
      <c r="G1099" s="5" t="s">
        <v>10</v>
      </c>
      <c r="H1099" s="7">
        <v>34180</v>
      </c>
      <c r="I1099" s="7">
        <v>38741</v>
      </c>
      <c r="J1099" s="7">
        <v>4561</v>
      </c>
      <c r="K1099" s="8">
        <v>0.1334406085430076</v>
      </c>
    </row>
    <row r="1100" spans="1:11" x14ac:dyDescent="0.3">
      <c r="A1100" s="5" t="s">
        <v>46</v>
      </c>
      <c r="B1100" s="6">
        <v>40266</v>
      </c>
      <c r="C1100" s="5">
        <v>14</v>
      </c>
      <c r="D1100" s="5">
        <v>3</v>
      </c>
      <c r="E1100" s="5">
        <v>2010</v>
      </c>
      <c r="F1100" s="5" t="s">
        <v>28</v>
      </c>
      <c r="G1100" s="5" t="s">
        <v>10</v>
      </c>
      <c r="H1100" s="7">
        <v>12149</v>
      </c>
      <c r="I1100" s="7">
        <v>15160</v>
      </c>
      <c r="J1100" s="7">
        <v>3011</v>
      </c>
      <c r="K1100" s="8">
        <v>0.24783932833978106</v>
      </c>
    </row>
    <row r="1101" spans="1:11" x14ac:dyDescent="0.3">
      <c r="A1101" s="5" t="s">
        <v>46</v>
      </c>
      <c r="B1101" s="6">
        <v>40266</v>
      </c>
      <c r="C1101" s="5">
        <v>14</v>
      </c>
      <c r="D1101" s="5">
        <v>3</v>
      </c>
      <c r="E1101" s="5">
        <v>2010</v>
      </c>
      <c r="F1101" s="5" t="s">
        <v>29</v>
      </c>
      <c r="G1101" s="5" t="s">
        <v>10</v>
      </c>
      <c r="H1101" s="7">
        <v>164075</v>
      </c>
      <c r="I1101" s="7">
        <v>178149</v>
      </c>
      <c r="J1101" s="7">
        <v>14074</v>
      </c>
      <c r="K1101" s="8">
        <v>8.5777845497485905E-2</v>
      </c>
    </row>
    <row r="1102" spans="1:11" x14ac:dyDescent="0.3">
      <c r="A1102" s="5" t="s">
        <v>46</v>
      </c>
      <c r="B1102" s="6">
        <v>40266</v>
      </c>
      <c r="C1102" s="5">
        <v>14</v>
      </c>
      <c r="D1102" s="5">
        <v>3</v>
      </c>
      <c r="E1102" s="5">
        <v>2010</v>
      </c>
      <c r="F1102" s="5" t="s">
        <v>30</v>
      </c>
      <c r="G1102" s="5" t="s">
        <v>10</v>
      </c>
      <c r="H1102" s="7">
        <v>30636</v>
      </c>
      <c r="I1102" s="7">
        <v>34537</v>
      </c>
      <c r="J1102" s="7">
        <v>3901</v>
      </c>
      <c r="K1102" s="8">
        <v>0.12733385559472515</v>
      </c>
    </row>
    <row r="1103" spans="1:11" x14ac:dyDescent="0.3">
      <c r="A1103" s="5" t="s">
        <v>46</v>
      </c>
      <c r="B1103" s="6">
        <v>40266</v>
      </c>
      <c r="C1103" s="5">
        <v>14</v>
      </c>
      <c r="D1103" s="5">
        <v>3</v>
      </c>
      <c r="E1103" s="5">
        <v>2010</v>
      </c>
      <c r="F1103" s="5" t="s">
        <v>9</v>
      </c>
      <c r="G1103" s="5" t="s">
        <v>9</v>
      </c>
      <c r="H1103" s="7">
        <v>239067</v>
      </c>
      <c r="I1103" s="7">
        <v>280838</v>
      </c>
      <c r="J1103" s="7">
        <v>41771</v>
      </c>
      <c r="K1103" s="8">
        <v>0.17472507707044468</v>
      </c>
    </row>
    <row r="1104" spans="1:11" x14ac:dyDescent="0.3">
      <c r="A1104" s="5" t="s">
        <v>46</v>
      </c>
      <c r="B1104" s="6">
        <v>40266</v>
      </c>
      <c r="C1104" s="5">
        <v>14</v>
      </c>
      <c r="D1104" s="5">
        <v>3</v>
      </c>
      <c r="E1104" s="5">
        <v>2010</v>
      </c>
      <c r="F1104" s="5" t="s">
        <v>31</v>
      </c>
      <c r="G1104" s="5" t="s">
        <v>7</v>
      </c>
      <c r="H1104" s="7">
        <v>40919</v>
      </c>
      <c r="I1104" s="7">
        <v>50283</v>
      </c>
      <c r="J1104" s="7">
        <v>9364</v>
      </c>
      <c r="K1104" s="8">
        <v>0.22884234707593049</v>
      </c>
    </row>
    <row r="1105" spans="1:11" x14ac:dyDescent="0.3">
      <c r="A1105" s="5" t="s">
        <v>46</v>
      </c>
      <c r="B1105" s="6">
        <v>40266</v>
      </c>
      <c r="C1105" s="5">
        <v>14</v>
      </c>
      <c r="D1105" s="5">
        <v>3</v>
      </c>
      <c r="E1105" s="5">
        <v>2010</v>
      </c>
      <c r="F1105" s="5" t="s">
        <v>33</v>
      </c>
      <c r="G1105" s="5" t="s">
        <v>7</v>
      </c>
      <c r="H1105" s="7">
        <v>38930</v>
      </c>
      <c r="I1105" s="7">
        <v>70827</v>
      </c>
      <c r="J1105" s="7">
        <v>31897</v>
      </c>
      <c r="K1105" s="8">
        <v>0.81934240945286407</v>
      </c>
    </row>
    <row r="1106" spans="1:11" x14ac:dyDescent="0.3">
      <c r="A1106" s="5" t="s">
        <v>46</v>
      </c>
      <c r="B1106" s="6">
        <v>40266</v>
      </c>
      <c r="C1106" s="5">
        <v>14</v>
      </c>
      <c r="D1106" s="5">
        <v>3</v>
      </c>
      <c r="E1106" s="5">
        <v>2010</v>
      </c>
      <c r="F1106" s="5" t="s">
        <v>34</v>
      </c>
      <c r="G1106" s="5" t="s">
        <v>7</v>
      </c>
      <c r="H1106" s="7">
        <v>1155</v>
      </c>
      <c r="I1106" s="7">
        <v>1283</v>
      </c>
      <c r="J1106" s="7">
        <v>128</v>
      </c>
      <c r="K1106" s="8">
        <v>0.11082251082251082</v>
      </c>
    </row>
    <row r="1107" spans="1:11" x14ac:dyDescent="0.3">
      <c r="A1107" s="5" t="s">
        <v>46</v>
      </c>
      <c r="B1107" s="6">
        <v>40266</v>
      </c>
      <c r="C1107" s="5">
        <v>14</v>
      </c>
      <c r="D1107" s="5">
        <v>3</v>
      </c>
      <c r="E1107" s="5">
        <v>2010</v>
      </c>
      <c r="F1107" s="5" t="s">
        <v>35</v>
      </c>
      <c r="G1107" s="5" t="s">
        <v>11</v>
      </c>
      <c r="H1107" s="7">
        <v>1611</v>
      </c>
      <c r="I1107" s="7">
        <v>1962</v>
      </c>
      <c r="J1107" s="7">
        <v>351</v>
      </c>
      <c r="K1107" s="8">
        <v>0.21787709497206703</v>
      </c>
    </row>
    <row r="1108" spans="1:11" x14ac:dyDescent="0.3">
      <c r="A1108" s="5" t="s">
        <v>46</v>
      </c>
      <c r="B1108" s="6">
        <v>40266</v>
      </c>
      <c r="C1108" s="5">
        <v>14</v>
      </c>
      <c r="D1108" s="5">
        <v>3</v>
      </c>
      <c r="E1108" s="5">
        <v>2010</v>
      </c>
      <c r="F1108" s="5" t="s">
        <v>36</v>
      </c>
      <c r="G1108" s="5" t="s">
        <v>11</v>
      </c>
      <c r="H1108" s="7">
        <v>76822</v>
      </c>
      <c r="I1108" s="7">
        <v>81665</v>
      </c>
      <c r="J1108" s="7">
        <v>4843</v>
      </c>
      <c r="K1108" s="8">
        <v>6.3041836973783558E-2</v>
      </c>
    </row>
    <row r="1109" spans="1:11" x14ac:dyDescent="0.3">
      <c r="A1109" s="5" t="s">
        <v>46</v>
      </c>
      <c r="B1109" s="6">
        <v>40266</v>
      </c>
      <c r="C1109" s="5">
        <v>14</v>
      </c>
      <c r="D1109" s="5">
        <v>3</v>
      </c>
      <c r="E1109" s="5">
        <v>2010</v>
      </c>
      <c r="F1109" s="5" t="s">
        <v>37</v>
      </c>
      <c r="G1109" s="5" t="s">
        <v>11</v>
      </c>
      <c r="H1109" s="7">
        <v>144581</v>
      </c>
      <c r="I1109" s="7">
        <v>157077</v>
      </c>
      <c r="J1109" s="7">
        <v>12496</v>
      </c>
      <c r="K1109" s="8">
        <v>8.6429060526625218E-2</v>
      </c>
    </row>
    <row r="1110" spans="1:11" x14ac:dyDescent="0.3">
      <c r="A1110" s="5" t="s">
        <v>46</v>
      </c>
      <c r="B1110" s="6">
        <v>40266</v>
      </c>
      <c r="C1110" s="5">
        <v>14</v>
      </c>
      <c r="D1110" s="5">
        <v>3</v>
      </c>
      <c r="E1110" s="5">
        <v>2010</v>
      </c>
      <c r="F1110" s="5" t="s">
        <v>38</v>
      </c>
      <c r="G1110" s="5" t="s">
        <v>11</v>
      </c>
      <c r="H1110" s="7">
        <v>173484</v>
      </c>
      <c r="I1110" s="7">
        <v>182556</v>
      </c>
      <c r="J1110" s="7">
        <v>9072</v>
      </c>
      <c r="K1110" s="8">
        <v>5.2293006847893751E-2</v>
      </c>
    </row>
    <row r="1111" spans="1:11" x14ac:dyDescent="0.3">
      <c r="A1111" s="5" t="s">
        <v>46</v>
      </c>
      <c r="B1111" s="6">
        <v>40267</v>
      </c>
      <c r="C1111" s="5">
        <v>14</v>
      </c>
      <c r="D1111" s="5">
        <v>3</v>
      </c>
      <c r="E1111" s="5">
        <v>2010</v>
      </c>
      <c r="F1111" s="5" t="s">
        <v>14</v>
      </c>
      <c r="G1111" s="5" t="s">
        <v>6</v>
      </c>
      <c r="H1111" s="7">
        <v>3934</v>
      </c>
      <c r="I1111" s="7">
        <v>4701</v>
      </c>
      <c r="J1111" s="7">
        <v>767</v>
      </c>
      <c r="K1111" s="8">
        <v>0.19496695475343162</v>
      </c>
    </row>
    <row r="1112" spans="1:11" x14ac:dyDescent="0.3">
      <c r="A1112" s="5" t="s">
        <v>46</v>
      </c>
      <c r="B1112" s="6">
        <v>40267</v>
      </c>
      <c r="C1112" s="5">
        <v>14</v>
      </c>
      <c r="D1112" s="5">
        <v>3</v>
      </c>
      <c r="E1112" s="5">
        <v>2010</v>
      </c>
      <c r="F1112" s="5" t="s">
        <v>15</v>
      </c>
      <c r="G1112" s="5" t="s">
        <v>6</v>
      </c>
      <c r="H1112" s="7">
        <v>77140</v>
      </c>
      <c r="I1112" s="7">
        <v>90620</v>
      </c>
      <c r="J1112" s="7">
        <v>13480</v>
      </c>
      <c r="K1112" s="8">
        <v>0.17474721285973555</v>
      </c>
    </row>
    <row r="1113" spans="1:11" x14ac:dyDescent="0.3">
      <c r="A1113" s="5" t="s">
        <v>46</v>
      </c>
      <c r="B1113" s="6">
        <v>40267</v>
      </c>
      <c r="C1113" s="5">
        <v>14</v>
      </c>
      <c r="D1113" s="5">
        <v>3</v>
      </c>
      <c r="E1113" s="5">
        <v>2010</v>
      </c>
      <c r="F1113" s="5" t="s">
        <v>16</v>
      </c>
      <c r="G1113" s="5" t="s">
        <v>6</v>
      </c>
      <c r="H1113" s="7">
        <v>66511</v>
      </c>
      <c r="I1113" s="7">
        <v>76222</v>
      </c>
      <c r="J1113" s="7">
        <v>9711</v>
      </c>
      <c r="K1113" s="8">
        <v>0.14600592383214805</v>
      </c>
    </row>
    <row r="1114" spans="1:11" x14ac:dyDescent="0.3">
      <c r="A1114" s="5" t="s">
        <v>46</v>
      </c>
      <c r="B1114" s="6">
        <v>40267</v>
      </c>
      <c r="C1114" s="5">
        <v>14</v>
      </c>
      <c r="D1114" s="5">
        <v>3</v>
      </c>
      <c r="E1114" s="5">
        <v>2010</v>
      </c>
      <c r="F1114" s="5" t="s">
        <v>18</v>
      </c>
      <c r="G1114" s="5" t="s">
        <v>6</v>
      </c>
      <c r="H1114" s="7">
        <v>620</v>
      </c>
      <c r="I1114" s="7">
        <v>591</v>
      </c>
      <c r="J1114" s="7">
        <v>-29</v>
      </c>
      <c r="K1114" s="8">
        <v>-4.6774193548387098E-2</v>
      </c>
    </row>
    <row r="1115" spans="1:11" x14ac:dyDescent="0.3">
      <c r="A1115" s="5" t="s">
        <v>46</v>
      </c>
      <c r="B1115" s="6">
        <v>40267</v>
      </c>
      <c r="C1115" s="5">
        <v>14</v>
      </c>
      <c r="D1115" s="5">
        <v>3</v>
      </c>
      <c r="E1115" s="5">
        <v>2010</v>
      </c>
      <c r="F1115" s="5" t="s">
        <v>19</v>
      </c>
      <c r="G1115" s="5" t="s">
        <v>5</v>
      </c>
      <c r="H1115" s="7">
        <v>92274</v>
      </c>
      <c r="I1115" s="7">
        <v>102012</v>
      </c>
      <c r="J1115" s="7">
        <v>9738</v>
      </c>
      <c r="K1115" s="8">
        <v>0.10553351973470317</v>
      </c>
    </row>
    <row r="1116" spans="1:11" x14ac:dyDescent="0.3">
      <c r="A1116" s="5" t="s">
        <v>46</v>
      </c>
      <c r="B1116" s="6">
        <v>40267</v>
      </c>
      <c r="C1116" s="5">
        <v>14</v>
      </c>
      <c r="D1116" s="5">
        <v>3</v>
      </c>
      <c r="E1116" s="5">
        <v>2010</v>
      </c>
      <c r="F1116" s="5" t="s">
        <v>5</v>
      </c>
      <c r="G1116" s="5" t="s">
        <v>5</v>
      </c>
      <c r="H1116" s="7">
        <v>320003</v>
      </c>
      <c r="I1116" s="7">
        <v>330986</v>
      </c>
      <c r="J1116" s="7">
        <v>10983</v>
      </c>
      <c r="K1116" s="8">
        <v>3.4321553235438416E-2</v>
      </c>
    </row>
    <row r="1117" spans="1:11" x14ac:dyDescent="0.3">
      <c r="A1117" s="5" t="s">
        <v>46</v>
      </c>
      <c r="B1117" s="6">
        <v>40267</v>
      </c>
      <c r="C1117" s="5">
        <v>14</v>
      </c>
      <c r="D1117" s="5">
        <v>3</v>
      </c>
      <c r="E1117" s="5">
        <v>2010</v>
      </c>
      <c r="F1117" s="5" t="s">
        <v>20</v>
      </c>
      <c r="G1117" s="5" t="s">
        <v>5</v>
      </c>
      <c r="H1117" s="7">
        <v>59756</v>
      </c>
      <c r="I1117" s="7">
        <v>65833</v>
      </c>
      <c r="J1117" s="7">
        <v>6077</v>
      </c>
      <c r="K1117" s="8">
        <v>0.10169690072963385</v>
      </c>
    </row>
    <row r="1118" spans="1:11" x14ac:dyDescent="0.3">
      <c r="A1118" s="5" t="s">
        <v>46</v>
      </c>
      <c r="B1118" s="6">
        <v>40267</v>
      </c>
      <c r="C1118" s="5">
        <v>14</v>
      </c>
      <c r="D1118" s="5">
        <v>3</v>
      </c>
      <c r="E1118" s="5">
        <v>2010</v>
      </c>
      <c r="F1118" s="5" t="s">
        <v>21</v>
      </c>
      <c r="G1118" s="5" t="s">
        <v>5</v>
      </c>
      <c r="H1118" s="7">
        <v>96040</v>
      </c>
      <c r="I1118" s="7">
        <v>102888</v>
      </c>
      <c r="J1118" s="7">
        <v>6848</v>
      </c>
      <c r="K1118" s="8">
        <v>7.1303623490212409E-2</v>
      </c>
    </row>
    <row r="1119" spans="1:11" x14ac:dyDescent="0.3">
      <c r="A1119" s="5" t="s">
        <v>46</v>
      </c>
      <c r="B1119" s="6">
        <v>40267</v>
      </c>
      <c r="C1119" s="5">
        <v>14</v>
      </c>
      <c r="D1119" s="5">
        <v>3</v>
      </c>
      <c r="E1119" s="5">
        <v>2010</v>
      </c>
      <c r="F1119" s="5" t="s">
        <v>22</v>
      </c>
      <c r="G1119" s="5" t="s">
        <v>8</v>
      </c>
      <c r="H1119" s="7">
        <v>80880</v>
      </c>
      <c r="I1119" s="7">
        <v>89932</v>
      </c>
      <c r="J1119" s="7">
        <v>9052</v>
      </c>
      <c r="K1119" s="8">
        <v>0.11191889218595449</v>
      </c>
    </row>
    <row r="1120" spans="1:11" x14ac:dyDescent="0.3">
      <c r="A1120" s="5" t="s">
        <v>46</v>
      </c>
      <c r="B1120" s="6">
        <v>40267</v>
      </c>
      <c r="C1120" s="5">
        <v>14</v>
      </c>
      <c r="D1120" s="5">
        <v>3</v>
      </c>
      <c r="E1120" s="5">
        <v>2010</v>
      </c>
      <c r="F1120" s="5" t="s">
        <v>23</v>
      </c>
      <c r="G1120" s="5" t="s">
        <v>8</v>
      </c>
      <c r="H1120" s="7">
        <v>70962</v>
      </c>
      <c r="I1120" s="7">
        <v>75843</v>
      </c>
      <c r="J1120" s="7">
        <v>4881</v>
      </c>
      <c r="K1120" s="8">
        <v>6.8783292466390464E-2</v>
      </c>
    </row>
    <row r="1121" spans="1:11" x14ac:dyDescent="0.3">
      <c r="A1121" s="5" t="s">
        <v>46</v>
      </c>
      <c r="B1121" s="6">
        <v>40267</v>
      </c>
      <c r="C1121" s="5">
        <v>14</v>
      </c>
      <c r="D1121" s="5">
        <v>3</v>
      </c>
      <c r="E1121" s="5">
        <v>2010</v>
      </c>
      <c r="F1121" s="5" t="s">
        <v>24</v>
      </c>
      <c r="G1121" s="5" t="s">
        <v>8</v>
      </c>
      <c r="H1121" s="7">
        <v>50208</v>
      </c>
      <c r="I1121" s="7">
        <v>54756</v>
      </c>
      <c r="J1121" s="7">
        <v>4548</v>
      </c>
      <c r="K1121" s="8">
        <v>9.0583173996175909E-2</v>
      </c>
    </row>
    <row r="1122" spans="1:11" x14ac:dyDescent="0.3">
      <c r="A1122" s="5" t="s">
        <v>46</v>
      </c>
      <c r="B1122" s="6">
        <v>40267</v>
      </c>
      <c r="C1122" s="5">
        <v>14</v>
      </c>
      <c r="D1122" s="5">
        <v>3</v>
      </c>
      <c r="E1122" s="5">
        <v>2010</v>
      </c>
      <c r="F1122" s="5" t="s">
        <v>25</v>
      </c>
      <c r="G1122" s="5" t="s">
        <v>8</v>
      </c>
      <c r="H1122" s="7">
        <v>3916</v>
      </c>
      <c r="I1122" s="7">
        <v>4414</v>
      </c>
      <c r="J1122" s="7">
        <v>498</v>
      </c>
      <c r="K1122" s="8">
        <v>0.127170582226762</v>
      </c>
    </row>
    <row r="1123" spans="1:11" x14ac:dyDescent="0.3">
      <c r="A1123" s="5" t="s">
        <v>46</v>
      </c>
      <c r="B1123" s="6">
        <v>40267</v>
      </c>
      <c r="C1123" s="5">
        <v>14</v>
      </c>
      <c r="D1123" s="5">
        <v>3</v>
      </c>
      <c r="E1123" s="5">
        <v>2010</v>
      </c>
      <c r="F1123" s="5" t="s">
        <v>26</v>
      </c>
      <c r="G1123" s="5" t="s">
        <v>10</v>
      </c>
      <c r="H1123" s="7">
        <v>795</v>
      </c>
      <c r="I1123" s="7">
        <v>957</v>
      </c>
      <c r="J1123" s="7">
        <v>162</v>
      </c>
      <c r="K1123" s="8">
        <v>0.20377358490566039</v>
      </c>
    </row>
    <row r="1124" spans="1:11" x14ac:dyDescent="0.3">
      <c r="A1124" s="5" t="s">
        <v>46</v>
      </c>
      <c r="B1124" s="6">
        <v>40267</v>
      </c>
      <c r="C1124" s="5">
        <v>14</v>
      </c>
      <c r="D1124" s="5">
        <v>3</v>
      </c>
      <c r="E1124" s="5">
        <v>2010</v>
      </c>
      <c r="F1124" s="5" t="s">
        <v>27</v>
      </c>
      <c r="G1124" s="5" t="s">
        <v>10</v>
      </c>
      <c r="H1124" s="7">
        <v>24775</v>
      </c>
      <c r="I1124" s="7">
        <v>28133</v>
      </c>
      <c r="J1124" s="7">
        <v>3358</v>
      </c>
      <c r="K1124" s="8">
        <v>0.13553985872855701</v>
      </c>
    </row>
    <row r="1125" spans="1:11" x14ac:dyDescent="0.3">
      <c r="A1125" s="5" t="s">
        <v>46</v>
      </c>
      <c r="B1125" s="6">
        <v>40267</v>
      </c>
      <c r="C1125" s="5">
        <v>14</v>
      </c>
      <c r="D1125" s="5">
        <v>3</v>
      </c>
      <c r="E1125" s="5">
        <v>2010</v>
      </c>
      <c r="F1125" s="5" t="s">
        <v>28</v>
      </c>
      <c r="G1125" s="5" t="s">
        <v>10</v>
      </c>
      <c r="H1125" s="7">
        <v>10246</v>
      </c>
      <c r="I1125" s="7">
        <v>12452</v>
      </c>
      <c r="J1125" s="7">
        <v>2206</v>
      </c>
      <c r="K1125" s="8">
        <v>0.21530353308608238</v>
      </c>
    </row>
    <row r="1126" spans="1:11" x14ac:dyDescent="0.3">
      <c r="A1126" s="5" t="s">
        <v>46</v>
      </c>
      <c r="B1126" s="6">
        <v>40267</v>
      </c>
      <c r="C1126" s="5">
        <v>14</v>
      </c>
      <c r="D1126" s="5">
        <v>3</v>
      </c>
      <c r="E1126" s="5">
        <v>2010</v>
      </c>
      <c r="F1126" s="5" t="s">
        <v>29</v>
      </c>
      <c r="G1126" s="5" t="s">
        <v>10</v>
      </c>
      <c r="H1126" s="7">
        <v>144606</v>
      </c>
      <c r="I1126" s="7">
        <v>157851</v>
      </c>
      <c r="J1126" s="7">
        <v>13245</v>
      </c>
      <c r="K1126" s="8">
        <v>9.1593709804572418E-2</v>
      </c>
    </row>
    <row r="1127" spans="1:11" x14ac:dyDescent="0.3">
      <c r="A1127" s="5" t="s">
        <v>46</v>
      </c>
      <c r="B1127" s="6">
        <v>40267</v>
      </c>
      <c r="C1127" s="5">
        <v>14</v>
      </c>
      <c r="D1127" s="5">
        <v>3</v>
      </c>
      <c r="E1127" s="5">
        <v>2010</v>
      </c>
      <c r="F1127" s="5" t="s">
        <v>30</v>
      </c>
      <c r="G1127" s="5" t="s">
        <v>10</v>
      </c>
      <c r="H1127" s="7">
        <v>22011</v>
      </c>
      <c r="I1127" s="7">
        <v>24699</v>
      </c>
      <c r="J1127" s="7">
        <v>2688</v>
      </c>
      <c r="K1127" s="8">
        <v>0.12212075780291673</v>
      </c>
    </row>
    <row r="1128" spans="1:11" x14ac:dyDescent="0.3">
      <c r="A1128" s="5" t="s">
        <v>46</v>
      </c>
      <c r="B1128" s="6">
        <v>40267</v>
      </c>
      <c r="C1128" s="5">
        <v>14</v>
      </c>
      <c r="D1128" s="5">
        <v>3</v>
      </c>
      <c r="E1128" s="5">
        <v>2010</v>
      </c>
      <c r="F1128" s="5" t="s">
        <v>9</v>
      </c>
      <c r="G1128" s="5" t="s">
        <v>9</v>
      </c>
      <c r="H1128" s="7">
        <v>235459</v>
      </c>
      <c r="I1128" s="7">
        <v>276221</v>
      </c>
      <c r="J1128" s="7">
        <v>40762</v>
      </c>
      <c r="K1128" s="8">
        <v>0.1731171881304176</v>
      </c>
    </row>
    <row r="1129" spans="1:11" x14ac:dyDescent="0.3">
      <c r="A1129" s="5" t="s">
        <v>46</v>
      </c>
      <c r="B1129" s="6">
        <v>40267</v>
      </c>
      <c r="C1129" s="5">
        <v>14</v>
      </c>
      <c r="D1129" s="5">
        <v>3</v>
      </c>
      <c r="E1129" s="5">
        <v>2010</v>
      </c>
      <c r="F1129" s="5" t="s">
        <v>31</v>
      </c>
      <c r="G1129" s="5" t="s">
        <v>7</v>
      </c>
      <c r="H1129" s="7">
        <v>30529</v>
      </c>
      <c r="I1129" s="7">
        <v>36448</v>
      </c>
      <c r="J1129" s="7">
        <v>5919</v>
      </c>
      <c r="K1129" s="8">
        <v>0.19388122768515181</v>
      </c>
    </row>
    <row r="1130" spans="1:11" x14ac:dyDescent="0.3">
      <c r="A1130" s="5" t="s">
        <v>46</v>
      </c>
      <c r="B1130" s="6">
        <v>40267</v>
      </c>
      <c r="C1130" s="5">
        <v>14</v>
      </c>
      <c r="D1130" s="5">
        <v>3</v>
      </c>
      <c r="E1130" s="5">
        <v>2010</v>
      </c>
      <c r="F1130" s="5" t="s">
        <v>33</v>
      </c>
      <c r="G1130" s="5" t="s">
        <v>7</v>
      </c>
      <c r="H1130" s="7">
        <v>29367</v>
      </c>
      <c r="I1130" s="7">
        <v>56547</v>
      </c>
      <c r="J1130" s="7">
        <v>27180</v>
      </c>
      <c r="K1130" s="8">
        <v>0.92552865461231992</v>
      </c>
    </row>
    <row r="1131" spans="1:11" x14ac:dyDescent="0.3">
      <c r="A1131" s="5" t="s">
        <v>46</v>
      </c>
      <c r="B1131" s="6">
        <v>40267</v>
      </c>
      <c r="C1131" s="5">
        <v>14</v>
      </c>
      <c r="D1131" s="5">
        <v>3</v>
      </c>
      <c r="E1131" s="5">
        <v>2010</v>
      </c>
      <c r="F1131" s="5" t="s">
        <v>34</v>
      </c>
      <c r="G1131" s="5" t="s">
        <v>7</v>
      </c>
      <c r="H1131" s="7">
        <v>4953</v>
      </c>
      <c r="I1131" s="7">
        <v>5502</v>
      </c>
      <c r="J1131" s="7">
        <v>549</v>
      </c>
      <c r="K1131" s="8">
        <v>0.1108419139915203</v>
      </c>
    </row>
    <row r="1132" spans="1:11" x14ac:dyDescent="0.3">
      <c r="A1132" s="5" t="s">
        <v>46</v>
      </c>
      <c r="B1132" s="6">
        <v>40267</v>
      </c>
      <c r="C1132" s="5">
        <v>14</v>
      </c>
      <c r="D1132" s="5">
        <v>3</v>
      </c>
      <c r="E1132" s="5">
        <v>2010</v>
      </c>
      <c r="F1132" s="5" t="s">
        <v>35</v>
      </c>
      <c r="G1132" s="5" t="s">
        <v>11</v>
      </c>
      <c r="H1132" s="7">
        <v>1897</v>
      </c>
      <c r="I1132" s="7">
        <v>2216</v>
      </c>
      <c r="J1132" s="7">
        <v>319</v>
      </c>
      <c r="K1132" s="8">
        <v>0.16816025303110174</v>
      </c>
    </row>
    <row r="1133" spans="1:11" x14ac:dyDescent="0.3">
      <c r="A1133" s="5" t="s">
        <v>46</v>
      </c>
      <c r="B1133" s="6">
        <v>40267</v>
      </c>
      <c r="C1133" s="5">
        <v>14</v>
      </c>
      <c r="D1133" s="5">
        <v>3</v>
      </c>
      <c r="E1133" s="5">
        <v>2010</v>
      </c>
      <c r="F1133" s="5" t="s">
        <v>36</v>
      </c>
      <c r="G1133" s="5" t="s">
        <v>11</v>
      </c>
      <c r="H1133" s="7">
        <v>95617</v>
      </c>
      <c r="I1133" s="7">
        <v>97485</v>
      </c>
      <c r="J1133" s="7">
        <v>1868</v>
      </c>
      <c r="K1133" s="8">
        <v>1.9536274930190237E-2</v>
      </c>
    </row>
    <row r="1134" spans="1:11" x14ac:dyDescent="0.3">
      <c r="A1134" s="5" t="s">
        <v>46</v>
      </c>
      <c r="B1134" s="6">
        <v>40267</v>
      </c>
      <c r="C1134" s="5">
        <v>14</v>
      </c>
      <c r="D1134" s="5">
        <v>3</v>
      </c>
      <c r="E1134" s="5">
        <v>2010</v>
      </c>
      <c r="F1134" s="5" t="s">
        <v>37</v>
      </c>
      <c r="G1134" s="5" t="s">
        <v>11</v>
      </c>
      <c r="H1134" s="7">
        <v>136098</v>
      </c>
      <c r="I1134" s="7">
        <v>147266</v>
      </c>
      <c r="J1134" s="7">
        <v>11168</v>
      </c>
      <c r="K1134" s="8">
        <v>8.2058516657114722E-2</v>
      </c>
    </row>
    <row r="1135" spans="1:11" x14ac:dyDescent="0.3">
      <c r="A1135" s="5" t="s">
        <v>46</v>
      </c>
      <c r="B1135" s="6">
        <v>40267</v>
      </c>
      <c r="C1135" s="5">
        <v>14</v>
      </c>
      <c r="D1135" s="5">
        <v>3</v>
      </c>
      <c r="E1135" s="5">
        <v>2010</v>
      </c>
      <c r="F1135" s="5" t="s">
        <v>38</v>
      </c>
      <c r="G1135" s="5" t="s">
        <v>11</v>
      </c>
      <c r="H1135" s="7">
        <v>238141</v>
      </c>
      <c r="I1135" s="7">
        <v>240718</v>
      </c>
      <c r="J1135" s="7">
        <v>2577</v>
      </c>
      <c r="K1135" s="8">
        <v>1.0821320142268656E-2</v>
      </c>
    </row>
    <row r="1136" spans="1:11" x14ac:dyDescent="0.3">
      <c r="A1136" s="5" t="s">
        <v>46</v>
      </c>
      <c r="B1136" s="6">
        <v>40268</v>
      </c>
      <c r="C1136" s="5">
        <v>14</v>
      </c>
      <c r="D1136" s="5">
        <v>3</v>
      </c>
      <c r="E1136" s="5">
        <v>2010</v>
      </c>
      <c r="F1136" s="5" t="s">
        <v>14</v>
      </c>
      <c r="G1136" s="5" t="s">
        <v>6</v>
      </c>
      <c r="H1136" s="7">
        <v>4260</v>
      </c>
      <c r="I1136" s="7">
        <v>5082</v>
      </c>
      <c r="J1136" s="7">
        <v>822</v>
      </c>
      <c r="K1136" s="8">
        <v>0.19295774647887323</v>
      </c>
    </row>
    <row r="1137" spans="1:11" x14ac:dyDescent="0.3">
      <c r="A1137" s="5" t="s">
        <v>46</v>
      </c>
      <c r="B1137" s="6">
        <v>40268</v>
      </c>
      <c r="C1137" s="5">
        <v>14</v>
      </c>
      <c r="D1137" s="5">
        <v>3</v>
      </c>
      <c r="E1137" s="5">
        <v>2010</v>
      </c>
      <c r="F1137" s="5" t="s">
        <v>15</v>
      </c>
      <c r="G1137" s="5" t="s">
        <v>6</v>
      </c>
      <c r="H1137" s="7">
        <v>86779</v>
      </c>
      <c r="I1137" s="7">
        <v>104118</v>
      </c>
      <c r="J1137" s="7">
        <v>17339</v>
      </c>
      <c r="K1137" s="8">
        <v>0.19980640477534886</v>
      </c>
    </row>
    <row r="1138" spans="1:11" x14ac:dyDescent="0.3">
      <c r="A1138" s="5" t="s">
        <v>46</v>
      </c>
      <c r="B1138" s="6">
        <v>40268</v>
      </c>
      <c r="C1138" s="5">
        <v>14</v>
      </c>
      <c r="D1138" s="5">
        <v>3</v>
      </c>
      <c r="E1138" s="5">
        <v>2010</v>
      </c>
      <c r="F1138" s="5" t="s">
        <v>16</v>
      </c>
      <c r="G1138" s="5" t="s">
        <v>6</v>
      </c>
      <c r="H1138" s="7">
        <v>61466</v>
      </c>
      <c r="I1138" s="7">
        <v>69337</v>
      </c>
      <c r="J1138" s="7">
        <v>7871</v>
      </c>
      <c r="K1138" s="8">
        <v>0.12805453421403704</v>
      </c>
    </row>
    <row r="1139" spans="1:11" x14ac:dyDescent="0.3">
      <c r="A1139" s="5" t="s">
        <v>46</v>
      </c>
      <c r="B1139" s="6">
        <v>40268</v>
      </c>
      <c r="C1139" s="5">
        <v>14</v>
      </c>
      <c r="D1139" s="5">
        <v>3</v>
      </c>
      <c r="E1139" s="5">
        <v>2010</v>
      </c>
      <c r="F1139" s="5" t="s">
        <v>18</v>
      </c>
      <c r="G1139" s="5" t="s">
        <v>6</v>
      </c>
      <c r="H1139" s="7">
        <v>5547</v>
      </c>
      <c r="I1139" s="7">
        <v>6282</v>
      </c>
      <c r="J1139" s="7">
        <v>735</v>
      </c>
      <c r="K1139" s="8">
        <v>0.13250405624661979</v>
      </c>
    </row>
    <row r="1140" spans="1:11" x14ac:dyDescent="0.3">
      <c r="A1140" s="5" t="s">
        <v>46</v>
      </c>
      <c r="B1140" s="6">
        <v>40268</v>
      </c>
      <c r="C1140" s="5">
        <v>14</v>
      </c>
      <c r="D1140" s="5">
        <v>3</v>
      </c>
      <c r="E1140" s="5">
        <v>2010</v>
      </c>
      <c r="F1140" s="5" t="s">
        <v>19</v>
      </c>
      <c r="G1140" s="5" t="s">
        <v>5</v>
      </c>
      <c r="H1140" s="7">
        <v>74691</v>
      </c>
      <c r="I1140" s="7">
        <v>82703</v>
      </c>
      <c r="J1140" s="7">
        <v>8012</v>
      </c>
      <c r="K1140" s="8">
        <v>0.10726861335368384</v>
      </c>
    </row>
    <row r="1141" spans="1:11" x14ac:dyDescent="0.3">
      <c r="A1141" s="5" t="s">
        <v>46</v>
      </c>
      <c r="B1141" s="6">
        <v>40268</v>
      </c>
      <c r="C1141" s="5">
        <v>14</v>
      </c>
      <c r="D1141" s="5">
        <v>3</v>
      </c>
      <c r="E1141" s="5">
        <v>2010</v>
      </c>
      <c r="F1141" s="5" t="s">
        <v>5</v>
      </c>
      <c r="G1141" s="5" t="s">
        <v>5</v>
      </c>
      <c r="H1141" s="7">
        <v>351996</v>
      </c>
      <c r="I1141" s="7">
        <v>358207</v>
      </c>
      <c r="J1141" s="7">
        <v>6211</v>
      </c>
      <c r="K1141" s="8">
        <v>1.7645086875987228E-2</v>
      </c>
    </row>
    <row r="1142" spans="1:11" x14ac:dyDescent="0.3">
      <c r="A1142" s="5" t="s">
        <v>46</v>
      </c>
      <c r="B1142" s="6">
        <v>40268</v>
      </c>
      <c r="C1142" s="5">
        <v>14</v>
      </c>
      <c r="D1142" s="5">
        <v>3</v>
      </c>
      <c r="E1142" s="5">
        <v>2010</v>
      </c>
      <c r="F1142" s="5" t="s">
        <v>20</v>
      </c>
      <c r="G1142" s="5" t="s">
        <v>5</v>
      </c>
      <c r="H1142" s="7">
        <v>57443</v>
      </c>
      <c r="I1142" s="7">
        <v>63333</v>
      </c>
      <c r="J1142" s="7">
        <v>5890</v>
      </c>
      <c r="K1142" s="8">
        <v>0.1025364274150027</v>
      </c>
    </row>
    <row r="1143" spans="1:11" x14ac:dyDescent="0.3">
      <c r="A1143" s="5" t="s">
        <v>46</v>
      </c>
      <c r="B1143" s="6">
        <v>40268</v>
      </c>
      <c r="C1143" s="5">
        <v>14</v>
      </c>
      <c r="D1143" s="5">
        <v>3</v>
      </c>
      <c r="E1143" s="5">
        <v>2010</v>
      </c>
      <c r="F1143" s="5" t="s">
        <v>21</v>
      </c>
      <c r="G1143" s="5" t="s">
        <v>5</v>
      </c>
      <c r="H1143" s="7">
        <v>59767</v>
      </c>
      <c r="I1143" s="7">
        <v>64075</v>
      </c>
      <c r="J1143" s="7">
        <v>4308</v>
      </c>
      <c r="K1143" s="8">
        <v>7.2079910318403134E-2</v>
      </c>
    </row>
    <row r="1144" spans="1:11" x14ac:dyDescent="0.3">
      <c r="A1144" s="5" t="s">
        <v>46</v>
      </c>
      <c r="B1144" s="6">
        <v>40268</v>
      </c>
      <c r="C1144" s="5">
        <v>14</v>
      </c>
      <c r="D1144" s="5">
        <v>3</v>
      </c>
      <c r="E1144" s="5">
        <v>2010</v>
      </c>
      <c r="F1144" s="5" t="s">
        <v>22</v>
      </c>
      <c r="G1144" s="5" t="s">
        <v>8</v>
      </c>
      <c r="H1144" s="7">
        <v>83843</v>
      </c>
      <c r="I1144" s="7">
        <v>93262</v>
      </c>
      <c r="J1144" s="7">
        <v>9419</v>
      </c>
      <c r="K1144" s="8">
        <v>0.11234092291544912</v>
      </c>
    </row>
    <row r="1145" spans="1:11" x14ac:dyDescent="0.3">
      <c r="A1145" s="5" t="s">
        <v>46</v>
      </c>
      <c r="B1145" s="6">
        <v>40268</v>
      </c>
      <c r="C1145" s="5">
        <v>14</v>
      </c>
      <c r="D1145" s="5">
        <v>3</v>
      </c>
      <c r="E1145" s="5">
        <v>2010</v>
      </c>
      <c r="F1145" s="5" t="s">
        <v>23</v>
      </c>
      <c r="G1145" s="5" t="s">
        <v>8</v>
      </c>
      <c r="H1145" s="7">
        <v>63077</v>
      </c>
      <c r="I1145" s="7">
        <v>67343</v>
      </c>
      <c r="J1145" s="7">
        <v>4266</v>
      </c>
      <c r="K1145" s="8">
        <v>6.7631624839481902E-2</v>
      </c>
    </row>
    <row r="1146" spans="1:11" x14ac:dyDescent="0.3">
      <c r="A1146" s="5" t="s">
        <v>46</v>
      </c>
      <c r="B1146" s="6">
        <v>40268</v>
      </c>
      <c r="C1146" s="5">
        <v>14</v>
      </c>
      <c r="D1146" s="5">
        <v>3</v>
      </c>
      <c r="E1146" s="5">
        <v>2010</v>
      </c>
      <c r="F1146" s="5" t="s">
        <v>24</v>
      </c>
      <c r="G1146" s="5" t="s">
        <v>8</v>
      </c>
      <c r="H1146" s="7">
        <v>54551</v>
      </c>
      <c r="I1146" s="7">
        <v>59928</v>
      </c>
      <c r="J1146" s="7">
        <v>5377</v>
      </c>
      <c r="K1146" s="8">
        <v>9.8568312221590806E-2</v>
      </c>
    </row>
    <row r="1147" spans="1:11" x14ac:dyDescent="0.3">
      <c r="A1147" s="5" t="s">
        <v>46</v>
      </c>
      <c r="B1147" s="6">
        <v>40268</v>
      </c>
      <c r="C1147" s="5">
        <v>14</v>
      </c>
      <c r="D1147" s="5">
        <v>3</v>
      </c>
      <c r="E1147" s="5">
        <v>2010</v>
      </c>
      <c r="F1147" s="5" t="s">
        <v>25</v>
      </c>
      <c r="G1147" s="5" t="s">
        <v>8</v>
      </c>
      <c r="H1147" s="7">
        <v>8834</v>
      </c>
      <c r="I1147" s="7">
        <v>9236</v>
      </c>
      <c r="J1147" s="7">
        <v>402</v>
      </c>
      <c r="K1147" s="8">
        <v>4.5505999547203982E-2</v>
      </c>
    </row>
    <row r="1148" spans="1:11" x14ac:dyDescent="0.3">
      <c r="A1148" s="5" t="s">
        <v>46</v>
      </c>
      <c r="B1148" s="6">
        <v>40268</v>
      </c>
      <c r="C1148" s="5">
        <v>14</v>
      </c>
      <c r="D1148" s="5">
        <v>3</v>
      </c>
      <c r="E1148" s="5">
        <v>2010</v>
      </c>
      <c r="F1148" s="5" t="s">
        <v>26</v>
      </c>
      <c r="G1148" s="5" t="s">
        <v>10</v>
      </c>
      <c r="H1148" s="7">
        <v>625</v>
      </c>
      <c r="I1148" s="7">
        <v>700</v>
      </c>
      <c r="J1148" s="7">
        <v>75</v>
      </c>
      <c r="K1148" s="8">
        <v>0.12</v>
      </c>
    </row>
    <row r="1149" spans="1:11" x14ac:dyDescent="0.3">
      <c r="A1149" s="5" t="s">
        <v>46</v>
      </c>
      <c r="B1149" s="6">
        <v>40268</v>
      </c>
      <c r="C1149" s="5">
        <v>14</v>
      </c>
      <c r="D1149" s="5">
        <v>3</v>
      </c>
      <c r="E1149" s="5">
        <v>2010</v>
      </c>
      <c r="F1149" s="5" t="s">
        <v>27</v>
      </c>
      <c r="G1149" s="5" t="s">
        <v>10</v>
      </c>
      <c r="H1149" s="7">
        <v>38630</v>
      </c>
      <c r="I1149" s="7">
        <v>44101</v>
      </c>
      <c r="J1149" s="7">
        <v>5471</v>
      </c>
      <c r="K1149" s="8">
        <v>0.14162567952368627</v>
      </c>
    </row>
    <row r="1150" spans="1:11" x14ac:dyDescent="0.3">
      <c r="A1150" s="5" t="s">
        <v>46</v>
      </c>
      <c r="B1150" s="6">
        <v>40268</v>
      </c>
      <c r="C1150" s="5">
        <v>14</v>
      </c>
      <c r="D1150" s="5">
        <v>3</v>
      </c>
      <c r="E1150" s="5">
        <v>2010</v>
      </c>
      <c r="F1150" s="5" t="s">
        <v>28</v>
      </c>
      <c r="G1150" s="5" t="s">
        <v>10</v>
      </c>
      <c r="H1150" s="7">
        <v>30534</v>
      </c>
      <c r="I1150" s="7">
        <v>36316</v>
      </c>
      <c r="J1150" s="7">
        <v>5782</v>
      </c>
      <c r="K1150" s="8">
        <v>0.18936267767079321</v>
      </c>
    </row>
    <row r="1151" spans="1:11" x14ac:dyDescent="0.3">
      <c r="A1151" s="5" t="s">
        <v>46</v>
      </c>
      <c r="B1151" s="6">
        <v>40268</v>
      </c>
      <c r="C1151" s="5">
        <v>14</v>
      </c>
      <c r="D1151" s="5">
        <v>3</v>
      </c>
      <c r="E1151" s="5">
        <v>2010</v>
      </c>
      <c r="F1151" s="5" t="s">
        <v>29</v>
      </c>
      <c r="G1151" s="5" t="s">
        <v>10</v>
      </c>
      <c r="H1151" s="7">
        <v>169816</v>
      </c>
      <c r="I1151" s="7">
        <v>187198</v>
      </c>
      <c r="J1151" s="7">
        <v>17382</v>
      </c>
      <c r="K1151" s="8">
        <v>0.10235784613935082</v>
      </c>
    </row>
    <row r="1152" spans="1:11" x14ac:dyDescent="0.3">
      <c r="A1152" s="5" t="s">
        <v>46</v>
      </c>
      <c r="B1152" s="6">
        <v>40268</v>
      </c>
      <c r="C1152" s="5">
        <v>14</v>
      </c>
      <c r="D1152" s="5">
        <v>3</v>
      </c>
      <c r="E1152" s="5">
        <v>2010</v>
      </c>
      <c r="F1152" s="5" t="s">
        <v>30</v>
      </c>
      <c r="G1152" s="5" t="s">
        <v>10</v>
      </c>
      <c r="H1152" s="7">
        <v>21860</v>
      </c>
      <c r="I1152" s="7">
        <v>24288</v>
      </c>
      <c r="J1152" s="7">
        <v>2428</v>
      </c>
      <c r="K1152" s="8">
        <v>0.11107044830741079</v>
      </c>
    </row>
    <row r="1153" spans="1:11" x14ac:dyDescent="0.3">
      <c r="A1153" s="5" t="s">
        <v>46</v>
      </c>
      <c r="B1153" s="6">
        <v>40268</v>
      </c>
      <c r="C1153" s="5">
        <v>14</v>
      </c>
      <c r="D1153" s="5">
        <v>3</v>
      </c>
      <c r="E1153" s="5">
        <v>2010</v>
      </c>
      <c r="F1153" s="5" t="s">
        <v>9</v>
      </c>
      <c r="G1153" s="5" t="s">
        <v>9</v>
      </c>
      <c r="H1153" s="7">
        <v>315621</v>
      </c>
      <c r="I1153" s="7">
        <v>361616</v>
      </c>
      <c r="J1153" s="7">
        <v>45995</v>
      </c>
      <c r="K1153" s="8">
        <v>0.14572857953051285</v>
      </c>
    </row>
    <row r="1154" spans="1:11" x14ac:dyDescent="0.3">
      <c r="A1154" s="5" t="s">
        <v>46</v>
      </c>
      <c r="B1154" s="6">
        <v>40268</v>
      </c>
      <c r="C1154" s="5">
        <v>14</v>
      </c>
      <c r="D1154" s="5">
        <v>3</v>
      </c>
      <c r="E1154" s="5">
        <v>2010</v>
      </c>
      <c r="F1154" s="5" t="s">
        <v>31</v>
      </c>
      <c r="G1154" s="5" t="s">
        <v>7</v>
      </c>
      <c r="H1154" s="7">
        <v>35399</v>
      </c>
      <c r="I1154" s="7">
        <v>44373</v>
      </c>
      <c r="J1154" s="7">
        <v>8974</v>
      </c>
      <c r="K1154" s="8">
        <v>0.25350998615780107</v>
      </c>
    </row>
    <row r="1155" spans="1:11" x14ac:dyDescent="0.3">
      <c r="A1155" s="5" t="s">
        <v>46</v>
      </c>
      <c r="B1155" s="6">
        <v>40268</v>
      </c>
      <c r="C1155" s="5">
        <v>14</v>
      </c>
      <c r="D1155" s="5">
        <v>3</v>
      </c>
      <c r="E1155" s="5">
        <v>2010</v>
      </c>
      <c r="F1155" s="5" t="s">
        <v>33</v>
      </c>
      <c r="G1155" s="5" t="s">
        <v>7</v>
      </c>
      <c r="H1155" s="7">
        <v>31203</v>
      </c>
      <c r="I1155" s="7">
        <v>59648</v>
      </c>
      <c r="J1155" s="7">
        <v>28445</v>
      </c>
      <c r="K1155" s="8">
        <v>0.91161106303881034</v>
      </c>
    </row>
    <row r="1156" spans="1:11" x14ac:dyDescent="0.3">
      <c r="A1156" s="5" t="s">
        <v>46</v>
      </c>
      <c r="B1156" s="6">
        <v>40268</v>
      </c>
      <c r="C1156" s="5">
        <v>14</v>
      </c>
      <c r="D1156" s="5">
        <v>3</v>
      </c>
      <c r="E1156" s="5">
        <v>2010</v>
      </c>
      <c r="F1156" s="5" t="s">
        <v>35</v>
      </c>
      <c r="G1156" s="5" t="s">
        <v>11</v>
      </c>
      <c r="H1156" s="7">
        <v>1426</v>
      </c>
      <c r="I1156" s="7">
        <v>1854</v>
      </c>
      <c r="J1156" s="7">
        <v>428</v>
      </c>
      <c r="K1156" s="8">
        <v>0.30014025245441794</v>
      </c>
    </row>
    <row r="1157" spans="1:11" x14ac:dyDescent="0.3">
      <c r="A1157" s="5" t="s">
        <v>46</v>
      </c>
      <c r="B1157" s="6">
        <v>40268</v>
      </c>
      <c r="C1157" s="5">
        <v>14</v>
      </c>
      <c r="D1157" s="5">
        <v>3</v>
      </c>
      <c r="E1157" s="5">
        <v>2010</v>
      </c>
      <c r="F1157" s="5" t="s">
        <v>36</v>
      </c>
      <c r="G1157" s="5" t="s">
        <v>11</v>
      </c>
      <c r="H1157" s="7">
        <v>69276</v>
      </c>
      <c r="I1157" s="7">
        <v>75545</v>
      </c>
      <c r="J1157" s="7">
        <v>6269</v>
      </c>
      <c r="K1157" s="8">
        <v>9.0493100063514062E-2</v>
      </c>
    </row>
    <row r="1158" spans="1:11" x14ac:dyDescent="0.3">
      <c r="A1158" s="5" t="s">
        <v>46</v>
      </c>
      <c r="B1158" s="6">
        <v>40268</v>
      </c>
      <c r="C1158" s="5">
        <v>14</v>
      </c>
      <c r="D1158" s="5">
        <v>3</v>
      </c>
      <c r="E1158" s="5">
        <v>2010</v>
      </c>
      <c r="F1158" s="5" t="s">
        <v>37</v>
      </c>
      <c r="G1158" s="5" t="s">
        <v>11</v>
      </c>
      <c r="H1158" s="7">
        <v>107317</v>
      </c>
      <c r="I1158" s="7">
        <v>115726</v>
      </c>
      <c r="J1158" s="7">
        <v>8409</v>
      </c>
      <c r="K1158" s="8">
        <v>7.8356644334075687E-2</v>
      </c>
    </row>
    <row r="1159" spans="1:11" x14ac:dyDescent="0.3">
      <c r="A1159" s="5" t="s">
        <v>46</v>
      </c>
      <c r="B1159" s="6">
        <v>40268</v>
      </c>
      <c r="C1159" s="5">
        <v>14</v>
      </c>
      <c r="D1159" s="5">
        <v>3</v>
      </c>
      <c r="E1159" s="5">
        <v>2010</v>
      </c>
      <c r="F1159" s="5" t="s">
        <v>38</v>
      </c>
      <c r="G1159" s="5" t="s">
        <v>11</v>
      </c>
      <c r="H1159" s="7">
        <v>144521</v>
      </c>
      <c r="I1159" s="7">
        <v>153786</v>
      </c>
      <c r="J1159" s="7">
        <v>9265</v>
      </c>
      <c r="K1159" s="8">
        <v>6.4108330277260747E-2</v>
      </c>
    </row>
    <row r="1160" spans="1:11" x14ac:dyDescent="0.3">
      <c r="A1160" s="5" t="s">
        <v>46</v>
      </c>
      <c r="B1160" s="6">
        <v>40269</v>
      </c>
      <c r="C1160" s="5">
        <v>14</v>
      </c>
      <c r="D1160" s="5">
        <v>4</v>
      </c>
      <c r="E1160" s="5">
        <v>2010</v>
      </c>
      <c r="F1160" s="5" t="s">
        <v>14</v>
      </c>
      <c r="G1160" s="5" t="s">
        <v>6</v>
      </c>
      <c r="H1160" s="7">
        <v>5527.97</v>
      </c>
      <c r="I1160" s="7">
        <v>6435.45</v>
      </c>
      <c r="J1160" s="7">
        <v>907.47999999999956</v>
      </c>
      <c r="K1160" s="8">
        <v>0.16416152764939021</v>
      </c>
    </row>
    <row r="1161" spans="1:11" x14ac:dyDescent="0.3">
      <c r="A1161" s="5" t="s">
        <v>46</v>
      </c>
      <c r="B1161" s="6">
        <v>40269</v>
      </c>
      <c r="C1161" s="5">
        <v>14</v>
      </c>
      <c r="D1161" s="5">
        <v>4</v>
      </c>
      <c r="E1161" s="5">
        <v>2010</v>
      </c>
      <c r="F1161" s="5" t="s">
        <v>15</v>
      </c>
      <c r="G1161" s="5" t="s">
        <v>6</v>
      </c>
      <c r="H1161" s="7">
        <v>98271.92</v>
      </c>
      <c r="I1161" s="7">
        <v>119533.84</v>
      </c>
      <c r="J1161" s="7">
        <v>21261.919999999998</v>
      </c>
      <c r="K1161" s="8">
        <v>0.21635804001794204</v>
      </c>
    </row>
    <row r="1162" spans="1:11" x14ac:dyDescent="0.3">
      <c r="A1162" s="5" t="s">
        <v>46</v>
      </c>
      <c r="B1162" s="6">
        <v>40269</v>
      </c>
      <c r="C1162" s="5">
        <v>14</v>
      </c>
      <c r="D1162" s="5">
        <v>4</v>
      </c>
      <c r="E1162" s="5">
        <v>2010</v>
      </c>
      <c r="F1162" s="5" t="s">
        <v>16</v>
      </c>
      <c r="G1162" s="5" t="s">
        <v>6</v>
      </c>
      <c r="H1162" s="7">
        <v>83474.039999999994</v>
      </c>
      <c r="I1162" s="7">
        <v>94080.16</v>
      </c>
      <c r="J1162" s="7">
        <v>10606.12000000001</v>
      </c>
      <c r="K1162" s="8">
        <v>0.12705890358247918</v>
      </c>
    </row>
    <row r="1163" spans="1:11" x14ac:dyDescent="0.3">
      <c r="A1163" s="5" t="s">
        <v>46</v>
      </c>
      <c r="B1163" s="6">
        <v>40269</v>
      </c>
      <c r="C1163" s="5">
        <v>14</v>
      </c>
      <c r="D1163" s="5">
        <v>4</v>
      </c>
      <c r="E1163" s="5">
        <v>2010</v>
      </c>
      <c r="F1163" s="5" t="s">
        <v>18</v>
      </c>
      <c r="G1163" s="5" t="s">
        <v>6</v>
      </c>
      <c r="H1163" s="7">
        <v>1590</v>
      </c>
      <c r="I1163" s="7">
        <v>1827.96</v>
      </c>
      <c r="J1163" s="7">
        <v>237.96000000000004</v>
      </c>
      <c r="K1163" s="8">
        <v>0.14966037735849058</v>
      </c>
    </row>
    <row r="1164" spans="1:11" x14ac:dyDescent="0.3">
      <c r="A1164" s="5" t="s">
        <v>46</v>
      </c>
      <c r="B1164" s="6">
        <v>40269</v>
      </c>
      <c r="C1164" s="5">
        <v>14</v>
      </c>
      <c r="D1164" s="5">
        <v>4</v>
      </c>
      <c r="E1164" s="5">
        <v>2010</v>
      </c>
      <c r="F1164" s="5" t="s">
        <v>19</v>
      </c>
      <c r="G1164" s="5" t="s">
        <v>5</v>
      </c>
      <c r="H1164" s="7">
        <v>86771.24</v>
      </c>
      <c r="I1164" s="7">
        <v>97483.93</v>
      </c>
      <c r="J1164" s="7">
        <v>10712.689999999988</v>
      </c>
      <c r="K1164" s="8">
        <v>0.12345899401691145</v>
      </c>
    </row>
    <row r="1165" spans="1:11" x14ac:dyDescent="0.3">
      <c r="A1165" s="5" t="s">
        <v>46</v>
      </c>
      <c r="B1165" s="6">
        <v>40269</v>
      </c>
      <c r="C1165" s="5">
        <v>14</v>
      </c>
      <c r="D1165" s="5">
        <v>4</v>
      </c>
      <c r="E1165" s="5">
        <v>2010</v>
      </c>
      <c r="F1165" s="5" t="s">
        <v>5</v>
      </c>
      <c r="G1165" s="5" t="s">
        <v>5</v>
      </c>
      <c r="H1165" s="7">
        <v>278497.39</v>
      </c>
      <c r="I1165" s="7">
        <v>285379.46000000002</v>
      </c>
      <c r="J1165" s="7">
        <v>6882.070000000007</v>
      </c>
      <c r="K1165" s="8">
        <v>2.4711434459044685E-2</v>
      </c>
    </row>
    <row r="1166" spans="1:11" x14ac:dyDescent="0.3">
      <c r="A1166" s="5" t="s">
        <v>46</v>
      </c>
      <c r="B1166" s="6">
        <v>40269</v>
      </c>
      <c r="C1166" s="5">
        <v>14</v>
      </c>
      <c r="D1166" s="5">
        <v>4</v>
      </c>
      <c r="E1166" s="5">
        <v>2010</v>
      </c>
      <c r="F1166" s="5" t="s">
        <v>20</v>
      </c>
      <c r="G1166" s="5" t="s">
        <v>5</v>
      </c>
      <c r="H1166" s="7">
        <v>37573.29</v>
      </c>
      <c r="I1166" s="7">
        <v>41504.07</v>
      </c>
      <c r="J1166" s="7">
        <v>3930.7799999999988</v>
      </c>
      <c r="K1166" s="8">
        <v>0.10461633782934629</v>
      </c>
    </row>
    <row r="1167" spans="1:11" x14ac:dyDescent="0.3">
      <c r="A1167" s="5" t="s">
        <v>46</v>
      </c>
      <c r="B1167" s="6">
        <v>40269</v>
      </c>
      <c r="C1167" s="5">
        <v>14</v>
      </c>
      <c r="D1167" s="5">
        <v>4</v>
      </c>
      <c r="E1167" s="5">
        <v>2010</v>
      </c>
      <c r="F1167" s="5" t="s">
        <v>21</v>
      </c>
      <c r="G1167" s="5" t="s">
        <v>5</v>
      </c>
      <c r="H1167" s="7">
        <v>60592.71</v>
      </c>
      <c r="I1167" s="7">
        <v>64516.09</v>
      </c>
      <c r="J1167" s="7">
        <v>3923.3799999999974</v>
      </c>
      <c r="K1167" s="8">
        <v>6.4750033461120945E-2</v>
      </c>
    </row>
    <row r="1168" spans="1:11" x14ac:dyDescent="0.3">
      <c r="A1168" s="5" t="s">
        <v>46</v>
      </c>
      <c r="B1168" s="6">
        <v>40269</v>
      </c>
      <c r="C1168" s="5">
        <v>14</v>
      </c>
      <c r="D1168" s="5">
        <v>4</v>
      </c>
      <c r="E1168" s="5">
        <v>2010</v>
      </c>
      <c r="F1168" s="5" t="s">
        <v>22</v>
      </c>
      <c r="G1168" s="5" t="s">
        <v>8</v>
      </c>
      <c r="H1168" s="7">
        <v>116037.5</v>
      </c>
      <c r="I1168" s="7">
        <v>128280.33</v>
      </c>
      <c r="J1168" s="7">
        <v>12242.830000000002</v>
      </c>
      <c r="K1168" s="8">
        <v>0.10550752989335346</v>
      </c>
    </row>
    <row r="1169" spans="1:11" x14ac:dyDescent="0.3">
      <c r="A1169" s="5" t="s">
        <v>46</v>
      </c>
      <c r="B1169" s="6">
        <v>40269</v>
      </c>
      <c r="C1169" s="5">
        <v>14</v>
      </c>
      <c r="D1169" s="5">
        <v>4</v>
      </c>
      <c r="E1169" s="5">
        <v>2010</v>
      </c>
      <c r="F1169" s="5" t="s">
        <v>23</v>
      </c>
      <c r="G1169" s="5" t="s">
        <v>8</v>
      </c>
      <c r="H1169" s="7">
        <v>76515.289999999994</v>
      </c>
      <c r="I1169" s="7">
        <v>81229.440000000002</v>
      </c>
      <c r="J1169" s="7">
        <v>4714.1500000000087</v>
      </c>
      <c r="K1169" s="8">
        <v>6.1610561758310124E-2</v>
      </c>
    </row>
    <row r="1170" spans="1:11" x14ac:dyDescent="0.3">
      <c r="A1170" s="5" t="s">
        <v>46</v>
      </c>
      <c r="B1170" s="6">
        <v>40269</v>
      </c>
      <c r="C1170" s="5">
        <v>14</v>
      </c>
      <c r="D1170" s="5">
        <v>4</v>
      </c>
      <c r="E1170" s="5">
        <v>2010</v>
      </c>
      <c r="F1170" s="5" t="s">
        <v>24</v>
      </c>
      <c r="G1170" s="5" t="s">
        <v>8</v>
      </c>
      <c r="H1170" s="7">
        <v>60243</v>
      </c>
      <c r="I1170" s="7">
        <v>66818.37</v>
      </c>
      <c r="J1170" s="7">
        <v>6575.3699999999953</v>
      </c>
      <c r="K1170" s="8">
        <v>0.10914745281609474</v>
      </c>
    </row>
    <row r="1171" spans="1:11" x14ac:dyDescent="0.3">
      <c r="A1171" s="5" t="s">
        <v>46</v>
      </c>
      <c r="B1171" s="6">
        <v>40269</v>
      </c>
      <c r="C1171" s="5">
        <v>14</v>
      </c>
      <c r="D1171" s="5">
        <v>4</v>
      </c>
      <c r="E1171" s="5">
        <v>2010</v>
      </c>
      <c r="F1171" s="5" t="s">
        <v>25</v>
      </c>
      <c r="G1171" s="5" t="s">
        <v>8</v>
      </c>
      <c r="H1171" s="7">
        <v>2076</v>
      </c>
      <c r="I1171" s="7">
        <v>2293.17</v>
      </c>
      <c r="J1171" s="7">
        <v>217.17000000000007</v>
      </c>
      <c r="K1171" s="8">
        <v>0.10460982658959542</v>
      </c>
    </row>
    <row r="1172" spans="1:11" x14ac:dyDescent="0.3">
      <c r="A1172" s="5" t="s">
        <v>46</v>
      </c>
      <c r="B1172" s="6">
        <v>40269</v>
      </c>
      <c r="C1172" s="5">
        <v>14</v>
      </c>
      <c r="D1172" s="5">
        <v>4</v>
      </c>
      <c r="E1172" s="5">
        <v>2010</v>
      </c>
      <c r="F1172" s="5" t="s">
        <v>27</v>
      </c>
      <c r="G1172" s="5" t="s">
        <v>10</v>
      </c>
      <c r="H1172" s="7">
        <v>67070.41</v>
      </c>
      <c r="I1172" s="7">
        <v>76687.399999999994</v>
      </c>
      <c r="J1172" s="7">
        <v>9616.9899999999907</v>
      </c>
      <c r="K1172" s="8">
        <v>0.14338647996933357</v>
      </c>
    </row>
    <row r="1173" spans="1:11" x14ac:dyDescent="0.3">
      <c r="A1173" s="5" t="s">
        <v>46</v>
      </c>
      <c r="B1173" s="6">
        <v>40269</v>
      </c>
      <c r="C1173" s="5">
        <v>14</v>
      </c>
      <c r="D1173" s="5">
        <v>4</v>
      </c>
      <c r="E1173" s="5">
        <v>2010</v>
      </c>
      <c r="F1173" s="5" t="s">
        <v>28</v>
      </c>
      <c r="G1173" s="5" t="s">
        <v>10</v>
      </c>
      <c r="H1173" s="7">
        <v>26461.45</v>
      </c>
      <c r="I1173" s="7">
        <v>31064.19</v>
      </c>
      <c r="J1173" s="7">
        <v>4602.739999999998</v>
      </c>
      <c r="K1173" s="8">
        <v>0.17394133730388917</v>
      </c>
    </row>
    <row r="1174" spans="1:11" x14ac:dyDescent="0.3">
      <c r="A1174" s="5" t="s">
        <v>46</v>
      </c>
      <c r="B1174" s="6">
        <v>40269</v>
      </c>
      <c r="C1174" s="5">
        <v>14</v>
      </c>
      <c r="D1174" s="5">
        <v>4</v>
      </c>
      <c r="E1174" s="5">
        <v>2010</v>
      </c>
      <c r="F1174" s="5" t="s">
        <v>29</v>
      </c>
      <c r="G1174" s="5" t="s">
        <v>10</v>
      </c>
      <c r="H1174" s="7">
        <v>213859</v>
      </c>
      <c r="I1174" s="7">
        <v>236912.01</v>
      </c>
      <c r="J1174" s="7">
        <v>23053.010000000009</v>
      </c>
      <c r="K1174" s="8">
        <v>0.10779536984648769</v>
      </c>
    </row>
    <row r="1175" spans="1:11" x14ac:dyDescent="0.3">
      <c r="A1175" s="5" t="s">
        <v>46</v>
      </c>
      <c r="B1175" s="6">
        <v>40269</v>
      </c>
      <c r="C1175" s="5">
        <v>14</v>
      </c>
      <c r="D1175" s="5">
        <v>4</v>
      </c>
      <c r="E1175" s="5">
        <v>2010</v>
      </c>
      <c r="F1175" s="5" t="s">
        <v>30</v>
      </c>
      <c r="G1175" s="5" t="s">
        <v>10</v>
      </c>
      <c r="H1175" s="7">
        <v>27627.06</v>
      </c>
      <c r="I1175" s="7">
        <v>30614.959999999999</v>
      </c>
      <c r="J1175" s="7">
        <v>2987.8999999999978</v>
      </c>
      <c r="K1175" s="8">
        <v>0.10815121116760154</v>
      </c>
    </row>
    <row r="1176" spans="1:11" x14ac:dyDescent="0.3">
      <c r="A1176" s="5" t="s">
        <v>46</v>
      </c>
      <c r="B1176" s="6">
        <v>40269</v>
      </c>
      <c r="C1176" s="5">
        <v>14</v>
      </c>
      <c r="D1176" s="5">
        <v>4</v>
      </c>
      <c r="E1176" s="5">
        <v>2010</v>
      </c>
      <c r="F1176" s="5" t="s">
        <v>9</v>
      </c>
      <c r="G1176" s="5" t="s">
        <v>9</v>
      </c>
      <c r="H1176" s="7">
        <v>285304.87</v>
      </c>
      <c r="I1176" s="7">
        <v>338097.51</v>
      </c>
      <c r="J1176" s="7">
        <v>52792.640000000014</v>
      </c>
      <c r="K1176" s="8">
        <v>0.18503939312357345</v>
      </c>
    </row>
    <row r="1177" spans="1:11" x14ac:dyDescent="0.3">
      <c r="A1177" s="5" t="s">
        <v>46</v>
      </c>
      <c r="B1177" s="6">
        <v>40269</v>
      </c>
      <c r="C1177" s="5">
        <v>14</v>
      </c>
      <c r="D1177" s="5">
        <v>4</v>
      </c>
      <c r="E1177" s="5">
        <v>2010</v>
      </c>
      <c r="F1177" s="5" t="s">
        <v>31</v>
      </c>
      <c r="G1177" s="5" t="s">
        <v>7</v>
      </c>
      <c r="H1177" s="7">
        <v>35953.040000000001</v>
      </c>
      <c r="I1177" s="7">
        <v>43259.49</v>
      </c>
      <c r="J1177" s="7">
        <v>7306.4499999999971</v>
      </c>
      <c r="K1177" s="8">
        <v>0.20322203630068547</v>
      </c>
    </row>
    <row r="1178" spans="1:11" x14ac:dyDescent="0.3">
      <c r="A1178" s="5" t="s">
        <v>46</v>
      </c>
      <c r="B1178" s="6">
        <v>40269</v>
      </c>
      <c r="C1178" s="5">
        <v>14</v>
      </c>
      <c r="D1178" s="5">
        <v>4</v>
      </c>
      <c r="E1178" s="5">
        <v>2010</v>
      </c>
      <c r="F1178" s="5" t="s">
        <v>33</v>
      </c>
      <c r="G1178" s="5" t="s">
        <v>7</v>
      </c>
      <c r="H1178" s="7">
        <v>28491.53</v>
      </c>
      <c r="I1178" s="7">
        <v>53876.959999999999</v>
      </c>
      <c r="J1178" s="7">
        <v>25385.43</v>
      </c>
      <c r="K1178" s="8">
        <v>0.89098163559485932</v>
      </c>
    </row>
    <row r="1179" spans="1:11" x14ac:dyDescent="0.3">
      <c r="A1179" s="5" t="s">
        <v>46</v>
      </c>
      <c r="B1179" s="6">
        <v>40269</v>
      </c>
      <c r="C1179" s="5">
        <v>14</v>
      </c>
      <c r="D1179" s="5">
        <v>4</v>
      </c>
      <c r="E1179" s="5">
        <v>2010</v>
      </c>
      <c r="F1179" s="5" t="s">
        <v>35</v>
      </c>
      <c r="G1179" s="5" t="s">
        <v>11</v>
      </c>
      <c r="H1179" s="7">
        <v>1228.2</v>
      </c>
      <c r="I1179" s="7">
        <v>1596.38</v>
      </c>
      <c r="J1179" s="7">
        <v>368.18000000000006</v>
      </c>
      <c r="K1179" s="8">
        <v>0.29977202410030945</v>
      </c>
    </row>
    <row r="1180" spans="1:11" x14ac:dyDescent="0.3">
      <c r="A1180" s="5" t="s">
        <v>46</v>
      </c>
      <c r="B1180" s="6">
        <v>40269</v>
      </c>
      <c r="C1180" s="5">
        <v>14</v>
      </c>
      <c r="D1180" s="5">
        <v>4</v>
      </c>
      <c r="E1180" s="5">
        <v>2010</v>
      </c>
      <c r="F1180" s="5" t="s">
        <v>36</v>
      </c>
      <c r="G1180" s="5" t="s">
        <v>11</v>
      </c>
      <c r="H1180" s="7">
        <v>66822.17</v>
      </c>
      <c r="I1180" s="7">
        <v>70948.98</v>
      </c>
      <c r="J1180" s="7">
        <v>4126.8099999999977</v>
      </c>
      <c r="K1180" s="8">
        <v>6.1758096152818708E-2</v>
      </c>
    </row>
    <row r="1181" spans="1:11" x14ac:dyDescent="0.3">
      <c r="A1181" s="5" t="s">
        <v>46</v>
      </c>
      <c r="B1181" s="6">
        <v>40269</v>
      </c>
      <c r="C1181" s="5">
        <v>14</v>
      </c>
      <c r="D1181" s="5">
        <v>4</v>
      </c>
      <c r="E1181" s="5">
        <v>2010</v>
      </c>
      <c r="F1181" s="5" t="s">
        <v>37</v>
      </c>
      <c r="G1181" s="5" t="s">
        <v>11</v>
      </c>
      <c r="H1181" s="7">
        <v>144373.04999999999</v>
      </c>
      <c r="I1181" s="7">
        <v>156824.22</v>
      </c>
      <c r="J1181" s="7">
        <v>12451.170000000013</v>
      </c>
      <c r="K1181" s="8">
        <v>8.624303497086204E-2</v>
      </c>
    </row>
    <row r="1182" spans="1:11" x14ac:dyDescent="0.3">
      <c r="A1182" s="5" t="s">
        <v>46</v>
      </c>
      <c r="B1182" s="6">
        <v>40269</v>
      </c>
      <c r="C1182" s="5">
        <v>14</v>
      </c>
      <c r="D1182" s="5">
        <v>4</v>
      </c>
      <c r="E1182" s="5">
        <v>2010</v>
      </c>
      <c r="F1182" s="5" t="s">
        <v>38</v>
      </c>
      <c r="G1182" s="5" t="s">
        <v>11</v>
      </c>
      <c r="H1182" s="7">
        <v>220869.34</v>
      </c>
      <c r="I1182" s="7">
        <v>227563.91</v>
      </c>
      <c r="J1182" s="7">
        <v>6694.570000000007</v>
      </c>
      <c r="K1182" s="8">
        <v>3.0310091930369362E-2</v>
      </c>
    </row>
    <row r="1183" spans="1:11" x14ac:dyDescent="0.3">
      <c r="A1183" s="5" t="s">
        <v>46</v>
      </c>
      <c r="B1183" s="6">
        <v>40270</v>
      </c>
      <c r="C1183" s="5">
        <v>14</v>
      </c>
      <c r="D1183" s="5">
        <v>4</v>
      </c>
      <c r="E1183" s="5">
        <v>2010</v>
      </c>
      <c r="F1183" s="5" t="s">
        <v>14</v>
      </c>
      <c r="G1183" s="5" t="s">
        <v>6</v>
      </c>
      <c r="H1183" s="7">
        <v>7495.96</v>
      </c>
      <c r="I1183" s="7">
        <v>8697.93</v>
      </c>
      <c r="J1183" s="7">
        <v>1201.9700000000003</v>
      </c>
      <c r="K1183" s="8">
        <v>0.16034904135027406</v>
      </c>
    </row>
    <row r="1184" spans="1:11" x14ac:dyDescent="0.3">
      <c r="A1184" s="5" t="s">
        <v>46</v>
      </c>
      <c r="B1184" s="6">
        <v>40270</v>
      </c>
      <c r="C1184" s="5">
        <v>14</v>
      </c>
      <c r="D1184" s="5">
        <v>4</v>
      </c>
      <c r="E1184" s="5">
        <v>2010</v>
      </c>
      <c r="F1184" s="5" t="s">
        <v>15</v>
      </c>
      <c r="G1184" s="5" t="s">
        <v>6</v>
      </c>
      <c r="H1184" s="7">
        <v>107173.69</v>
      </c>
      <c r="I1184" s="7">
        <v>131795.37</v>
      </c>
      <c r="J1184" s="7">
        <v>24621.679999999993</v>
      </c>
      <c r="K1184" s="8">
        <v>0.22973623470461821</v>
      </c>
    </row>
    <row r="1185" spans="1:11" x14ac:dyDescent="0.3">
      <c r="A1185" s="5" t="s">
        <v>46</v>
      </c>
      <c r="B1185" s="6">
        <v>40270</v>
      </c>
      <c r="C1185" s="5">
        <v>14</v>
      </c>
      <c r="D1185" s="5">
        <v>4</v>
      </c>
      <c r="E1185" s="5">
        <v>2010</v>
      </c>
      <c r="F1185" s="5" t="s">
        <v>16</v>
      </c>
      <c r="G1185" s="5" t="s">
        <v>6</v>
      </c>
      <c r="H1185" s="7">
        <v>120754.84</v>
      </c>
      <c r="I1185" s="7">
        <v>136495.59</v>
      </c>
      <c r="J1185" s="7">
        <v>15740.75</v>
      </c>
      <c r="K1185" s="8">
        <v>0.130352953140429</v>
      </c>
    </row>
    <row r="1186" spans="1:11" x14ac:dyDescent="0.3">
      <c r="A1186" s="5" t="s">
        <v>46</v>
      </c>
      <c r="B1186" s="6">
        <v>40270</v>
      </c>
      <c r="C1186" s="5">
        <v>14</v>
      </c>
      <c r="D1186" s="5">
        <v>4</v>
      </c>
      <c r="E1186" s="5">
        <v>2010</v>
      </c>
      <c r="F1186" s="5" t="s">
        <v>18</v>
      </c>
      <c r="G1186" s="5" t="s">
        <v>6</v>
      </c>
      <c r="H1186" s="7">
        <v>2061</v>
      </c>
      <c r="I1186" s="7">
        <v>2367.83</v>
      </c>
      <c r="J1186" s="7">
        <v>306.82999999999993</v>
      </c>
      <c r="K1186" s="8">
        <v>0.14887433284813195</v>
      </c>
    </row>
    <row r="1187" spans="1:11" x14ac:dyDescent="0.3">
      <c r="A1187" s="5" t="s">
        <v>46</v>
      </c>
      <c r="B1187" s="6">
        <v>40270</v>
      </c>
      <c r="C1187" s="5">
        <v>14</v>
      </c>
      <c r="D1187" s="5">
        <v>4</v>
      </c>
      <c r="E1187" s="5">
        <v>2010</v>
      </c>
      <c r="F1187" s="5" t="s">
        <v>19</v>
      </c>
      <c r="G1187" s="5" t="s">
        <v>5</v>
      </c>
      <c r="H1187" s="7">
        <v>136810.81</v>
      </c>
      <c r="I1187" s="7">
        <v>153493.03</v>
      </c>
      <c r="J1187" s="7">
        <v>16682.22</v>
      </c>
      <c r="K1187" s="8">
        <v>0.12193641715884879</v>
      </c>
    </row>
    <row r="1188" spans="1:11" x14ac:dyDescent="0.3">
      <c r="A1188" s="5" t="s">
        <v>46</v>
      </c>
      <c r="B1188" s="6">
        <v>40270</v>
      </c>
      <c r="C1188" s="5">
        <v>14</v>
      </c>
      <c r="D1188" s="5">
        <v>4</v>
      </c>
      <c r="E1188" s="5">
        <v>2010</v>
      </c>
      <c r="F1188" s="5" t="s">
        <v>5</v>
      </c>
      <c r="G1188" s="5" t="s">
        <v>5</v>
      </c>
      <c r="H1188" s="7">
        <v>393166.54</v>
      </c>
      <c r="I1188" s="7">
        <v>407919.87</v>
      </c>
      <c r="J1188" s="7">
        <v>14753.330000000016</v>
      </c>
      <c r="K1188" s="8">
        <v>3.752437834613296E-2</v>
      </c>
    </row>
    <row r="1189" spans="1:11" x14ac:dyDescent="0.3">
      <c r="A1189" s="5" t="s">
        <v>46</v>
      </c>
      <c r="B1189" s="6">
        <v>40270</v>
      </c>
      <c r="C1189" s="5">
        <v>14</v>
      </c>
      <c r="D1189" s="5">
        <v>4</v>
      </c>
      <c r="E1189" s="5">
        <v>2010</v>
      </c>
      <c r="F1189" s="5" t="s">
        <v>20</v>
      </c>
      <c r="G1189" s="5" t="s">
        <v>5</v>
      </c>
      <c r="H1189" s="7">
        <v>91647.16</v>
      </c>
      <c r="I1189" s="7">
        <v>101688.68</v>
      </c>
      <c r="J1189" s="7">
        <v>10041.51999999999</v>
      </c>
      <c r="K1189" s="8">
        <v>0.10956717043932392</v>
      </c>
    </row>
    <row r="1190" spans="1:11" x14ac:dyDescent="0.3">
      <c r="A1190" s="5" t="s">
        <v>46</v>
      </c>
      <c r="B1190" s="6">
        <v>40270</v>
      </c>
      <c r="C1190" s="5">
        <v>14</v>
      </c>
      <c r="D1190" s="5">
        <v>4</v>
      </c>
      <c r="E1190" s="5">
        <v>2010</v>
      </c>
      <c r="F1190" s="5" t="s">
        <v>21</v>
      </c>
      <c r="G1190" s="5" t="s">
        <v>5</v>
      </c>
      <c r="H1190" s="7">
        <v>109888.58</v>
      </c>
      <c r="I1190" s="7">
        <v>118668.67</v>
      </c>
      <c r="J1190" s="7">
        <v>8780.0899999999965</v>
      </c>
      <c r="K1190" s="8">
        <v>7.9899931366844451E-2</v>
      </c>
    </row>
    <row r="1191" spans="1:11" x14ac:dyDescent="0.3">
      <c r="A1191" s="5" t="s">
        <v>46</v>
      </c>
      <c r="B1191" s="6">
        <v>40270</v>
      </c>
      <c r="C1191" s="5">
        <v>14</v>
      </c>
      <c r="D1191" s="5">
        <v>4</v>
      </c>
      <c r="E1191" s="5">
        <v>2010</v>
      </c>
      <c r="F1191" s="5" t="s">
        <v>22</v>
      </c>
      <c r="G1191" s="5" t="s">
        <v>8</v>
      </c>
      <c r="H1191" s="7">
        <v>250907.97</v>
      </c>
      <c r="I1191" s="7">
        <v>277475.5</v>
      </c>
      <c r="J1191" s="7">
        <v>26567.53</v>
      </c>
      <c r="K1191" s="8">
        <v>0.1058855563655471</v>
      </c>
    </row>
    <row r="1192" spans="1:11" x14ac:dyDescent="0.3">
      <c r="A1192" s="5" t="s">
        <v>46</v>
      </c>
      <c r="B1192" s="6">
        <v>40270</v>
      </c>
      <c r="C1192" s="5">
        <v>14</v>
      </c>
      <c r="D1192" s="5">
        <v>4</v>
      </c>
      <c r="E1192" s="5">
        <v>2010</v>
      </c>
      <c r="F1192" s="5" t="s">
        <v>23</v>
      </c>
      <c r="G1192" s="5" t="s">
        <v>8</v>
      </c>
      <c r="H1192" s="7">
        <v>93316.9</v>
      </c>
      <c r="I1192" s="7">
        <v>98880.18</v>
      </c>
      <c r="J1192" s="7">
        <v>5563.2799999999988</v>
      </c>
      <c r="K1192" s="8">
        <v>5.9617068290952646E-2</v>
      </c>
    </row>
    <row r="1193" spans="1:11" x14ac:dyDescent="0.3">
      <c r="A1193" s="5" t="s">
        <v>46</v>
      </c>
      <c r="B1193" s="6">
        <v>40270</v>
      </c>
      <c r="C1193" s="5">
        <v>14</v>
      </c>
      <c r="D1193" s="5">
        <v>4</v>
      </c>
      <c r="E1193" s="5">
        <v>2010</v>
      </c>
      <c r="F1193" s="5" t="s">
        <v>24</v>
      </c>
      <c r="G1193" s="5" t="s">
        <v>8</v>
      </c>
      <c r="H1193" s="7">
        <v>107077</v>
      </c>
      <c r="I1193" s="7">
        <v>116914.14</v>
      </c>
      <c r="J1193" s="7">
        <v>9837.14</v>
      </c>
      <c r="K1193" s="8">
        <v>9.1869775955620722E-2</v>
      </c>
    </row>
    <row r="1194" spans="1:11" x14ac:dyDescent="0.3">
      <c r="A1194" s="5" t="s">
        <v>46</v>
      </c>
      <c r="B1194" s="6">
        <v>40270</v>
      </c>
      <c r="C1194" s="5">
        <v>14</v>
      </c>
      <c r="D1194" s="5">
        <v>4</v>
      </c>
      <c r="E1194" s="5">
        <v>2010</v>
      </c>
      <c r="F1194" s="5" t="s">
        <v>25</v>
      </c>
      <c r="G1194" s="5" t="s">
        <v>8</v>
      </c>
      <c r="H1194" s="7">
        <v>11640</v>
      </c>
      <c r="I1194" s="7">
        <v>12346.88</v>
      </c>
      <c r="J1194" s="7">
        <v>706.8799999999992</v>
      </c>
      <c r="K1194" s="8">
        <v>6.0728522336769689E-2</v>
      </c>
    </row>
    <row r="1195" spans="1:11" x14ac:dyDescent="0.3">
      <c r="A1195" s="5" t="s">
        <v>46</v>
      </c>
      <c r="B1195" s="6">
        <v>40270</v>
      </c>
      <c r="C1195" s="5">
        <v>14</v>
      </c>
      <c r="D1195" s="5">
        <v>4</v>
      </c>
      <c r="E1195" s="5">
        <v>2010</v>
      </c>
      <c r="F1195" s="5" t="s">
        <v>26</v>
      </c>
      <c r="G1195" s="5" t="s">
        <v>10</v>
      </c>
      <c r="H1195" s="7">
        <v>715</v>
      </c>
      <c r="I1195" s="7">
        <v>821.97</v>
      </c>
      <c r="J1195" s="7">
        <v>106.97000000000003</v>
      </c>
      <c r="K1195" s="8">
        <v>0.14960839160839165</v>
      </c>
    </row>
    <row r="1196" spans="1:11" x14ac:dyDescent="0.3">
      <c r="A1196" s="5" t="s">
        <v>46</v>
      </c>
      <c r="B1196" s="6">
        <v>40270</v>
      </c>
      <c r="C1196" s="5">
        <v>14</v>
      </c>
      <c r="D1196" s="5">
        <v>4</v>
      </c>
      <c r="E1196" s="5">
        <v>2010</v>
      </c>
      <c r="F1196" s="5" t="s">
        <v>27</v>
      </c>
      <c r="G1196" s="5" t="s">
        <v>10</v>
      </c>
      <c r="H1196" s="7">
        <v>83399.17</v>
      </c>
      <c r="I1196" s="7">
        <v>95207.34</v>
      </c>
      <c r="J1196" s="7">
        <v>11808.169999999998</v>
      </c>
      <c r="K1196" s="8">
        <v>0.14158618125336259</v>
      </c>
    </row>
    <row r="1197" spans="1:11" x14ac:dyDescent="0.3">
      <c r="A1197" s="5" t="s">
        <v>46</v>
      </c>
      <c r="B1197" s="6">
        <v>40270</v>
      </c>
      <c r="C1197" s="5">
        <v>14</v>
      </c>
      <c r="D1197" s="5">
        <v>4</v>
      </c>
      <c r="E1197" s="5">
        <v>2010</v>
      </c>
      <c r="F1197" s="5" t="s">
        <v>28</v>
      </c>
      <c r="G1197" s="5" t="s">
        <v>10</v>
      </c>
      <c r="H1197" s="7">
        <v>44961.1</v>
      </c>
      <c r="I1197" s="7">
        <v>51548.58</v>
      </c>
      <c r="J1197" s="7">
        <v>6587.4800000000032</v>
      </c>
      <c r="K1197" s="8">
        <v>0.14651509860746298</v>
      </c>
    </row>
    <row r="1198" spans="1:11" x14ac:dyDescent="0.3">
      <c r="A1198" s="5" t="s">
        <v>46</v>
      </c>
      <c r="B1198" s="6">
        <v>40270</v>
      </c>
      <c r="C1198" s="5">
        <v>14</v>
      </c>
      <c r="D1198" s="5">
        <v>4</v>
      </c>
      <c r="E1198" s="5">
        <v>2010</v>
      </c>
      <c r="F1198" s="5" t="s">
        <v>29</v>
      </c>
      <c r="G1198" s="5" t="s">
        <v>10</v>
      </c>
      <c r="H1198" s="7">
        <v>287266</v>
      </c>
      <c r="I1198" s="7">
        <v>290238.43</v>
      </c>
      <c r="J1198" s="7">
        <v>2972.429999999993</v>
      </c>
      <c r="K1198" s="8">
        <v>1.0347308766091334E-2</v>
      </c>
    </row>
    <row r="1199" spans="1:11" x14ac:dyDescent="0.3">
      <c r="A1199" s="5" t="s">
        <v>46</v>
      </c>
      <c r="B1199" s="6">
        <v>40270</v>
      </c>
      <c r="C1199" s="5">
        <v>14</v>
      </c>
      <c r="D1199" s="5">
        <v>4</v>
      </c>
      <c r="E1199" s="5">
        <v>2010</v>
      </c>
      <c r="F1199" s="5" t="s">
        <v>30</v>
      </c>
      <c r="G1199" s="5" t="s">
        <v>10</v>
      </c>
      <c r="H1199" s="7">
        <v>61777.2</v>
      </c>
      <c r="I1199" s="7">
        <v>69704.160000000003</v>
      </c>
      <c r="J1199" s="7">
        <v>7926.9600000000064</v>
      </c>
      <c r="K1199" s="8">
        <v>0.12831530079058304</v>
      </c>
    </row>
    <row r="1200" spans="1:11" x14ac:dyDescent="0.3">
      <c r="A1200" s="5" t="s">
        <v>46</v>
      </c>
      <c r="B1200" s="6">
        <v>40270</v>
      </c>
      <c r="C1200" s="5">
        <v>14</v>
      </c>
      <c r="D1200" s="5">
        <v>4</v>
      </c>
      <c r="E1200" s="5">
        <v>2010</v>
      </c>
      <c r="F1200" s="5" t="s">
        <v>9</v>
      </c>
      <c r="G1200" s="5" t="s">
        <v>9</v>
      </c>
      <c r="H1200" s="7">
        <v>339354.08</v>
      </c>
      <c r="I1200" s="7">
        <v>407302.75</v>
      </c>
      <c r="J1200" s="7">
        <v>67948.669999999984</v>
      </c>
      <c r="K1200" s="8">
        <v>0.20022941819352807</v>
      </c>
    </row>
    <row r="1201" spans="1:11" x14ac:dyDescent="0.3">
      <c r="A1201" s="5" t="s">
        <v>46</v>
      </c>
      <c r="B1201" s="6">
        <v>40270</v>
      </c>
      <c r="C1201" s="5">
        <v>14</v>
      </c>
      <c r="D1201" s="5">
        <v>4</v>
      </c>
      <c r="E1201" s="5">
        <v>2010</v>
      </c>
      <c r="F1201" s="5" t="s">
        <v>31</v>
      </c>
      <c r="G1201" s="5" t="s">
        <v>7</v>
      </c>
      <c r="H1201" s="7">
        <v>53145.08</v>
      </c>
      <c r="I1201" s="7">
        <v>63398.07</v>
      </c>
      <c r="J1201" s="7">
        <v>10252.989999999998</v>
      </c>
      <c r="K1201" s="8">
        <v>0.19292453788760874</v>
      </c>
    </row>
    <row r="1202" spans="1:11" x14ac:dyDescent="0.3">
      <c r="A1202" s="5" t="s">
        <v>46</v>
      </c>
      <c r="B1202" s="6">
        <v>40270</v>
      </c>
      <c r="C1202" s="5">
        <v>14</v>
      </c>
      <c r="D1202" s="5">
        <v>4</v>
      </c>
      <c r="E1202" s="5">
        <v>2010</v>
      </c>
      <c r="F1202" s="5" t="s">
        <v>33</v>
      </c>
      <c r="G1202" s="5" t="s">
        <v>7</v>
      </c>
      <c r="H1202" s="7">
        <v>53581.79</v>
      </c>
      <c r="I1202" s="7">
        <v>104103.78</v>
      </c>
      <c r="J1202" s="7">
        <v>50521.99</v>
      </c>
      <c r="K1202" s="8">
        <v>0.94289477824462375</v>
      </c>
    </row>
    <row r="1203" spans="1:11" x14ac:dyDescent="0.3">
      <c r="A1203" s="5" t="s">
        <v>46</v>
      </c>
      <c r="B1203" s="6">
        <v>40270</v>
      </c>
      <c r="C1203" s="5">
        <v>14</v>
      </c>
      <c r="D1203" s="5">
        <v>4</v>
      </c>
      <c r="E1203" s="5">
        <v>2010</v>
      </c>
      <c r="F1203" s="5" t="s">
        <v>34</v>
      </c>
      <c r="G1203" s="5" t="s">
        <v>7</v>
      </c>
      <c r="H1203" s="7">
        <v>5387.8</v>
      </c>
      <c r="I1203" s="7">
        <v>5985.96</v>
      </c>
      <c r="J1203" s="7">
        <v>598.15999999999985</v>
      </c>
      <c r="K1203" s="8">
        <v>0.11102119603548755</v>
      </c>
    </row>
    <row r="1204" spans="1:11" x14ac:dyDescent="0.3">
      <c r="A1204" s="5" t="s">
        <v>46</v>
      </c>
      <c r="B1204" s="6">
        <v>40270</v>
      </c>
      <c r="C1204" s="5">
        <v>14</v>
      </c>
      <c r="D1204" s="5">
        <v>4</v>
      </c>
      <c r="E1204" s="5">
        <v>2010</v>
      </c>
      <c r="F1204" s="5" t="s">
        <v>35</v>
      </c>
      <c r="G1204" s="5" t="s">
        <v>11</v>
      </c>
      <c r="H1204" s="7">
        <v>5363.56</v>
      </c>
      <c r="I1204" s="7">
        <v>6575.03</v>
      </c>
      <c r="J1204" s="7">
        <v>1211.4699999999993</v>
      </c>
      <c r="K1204" s="8">
        <v>0.22587050391903871</v>
      </c>
    </row>
    <row r="1205" spans="1:11" x14ac:dyDescent="0.3">
      <c r="A1205" s="5" t="s">
        <v>46</v>
      </c>
      <c r="B1205" s="6">
        <v>40270</v>
      </c>
      <c r="C1205" s="5">
        <v>14</v>
      </c>
      <c r="D1205" s="5">
        <v>4</v>
      </c>
      <c r="E1205" s="5">
        <v>2010</v>
      </c>
      <c r="F1205" s="5" t="s">
        <v>36</v>
      </c>
      <c r="G1205" s="5" t="s">
        <v>11</v>
      </c>
      <c r="H1205" s="7">
        <v>137508.20000000001</v>
      </c>
      <c r="I1205" s="7">
        <v>126819.62</v>
      </c>
      <c r="J1205" s="7">
        <v>-10688.580000000016</v>
      </c>
      <c r="K1205" s="8">
        <v>-7.7730491708858207E-2</v>
      </c>
    </row>
    <row r="1206" spans="1:11" x14ac:dyDescent="0.3">
      <c r="A1206" s="5" t="s">
        <v>46</v>
      </c>
      <c r="B1206" s="6">
        <v>40270</v>
      </c>
      <c r="C1206" s="5">
        <v>14</v>
      </c>
      <c r="D1206" s="5">
        <v>4</v>
      </c>
      <c r="E1206" s="5">
        <v>2010</v>
      </c>
      <c r="F1206" s="5" t="s">
        <v>37</v>
      </c>
      <c r="G1206" s="5" t="s">
        <v>11</v>
      </c>
      <c r="H1206" s="7">
        <v>208681.4</v>
      </c>
      <c r="I1206" s="7">
        <v>227674.73</v>
      </c>
      <c r="J1206" s="7">
        <v>18993.330000000016</v>
      </c>
      <c r="K1206" s="8">
        <v>9.1015921878998401E-2</v>
      </c>
    </row>
    <row r="1207" spans="1:11" x14ac:dyDescent="0.3">
      <c r="A1207" s="5" t="s">
        <v>46</v>
      </c>
      <c r="B1207" s="6">
        <v>40270</v>
      </c>
      <c r="C1207" s="5">
        <v>14</v>
      </c>
      <c r="D1207" s="5">
        <v>4</v>
      </c>
      <c r="E1207" s="5">
        <v>2010</v>
      </c>
      <c r="F1207" s="5" t="s">
        <v>38</v>
      </c>
      <c r="G1207" s="5" t="s">
        <v>11</v>
      </c>
      <c r="H1207" s="7">
        <v>303342.19</v>
      </c>
      <c r="I1207" s="7">
        <v>304325.96000000002</v>
      </c>
      <c r="J1207" s="7">
        <v>983.77000000001863</v>
      </c>
      <c r="K1207" s="8">
        <v>3.2431031107147297E-3</v>
      </c>
    </row>
    <row r="1208" spans="1:11" x14ac:dyDescent="0.3">
      <c r="A1208" s="5" t="s">
        <v>46</v>
      </c>
      <c r="B1208" s="6">
        <v>40271</v>
      </c>
      <c r="C1208" s="5">
        <v>14</v>
      </c>
      <c r="D1208" s="5">
        <v>4</v>
      </c>
      <c r="E1208" s="5">
        <v>2010</v>
      </c>
      <c r="F1208" s="5" t="s">
        <v>14</v>
      </c>
      <c r="G1208" s="5" t="s">
        <v>6</v>
      </c>
      <c r="H1208" s="7">
        <v>5839</v>
      </c>
      <c r="I1208" s="7">
        <v>6704</v>
      </c>
      <c r="J1208" s="7">
        <v>865</v>
      </c>
      <c r="K1208" s="8">
        <v>0.14814180510361363</v>
      </c>
    </row>
    <row r="1209" spans="1:11" x14ac:dyDescent="0.3">
      <c r="A1209" s="5" t="s">
        <v>46</v>
      </c>
      <c r="B1209" s="6">
        <v>40271</v>
      </c>
      <c r="C1209" s="5">
        <v>14</v>
      </c>
      <c r="D1209" s="5">
        <v>4</v>
      </c>
      <c r="E1209" s="5">
        <v>2010</v>
      </c>
      <c r="F1209" s="5" t="s">
        <v>15</v>
      </c>
      <c r="G1209" s="5" t="s">
        <v>6</v>
      </c>
      <c r="H1209" s="7">
        <v>136170</v>
      </c>
      <c r="I1209" s="7">
        <v>171486</v>
      </c>
      <c r="J1209" s="7">
        <v>35316</v>
      </c>
      <c r="K1209" s="8">
        <v>0.25935228023793788</v>
      </c>
    </row>
    <row r="1210" spans="1:11" x14ac:dyDescent="0.3">
      <c r="A1210" s="5" t="s">
        <v>46</v>
      </c>
      <c r="B1210" s="6">
        <v>40271</v>
      </c>
      <c r="C1210" s="5">
        <v>14</v>
      </c>
      <c r="D1210" s="5">
        <v>4</v>
      </c>
      <c r="E1210" s="5">
        <v>2010</v>
      </c>
      <c r="F1210" s="5" t="s">
        <v>16</v>
      </c>
      <c r="G1210" s="5" t="s">
        <v>6</v>
      </c>
      <c r="H1210" s="7">
        <v>100423</v>
      </c>
      <c r="I1210" s="7">
        <v>112991</v>
      </c>
      <c r="J1210" s="7">
        <v>12568</v>
      </c>
      <c r="K1210" s="8">
        <v>0.1251506129074017</v>
      </c>
    </row>
    <row r="1211" spans="1:11" x14ac:dyDescent="0.3">
      <c r="A1211" s="5" t="s">
        <v>46</v>
      </c>
      <c r="B1211" s="6">
        <v>40271</v>
      </c>
      <c r="C1211" s="5">
        <v>14</v>
      </c>
      <c r="D1211" s="5">
        <v>4</v>
      </c>
      <c r="E1211" s="5">
        <v>2010</v>
      </c>
      <c r="F1211" s="5" t="s">
        <v>17</v>
      </c>
      <c r="G1211" s="5" t="s">
        <v>6</v>
      </c>
      <c r="H1211" s="7">
        <v>574</v>
      </c>
      <c r="I1211" s="7">
        <v>585</v>
      </c>
      <c r="J1211" s="7">
        <v>11</v>
      </c>
      <c r="K1211" s="8">
        <v>1.9163763066202089E-2</v>
      </c>
    </row>
    <row r="1212" spans="1:11" x14ac:dyDescent="0.3">
      <c r="A1212" s="5" t="s">
        <v>46</v>
      </c>
      <c r="B1212" s="6">
        <v>40271</v>
      </c>
      <c r="C1212" s="5">
        <v>14</v>
      </c>
      <c r="D1212" s="5">
        <v>4</v>
      </c>
      <c r="E1212" s="5">
        <v>2010</v>
      </c>
      <c r="F1212" s="5" t="s">
        <v>18</v>
      </c>
      <c r="G1212" s="5" t="s">
        <v>6</v>
      </c>
      <c r="H1212" s="7">
        <v>163</v>
      </c>
      <c r="I1212" s="7">
        <v>187</v>
      </c>
      <c r="J1212" s="7">
        <v>24</v>
      </c>
      <c r="K1212" s="8">
        <v>0.14723926380368099</v>
      </c>
    </row>
    <row r="1213" spans="1:11" x14ac:dyDescent="0.3">
      <c r="A1213" s="5" t="s">
        <v>46</v>
      </c>
      <c r="B1213" s="6">
        <v>40271</v>
      </c>
      <c r="C1213" s="5">
        <v>14</v>
      </c>
      <c r="D1213" s="5">
        <v>4</v>
      </c>
      <c r="E1213" s="5">
        <v>2010</v>
      </c>
      <c r="F1213" s="5" t="s">
        <v>19</v>
      </c>
      <c r="G1213" s="5" t="s">
        <v>5</v>
      </c>
      <c r="H1213" s="7">
        <v>97863</v>
      </c>
      <c r="I1213" s="7">
        <v>110455</v>
      </c>
      <c r="J1213" s="7">
        <v>12592</v>
      </c>
      <c r="K1213" s="8">
        <v>0.12866967086641529</v>
      </c>
    </row>
    <row r="1214" spans="1:11" x14ac:dyDescent="0.3">
      <c r="A1214" s="5" t="s">
        <v>46</v>
      </c>
      <c r="B1214" s="6">
        <v>40271</v>
      </c>
      <c r="C1214" s="5">
        <v>14</v>
      </c>
      <c r="D1214" s="5">
        <v>4</v>
      </c>
      <c r="E1214" s="5">
        <v>2010</v>
      </c>
      <c r="F1214" s="5" t="s">
        <v>5</v>
      </c>
      <c r="G1214" s="5" t="s">
        <v>5</v>
      </c>
      <c r="H1214" s="7">
        <v>317855</v>
      </c>
      <c r="I1214" s="7">
        <v>332415</v>
      </c>
      <c r="J1214" s="7">
        <v>14560</v>
      </c>
      <c r="K1214" s="8">
        <v>4.5807050384609332E-2</v>
      </c>
    </row>
    <row r="1215" spans="1:11" x14ac:dyDescent="0.3">
      <c r="A1215" s="5" t="s">
        <v>46</v>
      </c>
      <c r="B1215" s="6">
        <v>40271</v>
      </c>
      <c r="C1215" s="5">
        <v>14</v>
      </c>
      <c r="D1215" s="5">
        <v>4</v>
      </c>
      <c r="E1215" s="5">
        <v>2010</v>
      </c>
      <c r="F1215" s="5" t="s">
        <v>20</v>
      </c>
      <c r="G1215" s="5" t="s">
        <v>5</v>
      </c>
      <c r="H1215" s="7">
        <v>75298</v>
      </c>
      <c r="I1215" s="7">
        <v>83801</v>
      </c>
      <c r="J1215" s="7">
        <v>8503</v>
      </c>
      <c r="K1215" s="8">
        <v>0.11292464607293687</v>
      </c>
    </row>
    <row r="1216" spans="1:11" x14ac:dyDescent="0.3">
      <c r="A1216" s="5" t="s">
        <v>46</v>
      </c>
      <c r="B1216" s="6">
        <v>40271</v>
      </c>
      <c r="C1216" s="5">
        <v>14</v>
      </c>
      <c r="D1216" s="5">
        <v>4</v>
      </c>
      <c r="E1216" s="5">
        <v>2010</v>
      </c>
      <c r="F1216" s="5" t="s">
        <v>21</v>
      </c>
      <c r="G1216" s="5" t="s">
        <v>5</v>
      </c>
      <c r="H1216" s="7">
        <v>95106</v>
      </c>
      <c r="I1216" s="7">
        <v>102758</v>
      </c>
      <c r="J1216" s="7">
        <v>7652</v>
      </c>
      <c r="K1216" s="8">
        <v>8.0457594683826461E-2</v>
      </c>
    </row>
    <row r="1217" spans="1:11" x14ac:dyDescent="0.3">
      <c r="A1217" s="5" t="s">
        <v>46</v>
      </c>
      <c r="B1217" s="6">
        <v>40271</v>
      </c>
      <c r="C1217" s="5">
        <v>14</v>
      </c>
      <c r="D1217" s="5">
        <v>4</v>
      </c>
      <c r="E1217" s="5">
        <v>2010</v>
      </c>
      <c r="F1217" s="5" t="s">
        <v>22</v>
      </c>
      <c r="G1217" s="5" t="s">
        <v>8</v>
      </c>
      <c r="H1217" s="7">
        <v>286064</v>
      </c>
      <c r="I1217" s="7">
        <v>308395</v>
      </c>
      <c r="J1217" s="7">
        <v>22331</v>
      </c>
      <c r="K1217" s="8">
        <v>7.8062950948039597E-2</v>
      </c>
    </row>
    <row r="1218" spans="1:11" x14ac:dyDescent="0.3">
      <c r="A1218" s="5" t="s">
        <v>46</v>
      </c>
      <c r="B1218" s="6">
        <v>40271</v>
      </c>
      <c r="C1218" s="5">
        <v>14</v>
      </c>
      <c r="D1218" s="5">
        <v>4</v>
      </c>
      <c r="E1218" s="5">
        <v>2010</v>
      </c>
      <c r="F1218" s="5" t="s">
        <v>23</v>
      </c>
      <c r="G1218" s="5" t="s">
        <v>8</v>
      </c>
      <c r="H1218" s="7">
        <v>116619</v>
      </c>
      <c r="I1218" s="7">
        <v>122671</v>
      </c>
      <c r="J1218" s="7">
        <v>6052</v>
      </c>
      <c r="K1218" s="8">
        <v>5.189548872825183E-2</v>
      </c>
    </row>
    <row r="1219" spans="1:11" x14ac:dyDescent="0.3">
      <c r="A1219" s="5" t="s">
        <v>46</v>
      </c>
      <c r="B1219" s="6">
        <v>40271</v>
      </c>
      <c r="C1219" s="5">
        <v>14</v>
      </c>
      <c r="D1219" s="5">
        <v>4</v>
      </c>
      <c r="E1219" s="5">
        <v>2010</v>
      </c>
      <c r="F1219" s="5" t="s">
        <v>24</v>
      </c>
      <c r="G1219" s="5" t="s">
        <v>8</v>
      </c>
      <c r="H1219" s="7">
        <v>121411</v>
      </c>
      <c r="I1219" s="7">
        <v>132370</v>
      </c>
      <c r="J1219" s="7">
        <v>10959</v>
      </c>
      <c r="K1219" s="8">
        <v>9.0263649916399666E-2</v>
      </c>
    </row>
    <row r="1220" spans="1:11" x14ac:dyDescent="0.3">
      <c r="A1220" s="5" t="s">
        <v>46</v>
      </c>
      <c r="B1220" s="6">
        <v>40271</v>
      </c>
      <c r="C1220" s="5">
        <v>14</v>
      </c>
      <c r="D1220" s="5">
        <v>4</v>
      </c>
      <c r="E1220" s="5">
        <v>2010</v>
      </c>
      <c r="F1220" s="5" t="s">
        <v>25</v>
      </c>
      <c r="G1220" s="5" t="s">
        <v>8</v>
      </c>
      <c r="H1220" s="7">
        <v>9520</v>
      </c>
      <c r="I1220" s="7">
        <v>10166</v>
      </c>
      <c r="J1220" s="7">
        <v>646</v>
      </c>
      <c r="K1220" s="8">
        <v>6.7857142857142852E-2</v>
      </c>
    </row>
    <row r="1221" spans="1:11" x14ac:dyDescent="0.3">
      <c r="A1221" s="5" t="s">
        <v>46</v>
      </c>
      <c r="B1221" s="6">
        <v>40271</v>
      </c>
      <c r="C1221" s="5">
        <v>14</v>
      </c>
      <c r="D1221" s="5">
        <v>4</v>
      </c>
      <c r="E1221" s="5">
        <v>2010</v>
      </c>
      <c r="F1221" s="5" t="s">
        <v>27</v>
      </c>
      <c r="G1221" s="5" t="s">
        <v>10</v>
      </c>
      <c r="H1221" s="7">
        <v>60994</v>
      </c>
      <c r="I1221" s="7">
        <v>69661</v>
      </c>
      <c r="J1221" s="7">
        <v>8667</v>
      </c>
      <c r="K1221" s="8">
        <v>0.14209594386333083</v>
      </c>
    </row>
    <row r="1222" spans="1:11" x14ac:dyDescent="0.3">
      <c r="A1222" s="5" t="s">
        <v>46</v>
      </c>
      <c r="B1222" s="6">
        <v>40271</v>
      </c>
      <c r="C1222" s="5">
        <v>14</v>
      </c>
      <c r="D1222" s="5">
        <v>4</v>
      </c>
      <c r="E1222" s="5">
        <v>2010</v>
      </c>
      <c r="F1222" s="5" t="s">
        <v>28</v>
      </c>
      <c r="G1222" s="5" t="s">
        <v>10</v>
      </c>
      <c r="H1222" s="7">
        <v>32953</v>
      </c>
      <c r="I1222" s="7">
        <v>37661</v>
      </c>
      <c r="J1222" s="7">
        <v>4708</v>
      </c>
      <c r="K1222" s="8">
        <v>0.14287014839316603</v>
      </c>
    </row>
    <row r="1223" spans="1:11" x14ac:dyDescent="0.3">
      <c r="A1223" s="5" t="s">
        <v>46</v>
      </c>
      <c r="B1223" s="6">
        <v>40271</v>
      </c>
      <c r="C1223" s="5">
        <v>14</v>
      </c>
      <c r="D1223" s="5">
        <v>4</v>
      </c>
      <c r="E1223" s="5">
        <v>2010</v>
      </c>
      <c r="F1223" s="5" t="s">
        <v>29</v>
      </c>
      <c r="G1223" s="5" t="s">
        <v>10</v>
      </c>
      <c r="H1223" s="7">
        <v>304855</v>
      </c>
      <c r="I1223" s="7">
        <v>293684</v>
      </c>
      <c r="J1223" s="7">
        <v>-11171</v>
      </c>
      <c r="K1223" s="8">
        <v>-3.6643650259959651E-2</v>
      </c>
    </row>
    <row r="1224" spans="1:11" x14ac:dyDescent="0.3">
      <c r="A1224" s="5" t="s">
        <v>46</v>
      </c>
      <c r="B1224" s="6">
        <v>40271</v>
      </c>
      <c r="C1224" s="5">
        <v>14</v>
      </c>
      <c r="D1224" s="5">
        <v>4</v>
      </c>
      <c r="E1224" s="5">
        <v>2010</v>
      </c>
      <c r="F1224" s="5" t="s">
        <v>30</v>
      </c>
      <c r="G1224" s="5" t="s">
        <v>10</v>
      </c>
      <c r="H1224" s="7">
        <v>76400</v>
      </c>
      <c r="I1224" s="7">
        <v>85934</v>
      </c>
      <c r="J1224" s="7">
        <v>9534</v>
      </c>
      <c r="K1224" s="8">
        <v>0.12479057591623037</v>
      </c>
    </row>
    <row r="1225" spans="1:11" x14ac:dyDescent="0.3">
      <c r="A1225" s="5" t="s">
        <v>46</v>
      </c>
      <c r="B1225" s="6">
        <v>40271</v>
      </c>
      <c r="C1225" s="5">
        <v>14</v>
      </c>
      <c r="D1225" s="5">
        <v>4</v>
      </c>
      <c r="E1225" s="5">
        <v>2010</v>
      </c>
      <c r="F1225" s="5" t="s">
        <v>9</v>
      </c>
      <c r="G1225" s="5" t="s">
        <v>9</v>
      </c>
      <c r="H1225" s="7">
        <v>398149</v>
      </c>
      <c r="I1225" s="7">
        <v>468555</v>
      </c>
      <c r="J1225" s="7">
        <v>70406</v>
      </c>
      <c r="K1225" s="8">
        <v>0.17683329607759909</v>
      </c>
    </row>
    <row r="1226" spans="1:11" x14ac:dyDescent="0.3">
      <c r="A1226" s="5" t="s">
        <v>46</v>
      </c>
      <c r="B1226" s="6">
        <v>40271</v>
      </c>
      <c r="C1226" s="5">
        <v>14</v>
      </c>
      <c r="D1226" s="5">
        <v>4</v>
      </c>
      <c r="E1226" s="5">
        <v>2010</v>
      </c>
      <c r="F1226" s="5" t="s">
        <v>31</v>
      </c>
      <c r="G1226" s="5" t="s">
        <v>7</v>
      </c>
      <c r="H1226" s="7">
        <v>59895</v>
      </c>
      <c r="I1226" s="7">
        <v>69707</v>
      </c>
      <c r="J1226" s="7">
        <v>9812</v>
      </c>
      <c r="K1226" s="8">
        <v>0.16382001836547291</v>
      </c>
    </row>
    <row r="1227" spans="1:11" x14ac:dyDescent="0.3">
      <c r="A1227" s="5" t="s">
        <v>46</v>
      </c>
      <c r="B1227" s="6">
        <v>40271</v>
      </c>
      <c r="C1227" s="5">
        <v>14</v>
      </c>
      <c r="D1227" s="5">
        <v>4</v>
      </c>
      <c r="E1227" s="5">
        <v>2010</v>
      </c>
      <c r="F1227" s="5" t="s">
        <v>33</v>
      </c>
      <c r="G1227" s="5" t="s">
        <v>7</v>
      </c>
      <c r="H1227" s="7">
        <v>54782</v>
      </c>
      <c r="I1227" s="7">
        <v>108519</v>
      </c>
      <c r="J1227" s="7">
        <v>53737</v>
      </c>
      <c r="K1227" s="8">
        <v>0.98092439122339459</v>
      </c>
    </row>
    <row r="1228" spans="1:11" x14ac:dyDescent="0.3">
      <c r="A1228" s="5" t="s">
        <v>46</v>
      </c>
      <c r="B1228" s="6">
        <v>40271</v>
      </c>
      <c r="C1228" s="5">
        <v>14</v>
      </c>
      <c r="D1228" s="5">
        <v>4</v>
      </c>
      <c r="E1228" s="5">
        <v>2010</v>
      </c>
      <c r="F1228" s="5" t="s">
        <v>34</v>
      </c>
      <c r="G1228" s="5" t="s">
        <v>7</v>
      </c>
      <c r="H1228" s="7">
        <v>3743</v>
      </c>
      <c r="I1228" s="7">
        <v>4158</v>
      </c>
      <c r="J1228" s="7">
        <v>415</v>
      </c>
      <c r="K1228" s="8">
        <v>0.11087363077745124</v>
      </c>
    </row>
    <row r="1229" spans="1:11" x14ac:dyDescent="0.3">
      <c r="A1229" s="5" t="s">
        <v>46</v>
      </c>
      <c r="B1229" s="6">
        <v>40271</v>
      </c>
      <c r="C1229" s="5">
        <v>14</v>
      </c>
      <c r="D1229" s="5">
        <v>4</v>
      </c>
      <c r="E1229" s="5">
        <v>2010</v>
      </c>
      <c r="F1229" s="5" t="s">
        <v>35</v>
      </c>
      <c r="G1229" s="5" t="s">
        <v>11</v>
      </c>
      <c r="H1229" s="7">
        <v>4095</v>
      </c>
      <c r="I1229" s="7">
        <v>4926</v>
      </c>
      <c r="J1229" s="7">
        <v>831</v>
      </c>
      <c r="K1229" s="8">
        <v>0.20293040293040293</v>
      </c>
    </row>
    <row r="1230" spans="1:11" x14ac:dyDescent="0.3">
      <c r="A1230" s="5" t="s">
        <v>46</v>
      </c>
      <c r="B1230" s="6">
        <v>40271</v>
      </c>
      <c r="C1230" s="5">
        <v>14</v>
      </c>
      <c r="D1230" s="5">
        <v>4</v>
      </c>
      <c r="E1230" s="5">
        <v>2010</v>
      </c>
      <c r="F1230" s="5" t="s">
        <v>36</v>
      </c>
      <c r="G1230" s="5" t="s">
        <v>11</v>
      </c>
      <c r="H1230" s="7">
        <v>128017</v>
      </c>
      <c r="I1230" s="7">
        <v>132853</v>
      </c>
      <c r="J1230" s="7">
        <v>4836</v>
      </c>
      <c r="K1230" s="8">
        <v>3.7776232844075393E-2</v>
      </c>
    </row>
    <row r="1231" spans="1:11" x14ac:dyDescent="0.3">
      <c r="A1231" s="5" t="s">
        <v>46</v>
      </c>
      <c r="B1231" s="6">
        <v>40271</v>
      </c>
      <c r="C1231" s="5">
        <v>14</v>
      </c>
      <c r="D1231" s="5">
        <v>4</v>
      </c>
      <c r="E1231" s="5">
        <v>2010</v>
      </c>
      <c r="F1231" s="5" t="s">
        <v>37</v>
      </c>
      <c r="G1231" s="5" t="s">
        <v>11</v>
      </c>
      <c r="H1231" s="7">
        <v>214558</v>
      </c>
      <c r="I1231" s="7">
        <v>233510</v>
      </c>
      <c r="J1231" s="7">
        <v>18952</v>
      </c>
      <c r="K1231" s="8">
        <v>8.8330428135981881E-2</v>
      </c>
    </row>
    <row r="1232" spans="1:11" x14ac:dyDescent="0.3">
      <c r="A1232" s="5" t="s">
        <v>46</v>
      </c>
      <c r="B1232" s="6">
        <v>40271</v>
      </c>
      <c r="C1232" s="5">
        <v>14</v>
      </c>
      <c r="D1232" s="5">
        <v>4</v>
      </c>
      <c r="E1232" s="5">
        <v>2010</v>
      </c>
      <c r="F1232" s="5" t="s">
        <v>38</v>
      </c>
      <c r="G1232" s="5" t="s">
        <v>11</v>
      </c>
      <c r="H1232" s="7">
        <v>235400</v>
      </c>
      <c r="I1232" s="7">
        <v>241223</v>
      </c>
      <c r="J1232" s="7">
        <v>5823</v>
      </c>
      <c r="K1232" s="8">
        <v>2.4736618521665251E-2</v>
      </c>
    </row>
    <row r="1233" spans="1:11" x14ac:dyDescent="0.3">
      <c r="A1233" s="5" t="s">
        <v>46</v>
      </c>
      <c r="B1233" s="6">
        <v>40272</v>
      </c>
      <c r="C1233" s="5">
        <v>15</v>
      </c>
      <c r="D1233" s="5">
        <v>4</v>
      </c>
      <c r="E1233" s="5">
        <v>2010</v>
      </c>
      <c r="F1233" s="5" t="s">
        <v>14</v>
      </c>
      <c r="G1233" s="5" t="s">
        <v>6</v>
      </c>
      <c r="H1233" s="7">
        <v>2357</v>
      </c>
      <c r="I1233" s="7">
        <v>2769</v>
      </c>
      <c r="J1233" s="7">
        <v>412</v>
      </c>
      <c r="K1233" s="8">
        <v>0.17479847263470513</v>
      </c>
    </row>
    <row r="1234" spans="1:11" x14ac:dyDescent="0.3">
      <c r="A1234" s="5" t="s">
        <v>46</v>
      </c>
      <c r="B1234" s="6">
        <v>40272</v>
      </c>
      <c r="C1234" s="5">
        <v>15</v>
      </c>
      <c r="D1234" s="5">
        <v>4</v>
      </c>
      <c r="E1234" s="5">
        <v>2010</v>
      </c>
      <c r="F1234" s="5" t="s">
        <v>15</v>
      </c>
      <c r="G1234" s="5" t="s">
        <v>6</v>
      </c>
      <c r="H1234" s="7">
        <v>67254</v>
      </c>
      <c r="I1234" s="7">
        <v>80950</v>
      </c>
      <c r="J1234" s="7">
        <v>13696</v>
      </c>
      <c r="K1234" s="8">
        <v>0.20364587979897106</v>
      </c>
    </row>
    <row r="1235" spans="1:11" x14ac:dyDescent="0.3">
      <c r="A1235" s="5" t="s">
        <v>46</v>
      </c>
      <c r="B1235" s="6">
        <v>40272</v>
      </c>
      <c r="C1235" s="5">
        <v>15</v>
      </c>
      <c r="D1235" s="5">
        <v>4</v>
      </c>
      <c r="E1235" s="5">
        <v>2010</v>
      </c>
      <c r="F1235" s="5" t="s">
        <v>16</v>
      </c>
      <c r="G1235" s="5" t="s">
        <v>6</v>
      </c>
      <c r="H1235" s="7">
        <v>57924</v>
      </c>
      <c r="I1235" s="7">
        <v>65517</v>
      </c>
      <c r="J1235" s="7">
        <v>7593</v>
      </c>
      <c r="K1235" s="8">
        <v>0.13108556038947586</v>
      </c>
    </row>
    <row r="1236" spans="1:11" x14ac:dyDescent="0.3">
      <c r="A1236" s="5" t="s">
        <v>46</v>
      </c>
      <c r="B1236" s="6">
        <v>40272</v>
      </c>
      <c r="C1236" s="5">
        <v>15</v>
      </c>
      <c r="D1236" s="5">
        <v>4</v>
      </c>
      <c r="E1236" s="5">
        <v>2010</v>
      </c>
      <c r="F1236" s="5" t="s">
        <v>18</v>
      </c>
      <c r="G1236" s="5" t="s">
        <v>6</v>
      </c>
      <c r="H1236" s="7">
        <v>2310</v>
      </c>
      <c r="I1236" s="7">
        <v>2525</v>
      </c>
      <c r="J1236" s="7">
        <v>215</v>
      </c>
      <c r="K1236" s="8">
        <v>9.3073593073593072E-2</v>
      </c>
    </row>
    <row r="1237" spans="1:11" x14ac:dyDescent="0.3">
      <c r="A1237" s="5" t="s">
        <v>46</v>
      </c>
      <c r="B1237" s="6">
        <v>40272</v>
      </c>
      <c r="C1237" s="5">
        <v>15</v>
      </c>
      <c r="D1237" s="5">
        <v>4</v>
      </c>
      <c r="E1237" s="5">
        <v>2010</v>
      </c>
      <c r="F1237" s="5" t="s">
        <v>19</v>
      </c>
      <c r="G1237" s="5" t="s">
        <v>5</v>
      </c>
      <c r="H1237" s="7">
        <v>83466</v>
      </c>
      <c r="I1237" s="7">
        <v>93502</v>
      </c>
      <c r="J1237" s="7">
        <v>10036</v>
      </c>
      <c r="K1237" s="8">
        <v>0.12024057700141375</v>
      </c>
    </row>
    <row r="1238" spans="1:11" x14ac:dyDescent="0.3">
      <c r="A1238" s="5" t="s">
        <v>46</v>
      </c>
      <c r="B1238" s="6">
        <v>40272</v>
      </c>
      <c r="C1238" s="5">
        <v>15</v>
      </c>
      <c r="D1238" s="5">
        <v>4</v>
      </c>
      <c r="E1238" s="5">
        <v>2010</v>
      </c>
      <c r="F1238" s="5" t="s">
        <v>5</v>
      </c>
      <c r="G1238" s="5" t="s">
        <v>5</v>
      </c>
      <c r="H1238" s="7">
        <v>233493</v>
      </c>
      <c r="I1238" s="7">
        <v>245884</v>
      </c>
      <c r="J1238" s="7">
        <v>12391</v>
      </c>
      <c r="K1238" s="8">
        <v>5.3067972059119548E-2</v>
      </c>
    </row>
    <row r="1239" spans="1:11" x14ac:dyDescent="0.3">
      <c r="A1239" s="5" t="s">
        <v>46</v>
      </c>
      <c r="B1239" s="6">
        <v>40272</v>
      </c>
      <c r="C1239" s="5">
        <v>15</v>
      </c>
      <c r="D1239" s="5">
        <v>4</v>
      </c>
      <c r="E1239" s="5">
        <v>2010</v>
      </c>
      <c r="F1239" s="5" t="s">
        <v>20</v>
      </c>
      <c r="G1239" s="5" t="s">
        <v>5</v>
      </c>
      <c r="H1239" s="7">
        <v>35717</v>
      </c>
      <c r="I1239" s="7">
        <v>39375</v>
      </c>
      <c r="J1239" s="7">
        <v>3658</v>
      </c>
      <c r="K1239" s="8">
        <v>0.10241621636755606</v>
      </c>
    </row>
    <row r="1240" spans="1:11" x14ac:dyDescent="0.3">
      <c r="A1240" s="5" t="s">
        <v>46</v>
      </c>
      <c r="B1240" s="6">
        <v>40272</v>
      </c>
      <c r="C1240" s="5">
        <v>15</v>
      </c>
      <c r="D1240" s="5">
        <v>4</v>
      </c>
      <c r="E1240" s="5">
        <v>2010</v>
      </c>
      <c r="F1240" s="5" t="s">
        <v>21</v>
      </c>
      <c r="G1240" s="5" t="s">
        <v>5</v>
      </c>
      <c r="H1240" s="7">
        <v>72057</v>
      </c>
      <c r="I1240" s="7">
        <v>77177</v>
      </c>
      <c r="J1240" s="7">
        <v>5120</v>
      </c>
      <c r="K1240" s="8">
        <v>7.1054859347461044E-2</v>
      </c>
    </row>
    <row r="1241" spans="1:11" x14ac:dyDescent="0.3">
      <c r="A1241" s="5" t="s">
        <v>46</v>
      </c>
      <c r="B1241" s="6">
        <v>40272</v>
      </c>
      <c r="C1241" s="5">
        <v>15</v>
      </c>
      <c r="D1241" s="5">
        <v>4</v>
      </c>
      <c r="E1241" s="5">
        <v>2010</v>
      </c>
      <c r="F1241" s="5" t="s">
        <v>22</v>
      </c>
      <c r="G1241" s="5" t="s">
        <v>8</v>
      </c>
      <c r="H1241" s="7">
        <v>189148</v>
      </c>
      <c r="I1241" s="7">
        <v>208383</v>
      </c>
      <c r="J1241" s="7">
        <v>19235</v>
      </c>
      <c r="K1241" s="8">
        <v>0.10169285427284455</v>
      </c>
    </row>
    <row r="1242" spans="1:11" x14ac:dyDescent="0.3">
      <c r="A1242" s="5" t="s">
        <v>46</v>
      </c>
      <c r="B1242" s="6">
        <v>40272</v>
      </c>
      <c r="C1242" s="5">
        <v>15</v>
      </c>
      <c r="D1242" s="5">
        <v>4</v>
      </c>
      <c r="E1242" s="5">
        <v>2010</v>
      </c>
      <c r="F1242" s="5" t="s">
        <v>23</v>
      </c>
      <c r="G1242" s="5" t="s">
        <v>8</v>
      </c>
      <c r="H1242" s="7">
        <v>54293</v>
      </c>
      <c r="I1242" s="7">
        <v>57719</v>
      </c>
      <c r="J1242" s="7">
        <v>3426</v>
      </c>
      <c r="K1242" s="8">
        <v>6.3102057355460192E-2</v>
      </c>
    </row>
    <row r="1243" spans="1:11" x14ac:dyDescent="0.3">
      <c r="A1243" s="5" t="s">
        <v>46</v>
      </c>
      <c r="B1243" s="6">
        <v>40272</v>
      </c>
      <c r="C1243" s="5">
        <v>15</v>
      </c>
      <c r="D1243" s="5">
        <v>4</v>
      </c>
      <c r="E1243" s="5">
        <v>2010</v>
      </c>
      <c r="F1243" s="5" t="s">
        <v>24</v>
      </c>
      <c r="G1243" s="5" t="s">
        <v>8</v>
      </c>
      <c r="H1243" s="7">
        <v>52801</v>
      </c>
      <c r="I1243" s="7">
        <v>58588</v>
      </c>
      <c r="J1243" s="7">
        <v>5787</v>
      </c>
      <c r="K1243" s="8">
        <v>0.10960019696596655</v>
      </c>
    </row>
    <row r="1244" spans="1:11" x14ac:dyDescent="0.3">
      <c r="A1244" s="5" t="s">
        <v>46</v>
      </c>
      <c r="B1244" s="6">
        <v>40272</v>
      </c>
      <c r="C1244" s="5">
        <v>15</v>
      </c>
      <c r="D1244" s="5">
        <v>4</v>
      </c>
      <c r="E1244" s="5">
        <v>2010</v>
      </c>
      <c r="F1244" s="5" t="s">
        <v>25</v>
      </c>
      <c r="G1244" s="5" t="s">
        <v>8</v>
      </c>
      <c r="H1244" s="7">
        <v>3192</v>
      </c>
      <c r="I1244" s="7">
        <v>3550</v>
      </c>
      <c r="J1244" s="7">
        <v>358</v>
      </c>
      <c r="K1244" s="8">
        <v>0.11215538847117794</v>
      </c>
    </row>
    <row r="1245" spans="1:11" x14ac:dyDescent="0.3">
      <c r="A1245" s="5" t="s">
        <v>46</v>
      </c>
      <c r="B1245" s="6">
        <v>40272</v>
      </c>
      <c r="C1245" s="5">
        <v>15</v>
      </c>
      <c r="D1245" s="5">
        <v>4</v>
      </c>
      <c r="E1245" s="5">
        <v>2010</v>
      </c>
      <c r="F1245" s="5" t="s">
        <v>27</v>
      </c>
      <c r="G1245" s="5" t="s">
        <v>10</v>
      </c>
      <c r="H1245" s="7">
        <v>15507</v>
      </c>
      <c r="I1245" s="7">
        <v>17672</v>
      </c>
      <c r="J1245" s="7">
        <v>2165</v>
      </c>
      <c r="K1245" s="8">
        <v>0.13961436770490745</v>
      </c>
    </row>
    <row r="1246" spans="1:11" x14ac:dyDescent="0.3">
      <c r="A1246" s="5" t="s">
        <v>46</v>
      </c>
      <c r="B1246" s="6">
        <v>40272</v>
      </c>
      <c r="C1246" s="5">
        <v>15</v>
      </c>
      <c r="D1246" s="5">
        <v>4</v>
      </c>
      <c r="E1246" s="5">
        <v>2010</v>
      </c>
      <c r="F1246" s="5" t="s">
        <v>28</v>
      </c>
      <c r="G1246" s="5" t="s">
        <v>10</v>
      </c>
      <c r="H1246" s="7">
        <v>16796</v>
      </c>
      <c r="I1246" s="7">
        <v>19185</v>
      </c>
      <c r="J1246" s="7">
        <v>2389</v>
      </c>
      <c r="K1246" s="8">
        <v>0.14223624672541083</v>
      </c>
    </row>
    <row r="1247" spans="1:11" x14ac:dyDescent="0.3">
      <c r="A1247" s="5" t="s">
        <v>46</v>
      </c>
      <c r="B1247" s="6">
        <v>40272</v>
      </c>
      <c r="C1247" s="5">
        <v>15</v>
      </c>
      <c r="D1247" s="5">
        <v>4</v>
      </c>
      <c r="E1247" s="5">
        <v>2010</v>
      </c>
      <c r="F1247" s="5" t="s">
        <v>29</v>
      </c>
      <c r="G1247" s="5" t="s">
        <v>10</v>
      </c>
      <c r="H1247" s="7">
        <v>195708</v>
      </c>
      <c r="I1247" s="7">
        <v>185568</v>
      </c>
      <c r="J1247" s="7">
        <v>-10140</v>
      </c>
      <c r="K1247" s="8">
        <v>-5.1811883009381325E-2</v>
      </c>
    </row>
    <row r="1248" spans="1:11" x14ac:dyDescent="0.3">
      <c r="A1248" s="5" t="s">
        <v>46</v>
      </c>
      <c r="B1248" s="6">
        <v>40272</v>
      </c>
      <c r="C1248" s="5">
        <v>15</v>
      </c>
      <c r="D1248" s="5">
        <v>4</v>
      </c>
      <c r="E1248" s="5">
        <v>2010</v>
      </c>
      <c r="F1248" s="5" t="s">
        <v>30</v>
      </c>
      <c r="G1248" s="5" t="s">
        <v>10</v>
      </c>
      <c r="H1248" s="7">
        <v>36283</v>
      </c>
      <c r="I1248" s="7">
        <v>40839</v>
      </c>
      <c r="J1248" s="7">
        <v>4556</v>
      </c>
      <c r="K1248" s="8">
        <v>0.12556844803351433</v>
      </c>
    </row>
    <row r="1249" spans="1:11" x14ac:dyDescent="0.3">
      <c r="A1249" s="5" t="s">
        <v>46</v>
      </c>
      <c r="B1249" s="6">
        <v>40272</v>
      </c>
      <c r="C1249" s="5">
        <v>15</v>
      </c>
      <c r="D1249" s="5">
        <v>4</v>
      </c>
      <c r="E1249" s="5">
        <v>2010</v>
      </c>
      <c r="F1249" s="5" t="s">
        <v>9</v>
      </c>
      <c r="G1249" s="5" t="s">
        <v>9</v>
      </c>
      <c r="H1249" s="7">
        <v>217658</v>
      </c>
      <c r="I1249" s="7">
        <v>256537</v>
      </c>
      <c r="J1249" s="7">
        <v>38879</v>
      </c>
      <c r="K1249" s="8">
        <v>0.17862426375322754</v>
      </c>
    </row>
    <row r="1250" spans="1:11" x14ac:dyDescent="0.3">
      <c r="A1250" s="5" t="s">
        <v>46</v>
      </c>
      <c r="B1250" s="6">
        <v>40272</v>
      </c>
      <c r="C1250" s="5">
        <v>15</v>
      </c>
      <c r="D1250" s="5">
        <v>4</v>
      </c>
      <c r="E1250" s="5">
        <v>2010</v>
      </c>
      <c r="F1250" s="5" t="s">
        <v>31</v>
      </c>
      <c r="G1250" s="5" t="s">
        <v>7</v>
      </c>
      <c r="H1250" s="7">
        <v>38154</v>
      </c>
      <c r="I1250" s="7">
        <v>45103</v>
      </c>
      <c r="J1250" s="7">
        <v>6949</v>
      </c>
      <c r="K1250" s="8">
        <v>0.1821303139906694</v>
      </c>
    </row>
    <row r="1251" spans="1:11" x14ac:dyDescent="0.3">
      <c r="A1251" s="5" t="s">
        <v>46</v>
      </c>
      <c r="B1251" s="6">
        <v>40272</v>
      </c>
      <c r="C1251" s="5">
        <v>15</v>
      </c>
      <c r="D1251" s="5">
        <v>4</v>
      </c>
      <c r="E1251" s="5">
        <v>2010</v>
      </c>
      <c r="F1251" s="5" t="s">
        <v>33</v>
      </c>
      <c r="G1251" s="5" t="s">
        <v>7</v>
      </c>
      <c r="H1251" s="7">
        <v>30205</v>
      </c>
      <c r="I1251" s="7">
        <v>59178</v>
      </c>
      <c r="J1251" s="7">
        <v>28973</v>
      </c>
      <c r="K1251" s="8">
        <v>0.95921205098493623</v>
      </c>
    </row>
    <row r="1252" spans="1:11" x14ac:dyDescent="0.3">
      <c r="A1252" s="5" t="s">
        <v>46</v>
      </c>
      <c r="B1252" s="6">
        <v>40272</v>
      </c>
      <c r="C1252" s="5">
        <v>15</v>
      </c>
      <c r="D1252" s="5">
        <v>4</v>
      </c>
      <c r="E1252" s="5">
        <v>2010</v>
      </c>
      <c r="F1252" s="5" t="s">
        <v>34</v>
      </c>
      <c r="G1252" s="5" t="s">
        <v>7</v>
      </c>
      <c r="H1252" s="7">
        <v>2151</v>
      </c>
      <c r="I1252" s="7">
        <v>2390</v>
      </c>
      <c r="J1252" s="7">
        <v>239</v>
      </c>
      <c r="K1252" s="8">
        <v>0.1111111111111111</v>
      </c>
    </row>
    <row r="1253" spans="1:11" x14ac:dyDescent="0.3">
      <c r="A1253" s="5" t="s">
        <v>46</v>
      </c>
      <c r="B1253" s="6">
        <v>40272</v>
      </c>
      <c r="C1253" s="5">
        <v>15</v>
      </c>
      <c r="D1253" s="5">
        <v>4</v>
      </c>
      <c r="E1253" s="5">
        <v>2010</v>
      </c>
      <c r="F1253" s="5" t="s">
        <v>35</v>
      </c>
      <c r="G1253" s="5" t="s">
        <v>11</v>
      </c>
      <c r="H1253" s="7">
        <v>426</v>
      </c>
      <c r="I1253" s="7">
        <v>554</v>
      </c>
      <c r="J1253" s="7">
        <v>128</v>
      </c>
      <c r="K1253" s="8">
        <v>0.30046948356807512</v>
      </c>
    </row>
    <row r="1254" spans="1:11" x14ac:dyDescent="0.3">
      <c r="A1254" s="5" t="s">
        <v>46</v>
      </c>
      <c r="B1254" s="6">
        <v>40272</v>
      </c>
      <c r="C1254" s="5">
        <v>15</v>
      </c>
      <c r="D1254" s="5">
        <v>4</v>
      </c>
      <c r="E1254" s="5">
        <v>2010</v>
      </c>
      <c r="F1254" s="5" t="s">
        <v>36</v>
      </c>
      <c r="G1254" s="5" t="s">
        <v>11</v>
      </c>
      <c r="H1254" s="7">
        <v>103868</v>
      </c>
      <c r="I1254" s="7">
        <v>98510</v>
      </c>
      <c r="J1254" s="7">
        <v>-5358</v>
      </c>
      <c r="K1254" s="8">
        <v>-5.1584703662340664E-2</v>
      </c>
    </row>
    <row r="1255" spans="1:11" x14ac:dyDescent="0.3">
      <c r="A1255" s="5" t="s">
        <v>46</v>
      </c>
      <c r="B1255" s="6">
        <v>40272</v>
      </c>
      <c r="C1255" s="5">
        <v>15</v>
      </c>
      <c r="D1255" s="5">
        <v>4</v>
      </c>
      <c r="E1255" s="5">
        <v>2010</v>
      </c>
      <c r="F1255" s="5" t="s">
        <v>37</v>
      </c>
      <c r="G1255" s="5" t="s">
        <v>11</v>
      </c>
      <c r="H1255" s="7">
        <v>134145</v>
      </c>
      <c r="I1255" s="7">
        <v>145804</v>
      </c>
      <c r="J1255" s="7">
        <v>11659</v>
      </c>
      <c r="K1255" s="8">
        <v>8.691341458869134E-2</v>
      </c>
    </row>
    <row r="1256" spans="1:11" x14ac:dyDescent="0.3">
      <c r="A1256" s="5" t="s">
        <v>46</v>
      </c>
      <c r="B1256" s="6">
        <v>40272</v>
      </c>
      <c r="C1256" s="5">
        <v>15</v>
      </c>
      <c r="D1256" s="5">
        <v>4</v>
      </c>
      <c r="E1256" s="5">
        <v>2010</v>
      </c>
      <c r="F1256" s="5" t="s">
        <v>38</v>
      </c>
      <c r="G1256" s="5" t="s">
        <v>11</v>
      </c>
      <c r="H1256" s="7">
        <v>185261</v>
      </c>
      <c r="I1256" s="7">
        <v>188518</v>
      </c>
      <c r="J1256" s="7">
        <v>3257</v>
      </c>
      <c r="K1256" s="8">
        <v>1.7580602501335953E-2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9"/>
  <sheetViews>
    <sheetView tabSelected="1" workbookViewId="0">
      <selection activeCell="A3" sqref="A3"/>
    </sheetView>
  </sheetViews>
  <sheetFormatPr defaultRowHeight="14.4" x14ac:dyDescent="0.3"/>
  <cols>
    <col min="1" max="1" width="24.5546875" customWidth="1"/>
    <col min="2" max="2" width="38.5546875" bestFit="1" customWidth="1"/>
    <col min="3" max="6" width="10.6640625" bestFit="1" customWidth="1"/>
    <col min="7" max="7" width="11.21875" bestFit="1" customWidth="1"/>
  </cols>
  <sheetData>
    <row r="1" spans="1:7" x14ac:dyDescent="0.3">
      <c r="A1" s="9" t="s">
        <v>2</v>
      </c>
      <c r="B1" t="s">
        <v>47</v>
      </c>
    </row>
    <row r="3" spans="1:7" x14ac:dyDescent="0.3">
      <c r="A3" s="9" t="s">
        <v>48</v>
      </c>
      <c r="C3" s="9" t="s">
        <v>0</v>
      </c>
    </row>
    <row r="4" spans="1:7" x14ac:dyDescent="0.3">
      <c r="A4" s="9" t="s">
        <v>13</v>
      </c>
      <c r="B4" s="9" t="s">
        <v>12</v>
      </c>
      <c r="C4" t="s">
        <v>43</v>
      </c>
      <c r="D4" t="s">
        <v>44</v>
      </c>
      <c r="E4" t="s">
        <v>45</v>
      </c>
      <c r="F4" t="s">
        <v>46</v>
      </c>
      <c r="G4" t="s">
        <v>49</v>
      </c>
    </row>
    <row r="5" spans="1:7" x14ac:dyDescent="0.3">
      <c r="A5" t="s">
        <v>5</v>
      </c>
      <c r="B5" t="s">
        <v>5</v>
      </c>
      <c r="C5" s="10">
        <v>2474061.5700000008</v>
      </c>
      <c r="D5" s="10">
        <v>229484.04999999987</v>
      </c>
      <c r="E5" s="10">
        <v>1511628.2299999997</v>
      </c>
      <c r="F5" s="10">
        <v>1070680.2600000002</v>
      </c>
      <c r="G5" s="10">
        <v>5285854.1100000013</v>
      </c>
    </row>
    <row r="6" spans="1:7" x14ac:dyDescent="0.3">
      <c r="B6" t="s">
        <v>20</v>
      </c>
      <c r="C6" s="10">
        <v>636552.22999999986</v>
      </c>
      <c r="D6" s="10">
        <v>115170.58000000002</v>
      </c>
      <c r="E6" s="10">
        <v>651783.13000000012</v>
      </c>
      <c r="F6" s="10">
        <v>516712.76</v>
      </c>
      <c r="G6" s="10">
        <v>1920218.7</v>
      </c>
    </row>
    <row r="7" spans="1:7" x14ac:dyDescent="0.3">
      <c r="B7" t="s">
        <v>19</v>
      </c>
      <c r="C7" s="10">
        <v>843400.65</v>
      </c>
      <c r="D7" s="10">
        <v>187276.65000000005</v>
      </c>
      <c r="E7" s="10">
        <v>706965.43000000017</v>
      </c>
      <c r="F7" s="10">
        <v>698056.57999999984</v>
      </c>
      <c r="G7" s="10">
        <v>2435699.31</v>
      </c>
    </row>
    <row r="8" spans="1:7" x14ac:dyDescent="0.3">
      <c r="B8" t="s">
        <v>21</v>
      </c>
      <c r="C8" s="10">
        <v>926724.99000000022</v>
      </c>
      <c r="D8" s="10">
        <v>119094.69999999997</v>
      </c>
      <c r="E8" s="10">
        <v>706910.07</v>
      </c>
      <c r="F8" s="10">
        <v>445164.29999999993</v>
      </c>
      <c r="G8" s="10">
        <v>2197894.06</v>
      </c>
    </row>
    <row r="9" spans="1:7" x14ac:dyDescent="0.3">
      <c r="A9" t="s">
        <v>50</v>
      </c>
      <c r="C9" s="10">
        <v>4880739.4400000013</v>
      </c>
      <c r="D9" s="10">
        <v>651025.97999999986</v>
      </c>
      <c r="E9" s="10">
        <v>3577286.86</v>
      </c>
      <c r="F9" s="10">
        <v>2730613.9</v>
      </c>
      <c r="G9" s="10">
        <v>11839666.180000002</v>
      </c>
    </row>
    <row r="10" spans="1:7" x14ac:dyDescent="0.3">
      <c r="A10" t="s">
        <v>6</v>
      </c>
      <c r="B10" t="s">
        <v>15</v>
      </c>
      <c r="C10" s="10">
        <v>5679023.080000001</v>
      </c>
      <c r="D10" s="10">
        <v>206496.68999999997</v>
      </c>
      <c r="E10" s="10">
        <v>3667761.6799999992</v>
      </c>
      <c r="F10" s="10">
        <v>1608100.4999999998</v>
      </c>
      <c r="G10" s="10">
        <v>11161381.950000001</v>
      </c>
    </row>
    <row r="11" spans="1:7" x14ac:dyDescent="0.3">
      <c r="B11" t="s">
        <v>18</v>
      </c>
      <c r="C11" s="10">
        <v>5483.98</v>
      </c>
      <c r="D11" s="10">
        <v>15963.060000000003</v>
      </c>
      <c r="E11" s="10">
        <v>19783.590000000004</v>
      </c>
      <c r="F11" s="10">
        <v>107037.29</v>
      </c>
      <c r="G11" s="10">
        <v>148267.91999999998</v>
      </c>
    </row>
    <row r="12" spans="1:7" x14ac:dyDescent="0.3">
      <c r="B12" t="s">
        <v>17</v>
      </c>
      <c r="C12" s="10">
        <v>13149.939999999999</v>
      </c>
      <c r="D12" s="10">
        <v>877.4799999999999</v>
      </c>
      <c r="E12" s="10">
        <v>6371.5300000000007</v>
      </c>
      <c r="F12" s="10">
        <v>12703.93</v>
      </c>
      <c r="G12" s="10">
        <v>33102.879999999997</v>
      </c>
    </row>
    <row r="13" spans="1:7" x14ac:dyDescent="0.3">
      <c r="B13" t="s">
        <v>16</v>
      </c>
      <c r="C13" s="10">
        <v>746400.88999999966</v>
      </c>
      <c r="D13" s="10">
        <v>171652.19999999998</v>
      </c>
      <c r="E13" s="10">
        <v>370644.67999999993</v>
      </c>
      <c r="F13" s="10">
        <v>531688.30999999994</v>
      </c>
      <c r="G13" s="10">
        <v>1820386.0799999996</v>
      </c>
    </row>
    <row r="14" spans="1:7" x14ac:dyDescent="0.3">
      <c r="B14" t="s">
        <v>14</v>
      </c>
      <c r="C14" s="10">
        <v>104284.90999999997</v>
      </c>
      <c r="D14" s="10">
        <v>13827.569999999994</v>
      </c>
      <c r="E14" s="10">
        <v>123007.25000000003</v>
      </c>
      <c r="F14" s="10">
        <v>72050.23000000001</v>
      </c>
      <c r="G14" s="10">
        <v>313169.95999999996</v>
      </c>
    </row>
    <row r="15" spans="1:7" x14ac:dyDescent="0.3">
      <c r="A15" t="s">
        <v>51</v>
      </c>
      <c r="C15" s="10">
        <v>6548342.8000000017</v>
      </c>
      <c r="D15" s="10">
        <v>408816.99999999994</v>
      </c>
      <c r="E15" s="10">
        <v>4187568.7299999986</v>
      </c>
      <c r="F15" s="10">
        <v>2331580.2599999998</v>
      </c>
      <c r="G15" s="10">
        <v>13476308.790000003</v>
      </c>
    </row>
    <row r="16" spans="1:7" x14ac:dyDescent="0.3">
      <c r="A16" t="s">
        <v>7</v>
      </c>
      <c r="B16" t="s">
        <v>34</v>
      </c>
      <c r="C16" s="10">
        <v>10232.27</v>
      </c>
      <c r="D16" s="10"/>
      <c r="E16" s="10">
        <v>6388.3899999999985</v>
      </c>
      <c r="F16" s="10">
        <v>20041.649999999998</v>
      </c>
      <c r="G16" s="10">
        <v>36662.31</v>
      </c>
    </row>
    <row r="17" spans="1:7" x14ac:dyDescent="0.3">
      <c r="B17" t="s">
        <v>32</v>
      </c>
      <c r="C17" s="10">
        <v>26231.380000000005</v>
      </c>
      <c r="D17" s="10"/>
      <c r="E17" s="10">
        <v>194432.51999999993</v>
      </c>
      <c r="F17" s="10">
        <v>69</v>
      </c>
      <c r="G17" s="10">
        <v>220732.89999999994</v>
      </c>
    </row>
    <row r="18" spans="1:7" x14ac:dyDescent="0.3">
      <c r="B18" t="s">
        <v>31</v>
      </c>
      <c r="C18" s="10">
        <v>640333.55000000005</v>
      </c>
      <c r="D18" s="10"/>
      <c r="E18" s="10">
        <v>352091.7300000001</v>
      </c>
      <c r="F18" s="10">
        <v>620375.14000000013</v>
      </c>
      <c r="G18" s="10">
        <v>1612800.4200000004</v>
      </c>
    </row>
    <row r="19" spans="1:7" x14ac:dyDescent="0.3">
      <c r="B19" t="s">
        <v>33</v>
      </c>
      <c r="C19" s="10">
        <v>9928998.5600000005</v>
      </c>
      <c r="D19" s="10">
        <v>118931.34999999996</v>
      </c>
      <c r="E19" s="10">
        <v>4323198.4700000007</v>
      </c>
      <c r="F19" s="10">
        <v>2294441.7800000007</v>
      </c>
      <c r="G19" s="10">
        <v>16665570.160000002</v>
      </c>
    </row>
    <row r="20" spans="1:7" x14ac:dyDescent="0.3">
      <c r="A20" t="s">
        <v>52</v>
      </c>
      <c r="C20" s="10">
        <v>10605795.76</v>
      </c>
      <c r="D20" s="10">
        <v>118931.34999999996</v>
      </c>
      <c r="E20" s="10">
        <v>4876111.1100000003</v>
      </c>
      <c r="F20" s="10">
        <v>2934927.5700000008</v>
      </c>
      <c r="G20" s="10">
        <v>18535765.790000003</v>
      </c>
    </row>
    <row r="21" spans="1:7" x14ac:dyDescent="0.3">
      <c r="A21" t="s">
        <v>8</v>
      </c>
      <c r="B21" t="s">
        <v>22</v>
      </c>
      <c r="C21" s="10">
        <v>2106644.7000000011</v>
      </c>
      <c r="D21" s="10">
        <v>407935.80999999994</v>
      </c>
      <c r="E21" s="10">
        <v>1634095.9299999995</v>
      </c>
      <c r="F21" s="10">
        <v>1322120.2270000002</v>
      </c>
      <c r="G21" s="10">
        <v>5470796.6670000004</v>
      </c>
    </row>
    <row r="22" spans="1:7" x14ac:dyDescent="0.3">
      <c r="B22" t="s">
        <v>23</v>
      </c>
      <c r="C22" s="10">
        <v>562456.62000000011</v>
      </c>
      <c r="D22" s="10">
        <v>201913.51999999996</v>
      </c>
      <c r="E22" s="10">
        <v>387215.52999999968</v>
      </c>
      <c r="F22" s="10">
        <v>309820.61</v>
      </c>
      <c r="G22" s="10">
        <v>1461406.2799999998</v>
      </c>
    </row>
    <row r="23" spans="1:7" x14ac:dyDescent="0.3">
      <c r="B23" t="s">
        <v>24</v>
      </c>
      <c r="C23" s="10">
        <v>533998.10000000021</v>
      </c>
      <c r="D23" s="10">
        <v>94992.15999999996</v>
      </c>
      <c r="E23" s="10">
        <v>365783.21000000008</v>
      </c>
      <c r="F23" s="10">
        <v>515859.27999999997</v>
      </c>
      <c r="G23" s="10">
        <v>1510632.7500000002</v>
      </c>
    </row>
    <row r="24" spans="1:7" x14ac:dyDescent="0.3">
      <c r="B24" t="s">
        <v>25</v>
      </c>
      <c r="C24" s="10">
        <v>25480.420000000013</v>
      </c>
      <c r="D24" s="10">
        <v>994.55999999999972</v>
      </c>
      <c r="E24" s="10">
        <v>117157.92000000001</v>
      </c>
      <c r="F24" s="10">
        <v>39170.709999999992</v>
      </c>
      <c r="G24" s="10">
        <v>182803.61000000002</v>
      </c>
    </row>
    <row r="25" spans="1:7" x14ac:dyDescent="0.3">
      <c r="A25" t="s">
        <v>53</v>
      </c>
      <c r="C25" s="10">
        <v>3228579.8400000012</v>
      </c>
      <c r="D25" s="10">
        <v>705836.04999999981</v>
      </c>
      <c r="E25" s="10">
        <v>2504252.5899999989</v>
      </c>
      <c r="F25" s="10">
        <v>2186970.827</v>
      </c>
      <c r="G25" s="10">
        <v>8625639.307</v>
      </c>
    </row>
    <row r="26" spans="1:7" x14ac:dyDescent="0.3">
      <c r="A26" t="s">
        <v>9</v>
      </c>
      <c r="B26" t="s">
        <v>9</v>
      </c>
      <c r="C26" s="10">
        <v>7317456.4700000007</v>
      </c>
      <c r="D26" s="10">
        <v>441121.43000000011</v>
      </c>
      <c r="E26" s="10">
        <v>1066.08</v>
      </c>
      <c r="F26" s="10">
        <v>4610544.55</v>
      </c>
      <c r="G26" s="10">
        <v>12370188.530000001</v>
      </c>
    </row>
    <row r="27" spans="1:7" x14ac:dyDescent="0.3">
      <c r="A27" t="s">
        <v>54</v>
      </c>
      <c r="C27" s="10">
        <v>7317456.4700000007</v>
      </c>
      <c r="D27" s="10">
        <v>441121.43000000011</v>
      </c>
      <c r="E27" s="10">
        <v>1066.08</v>
      </c>
      <c r="F27" s="10">
        <v>4610544.55</v>
      </c>
      <c r="G27" s="10">
        <v>12370188.530000001</v>
      </c>
    </row>
    <row r="28" spans="1:7" x14ac:dyDescent="0.3">
      <c r="A28" t="s">
        <v>10</v>
      </c>
      <c r="B28" t="s">
        <v>28</v>
      </c>
      <c r="C28" s="10">
        <v>524246.64999999973</v>
      </c>
      <c r="D28" s="10"/>
      <c r="E28" s="10">
        <v>651985.22000000009</v>
      </c>
      <c r="F28" s="10">
        <v>528567.6399999999</v>
      </c>
      <c r="G28" s="10">
        <v>1704799.5099999998</v>
      </c>
    </row>
    <row r="29" spans="1:7" x14ac:dyDescent="0.3">
      <c r="B29" t="s">
        <v>29</v>
      </c>
      <c r="C29" s="10">
        <v>3686093.370000001</v>
      </c>
      <c r="D29" s="10">
        <v>244801.68</v>
      </c>
      <c r="E29" s="10">
        <v>2966233.8800000008</v>
      </c>
      <c r="F29" s="10">
        <v>1606073.2699999998</v>
      </c>
      <c r="G29" s="10">
        <v>8503202.2000000011</v>
      </c>
    </row>
    <row r="30" spans="1:7" x14ac:dyDescent="0.3">
      <c r="B30" t="s">
        <v>27</v>
      </c>
      <c r="C30" s="10">
        <v>1130353.8</v>
      </c>
      <c r="D30" s="10">
        <v>56050.230000000018</v>
      </c>
      <c r="E30" s="10">
        <v>929283.32999999973</v>
      </c>
      <c r="F30" s="10">
        <v>567042.30999999994</v>
      </c>
      <c r="G30" s="10">
        <v>2682729.67</v>
      </c>
    </row>
    <row r="31" spans="1:7" x14ac:dyDescent="0.3">
      <c r="B31" t="s">
        <v>26</v>
      </c>
      <c r="C31" s="10">
        <v>62662.500000000007</v>
      </c>
      <c r="D31" s="10"/>
      <c r="E31" s="10">
        <v>88475.770000000019</v>
      </c>
      <c r="F31" s="10">
        <v>41424.71</v>
      </c>
      <c r="G31" s="10">
        <v>192562.98</v>
      </c>
    </row>
    <row r="32" spans="1:7" x14ac:dyDescent="0.3">
      <c r="B32" t="s">
        <v>30</v>
      </c>
      <c r="C32" s="10">
        <v>733257.56000000017</v>
      </c>
      <c r="D32" s="10">
        <v>53091.040000000015</v>
      </c>
      <c r="E32" s="10">
        <v>928795.31000000017</v>
      </c>
      <c r="F32" s="10">
        <v>512315.30000000005</v>
      </c>
      <c r="G32" s="10">
        <v>2227459.2100000004</v>
      </c>
    </row>
    <row r="33" spans="1:7" x14ac:dyDescent="0.3">
      <c r="A33" t="s">
        <v>55</v>
      </c>
      <c r="C33" s="10">
        <v>6136613.8800000008</v>
      </c>
      <c r="D33" s="10">
        <v>353942.95000000007</v>
      </c>
      <c r="E33" s="10">
        <v>5564773.5100000016</v>
      </c>
      <c r="F33" s="10">
        <v>3255423.2299999995</v>
      </c>
      <c r="G33" s="10">
        <v>15310753.570000002</v>
      </c>
    </row>
    <row r="34" spans="1:7" x14ac:dyDescent="0.3">
      <c r="A34" t="s">
        <v>11</v>
      </c>
      <c r="B34" t="s">
        <v>38</v>
      </c>
      <c r="C34" s="10">
        <v>945740.45000000019</v>
      </c>
      <c r="D34" s="10">
        <v>102676.97000000003</v>
      </c>
      <c r="E34" s="10">
        <v>493848.1500000002</v>
      </c>
      <c r="F34" s="10">
        <v>680078.12999999989</v>
      </c>
      <c r="G34" s="10">
        <v>2222343.7000000002</v>
      </c>
    </row>
    <row r="35" spans="1:7" x14ac:dyDescent="0.3">
      <c r="B35" t="s">
        <v>36</v>
      </c>
      <c r="C35" s="10">
        <v>1041325.22</v>
      </c>
      <c r="D35" s="10">
        <v>121715.48999999999</v>
      </c>
      <c r="E35" s="10">
        <v>583319.07999999984</v>
      </c>
      <c r="F35" s="10">
        <v>522641.66999999993</v>
      </c>
      <c r="G35" s="10">
        <v>2269001.46</v>
      </c>
    </row>
    <row r="36" spans="1:7" x14ac:dyDescent="0.3">
      <c r="B36" t="s">
        <v>37</v>
      </c>
      <c r="C36" s="10">
        <v>1296938.2899999998</v>
      </c>
      <c r="D36" s="10">
        <v>-74468.09000000004</v>
      </c>
      <c r="E36" s="10">
        <v>759539.04999999981</v>
      </c>
      <c r="F36" s="10">
        <v>631015.60000000009</v>
      </c>
      <c r="G36" s="10">
        <v>2613024.8499999996</v>
      </c>
    </row>
    <row r="37" spans="1:7" x14ac:dyDescent="0.3">
      <c r="B37" t="s">
        <v>35</v>
      </c>
      <c r="C37" s="10">
        <v>38075.760000000002</v>
      </c>
      <c r="D37" s="10">
        <v>12106.549999999997</v>
      </c>
      <c r="E37" s="10">
        <v>39047.76999999999</v>
      </c>
      <c r="F37" s="10">
        <v>49408.264000000003</v>
      </c>
      <c r="G37" s="10">
        <v>138638.34399999998</v>
      </c>
    </row>
    <row r="38" spans="1:7" x14ac:dyDescent="0.3">
      <c r="A38" t="s">
        <v>56</v>
      </c>
      <c r="C38" s="10">
        <v>3322079.7199999997</v>
      </c>
      <c r="D38" s="10">
        <v>162030.91999999998</v>
      </c>
      <c r="E38" s="10">
        <v>1875754.0499999998</v>
      </c>
      <c r="F38" s="10">
        <v>1883143.6639999999</v>
      </c>
      <c r="G38" s="10">
        <v>7243008.3539999994</v>
      </c>
    </row>
    <row r="39" spans="1:7" x14ac:dyDescent="0.3">
      <c r="A39" t="s">
        <v>49</v>
      </c>
      <c r="C39" s="10">
        <v>42039607.910000011</v>
      </c>
      <c r="D39" s="10">
        <v>2841705.6799999997</v>
      </c>
      <c r="E39" s="10">
        <v>22586812.929999992</v>
      </c>
      <c r="F39" s="10">
        <v>19933204.001000002</v>
      </c>
      <c r="G39" s="10">
        <v>87401330.520999998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Альфа</vt:lpstr>
      <vt:lpstr>Бета</vt:lpstr>
      <vt:lpstr>Гамма</vt:lpstr>
      <vt:lpstr>Дельта</vt:lpstr>
      <vt:lpstr>Сводная</vt:lpstr>
    </vt:vector>
  </TitlesOfParts>
  <Company>ZZZ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nomarova</dc:creator>
  <cp:lastModifiedBy>s2</cp:lastModifiedBy>
  <dcterms:created xsi:type="dcterms:W3CDTF">2010-04-06T08:51:54Z</dcterms:created>
  <dcterms:modified xsi:type="dcterms:W3CDTF">2022-08-09T13:56:11Z</dcterms:modified>
</cp:coreProperties>
</file>